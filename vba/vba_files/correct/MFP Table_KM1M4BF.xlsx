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17"/>
  <workbookPr codeName="ThisWorkbook" defaultThemeVersion="124226"/>
  <mc:AlternateContent xmlns:mc="http://schemas.openxmlformats.org/markup-compatibility/2006">
    <mc:Choice Requires="x15">
      <x15ac:absPath xmlns:x15ac="http://schemas.microsoft.com/office/spreadsheetml/2010/11/ac" url="C:\Users\4037460\Documents\NuTool\PinConfigure\M4B\"/>
    </mc:Choice>
  </mc:AlternateContent>
  <xr:revisionPtr revIDLastSave="0" documentId="11_B3117D978CA0B7634B921CACA72FA56C3B586664" xr6:coauthVersionLast="47" xr6:coauthVersionMax="47" xr10:uidLastSave="{00000000-0000-0000-0000-000000000000}"/>
  <bookViews>
    <workbookView xWindow="0" yWindow="288" windowWidth="14376" windowHeight="6480" tabRatio="811" firstSheet="1" activeTab="1" xr2:uid="{00000000-000D-0000-FFFF-FFFF00000000}"/>
  </bookViews>
  <sheets>
    <sheet name="MFP(sample)" sheetId="36" state="hidden" r:id="rId1"/>
    <sheet name="MFP" sheetId="37" r:id="rId2"/>
    <sheet name="Package Type" sheetId="32" r:id="rId3"/>
    <sheet name="Unused IP" sheetId="43" r:id="rId4"/>
    <sheet name="Special Group Name" sheetId="30" r:id="rId5"/>
    <sheet name="Port Control Register" sheetId="39" r:id="rId6"/>
    <sheet name="＠MFP (LSI name)" sheetId="45" r:id="rId7"/>
    <sheet name="＠グループ、表示名" sheetId="40" r:id="rId8"/>
    <sheet name="@Pin Component List記載" sheetId="41" r:id="rId9"/>
  </sheets>
  <definedNames>
    <definedName name="_xlnm._FilterDatabase" localSheetId="6" hidden="1">'＠MFP (LSI name)'!$A$1:$AP$108</definedName>
    <definedName name="_xlnm._FilterDatabase" localSheetId="8" hidden="1">'@Pin Component List記載'!$B$3:$J$243</definedName>
    <definedName name="_xlnm._FilterDatabase" localSheetId="7" hidden="1">'＠グループ、表示名'!$A$3:$W$250</definedName>
    <definedName name="_xlnm._FilterDatabase" localSheetId="1" hidden="1">MFP!$A$1:$AP$108</definedName>
    <definedName name="_xlnm._FilterDatabase" localSheetId="4" hidden="1">'Special Group Name'!$A$1:$B$302</definedName>
    <definedName name="_xlnm.Extract" localSheetId="8">'@Pin Component List記載'!$G$3:$I$3</definedName>
  </definedNames>
  <calcPr calcId="162913" calcCompleted="0"/>
</workbook>
</file>

<file path=xl/calcChain.xml><?xml version="1.0" encoding="utf-8"?>
<calcChain xmlns="http://schemas.openxmlformats.org/spreadsheetml/2006/main">
  <c r="P31" i="37" l="1"/>
  <c r="N33" i="37"/>
  <c r="H13" i="40" l="1"/>
  <c r="G13" i="40"/>
  <c r="AO108" i="37" l="1"/>
  <c r="AN108" i="37"/>
  <c r="AM108" i="37"/>
  <c r="AL108" i="37"/>
  <c r="AO107" i="37"/>
  <c r="AN107" i="37"/>
  <c r="AM107" i="37"/>
  <c r="AL107" i="37"/>
  <c r="AO106" i="37"/>
  <c r="AN106" i="37"/>
  <c r="AM106" i="37"/>
  <c r="AL106" i="37"/>
  <c r="AO105" i="37"/>
  <c r="AN105" i="37"/>
  <c r="AM105" i="37"/>
  <c r="AL105" i="37"/>
  <c r="AO104" i="37"/>
  <c r="AN104" i="37"/>
  <c r="AM104" i="37"/>
  <c r="AL104" i="37"/>
  <c r="AO103" i="37"/>
  <c r="AN103" i="37"/>
  <c r="AM103" i="37"/>
  <c r="AL103" i="37"/>
  <c r="AO102" i="37"/>
  <c r="AN102" i="37"/>
  <c r="AM102" i="37"/>
  <c r="AL102" i="37"/>
  <c r="AO101" i="37"/>
  <c r="AN101" i="37"/>
  <c r="AM101" i="37"/>
  <c r="AL101" i="37"/>
  <c r="AO100" i="37"/>
  <c r="AN100" i="37"/>
  <c r="AM100" i="37"/>
  <c r="AL100" i="37"/>
  <c r="AO99" i="37"/>
  <c r="AN99" i="37"/>
  <c r="AM99" i="37"/>
  <c r="AL99" i="37"/>
  <c r="AO98" i="37"/>
  <c r="AN98" i="37"/>
  <c r="AM98" i="37"/>
  <c r="AL98" i="37"/>
  <c r="AO97" i="37"/>
  <c r="AN97" i="37"/>
  <c r="AM97" i="37"/>
  <c r="AL97" i="37"/>
  <c r="AO96" i="37"/>
  <c r="AN96" i="37"/>
  <c r="AM96" i="37"/>
  <c r="AL96" i="37"/>
  <c r="AO95" i="37"/>
  <c r="AN95" i="37"/>
  <c r="AM95" i="37"/>
  <c r="AL95" i="37"/>
  <c r="AO94" i="37"/>
  <c r="AN94" i="37"/>
  <c r="AM94" i="37"/>
  <c r="AL94" i="37"/>
  <c r="AO93" i="37"/>
  <c r="AN93" i="37"/>
  <c r="AM93" i="37"/>
  <c r="AL93" i="37"/>
  <c r="AO92" i="37"/>
  <c r="AN92" i="37"/>
  <c r="AM92" i="37"/>
  <c r="AL92" i="37"/>
  <c r="AO91" i="37"/>
  <c r="AN91" i="37"/>
  <c r="AM91" i="37"/>
  <c r="AL91" i="37"/>
  <c r="AO90" i="37"/>
  <c r="AN90" i="37"/>
  <c r="AM90" i="37"/>
  <c r="AL90" i="37"/>
  <c r="AO89" i="37"/>
  <c r="AN89" i="37"/>
  <c r="AM89" i="37"/>
  <c r="AL89" i="37"/>
  <c r="AO88" i="37"/>
  <c r="AN88" i="37"/>
  <c r="AM88" i="37"/>
  <c r="AL88" i="37"/>
  <c r="AO87" i="37"/>
  <c r="AN87" i="37"/>
  <c r="AM87" i="37"/>
  <c r="AL87" i="37"/>
  <c r="AO86" i="37"/>
  <c r="AN86" i="37"/>
  <c r="AM86" i="37"/>
  <c r="AL86" i="37"/>
  <c r="AO85" i="37"/>
  <c r="AN85" i="37"/>
  <c r="AM85" i="37"/>
  <c r="AL85" i="37"/>
  <c r="AO84" i="37"/>
  <c r="AN84" i="37"/>
  <c r="AM84" i="37"/>
  <c r="AL84" i="37"/>
  <c r="AO83" i="37"/>
  <c r="AN83" i="37"/>
  <c r="AM83" i="37"/>
  <c r="AL83" i="37"/>
  <c r="AO82" i="37"/>
  <c r="AN82" i="37"/>
  <c r="AM82" i="37"/>
  <c r="AL82" i="37"/>
  <c r="AO81" i="37"/>
  <c r="AN81" i="37"/>
  <c r="AM81" i="37"/>
  <c r="AL81" i="37"/>
  <c r="AO80" i="37"/>
  <c r="AN80" i="37"/>
  <c r="AM80" i="37"/>
  <c r="AL80" i="37"/>
  <c r="AO79" i="37"/>
  <c r="AN79" i="37"/>
  <c r="AM79" i="37"/>
  <c r="AL79" i="37"/>
  <c r="AO78" i="37"/>
  <c r="AN78" i="37"/>
  <c r="AM78" i="37"/>
  <c r="AL78" i="37"/>
  <c r="AO77" i="37"/>
  <c r="AN77" i="37"/>
  <c r="AM77" i="37"/>
  <c r="AL77" i="37"/>
  <c r="AO76" i="37"/>
  <c r="AN76" i="37"/>
  <c r="AM76" i="37"/>
  <c r="AL76" i="37"/>
  <c r="AO75" i="37"/>
  <c r="AN75" i="37"/>
  <c r="AM75" i="37"/>
  <c r="AL75" i="37"/>
  <c r="AO74" i="37"/>
  <c r="AN74" i="37"/>
  <c r="AM74" i="37"/>
  <c r="AL74" i="37"/>
  <c r="AO73" i="37"/>
  <c r="AN73" i="37"/>
  <c r="AM73" i="37"/>
  <c r="AL73" i="37"/>
  <c r="AO72" i="37"/>
  <c r="AN72" i="37"/>
  <c r="AM72" i="37"/>
  <c r="AL72" i="37"/>
  <c r="AO71" i="37"/>
  <c r="AN71" i="37"/>
  <c r="AM71" i="37"/>
  <c r="AL71" i="37"/>
  <c r="AO70" i="37"/>
  <c r="AN70" i="37"/>
  <c r="AM70" i="37"/>
  <c r="AL70" i="37"/>
  <c r="AO69" i="37"/>
  <c r="AN69" i="37"/>
  <c r="AM69" i="37"/>
  <c r="AL69" i="37"/>
  <c r="AO68" i="37"/>
  <c r="AN68" i="37"/>
  <c r="AM68" i="37"/>
  <c r="AL68" i="37"/>
  <c r="AO67" i="37"/>
  <c r="AN67" i="37"/>
  <c r="AM67" i="37"/>
  <c r="AL67" i="37"/>
  <c r="AO66" i="37"/>
  <c r="AN66" i="37"/>
  <c r="AM66" i="37"/>
  <c r="AL66" i="37"/>
  <c r="AO65" i="37"/>
  <c r="AN65" i="37"/>
  <c r="AM65" i="37"/>
  <c r="AL65" i="37"/>
  <c r="AO64" i="37"/>
  <c r="AN64" i="37"/>
  <c r="AM64" i="37"/>
  <c r="AL64" i="37"/>
  <c r="AO63" i="37"/>
  <c r="AN63" i="37"/>
  <c r="AM63" i="37"/>
  <c r="AL63" i="37"/>
  <c r="AO62" i="37"/>
  <c r="AN62" i="37"/>
  <c r="AM62" i="37"/>
  <c r="AL62" i="37"/>
  <c r="AO61" i="37"/>
  <c r="AN61" i="37"/>
  <c r="AM61" i="37"/>
  <c r="AL61" i="37"/>
  <c r="AO60" i="37"/>
  <c r="AN60" i="37"/>
  <c r="AM60" i="37"/>
  <c r="AL60" i="37"/>
  <c r="AO59" i="37"/>
  <c r="AN59" i="37"/>
  <c r="AM59" i="37"/>
  <c r="AL59" i="37"/>
  <c r="AO58" i="37"/>
  <c r="AN58" i="37"/>
  <c r="AM58" i="37"/>
  <c r="AL58" i="37"/>
  <c r="AO57" i="37"/>
  <c r="AN57" i="37"/>
  <c r="AM57" i="37"/>
  <c r="AL57" i="37"/>
  <c r="AO56" i="37"/>
  <c r="AN56" i="37"/>
  <c r="AM56" i="37"/>
  <c r="AL56" i="37"/>
  <c r="AO55" i="37"/>
  <c r="AN55" i="37"/>
  <c r="AM55" i="37"/>
  <c r="AL55" i="37"/>
  <c r="AO54" i="37"/>
  <c r="AN54" i="37"/>
  <c r="AM54" i="37"/>
  <c r="AL54" i="37"/>
  <c r="AO53" i="37"/>
  <c r="AN53" i="37"/>
  <c r="AM53" i="37"/>
  <c r="AL53" i="37"/>
  <c r="AO52" i="37"/>
  <c r="AN52" i="37"/>
  <c r="AM52" i="37"/>
  <c r="AL52" i="37"/>
  <c r="AO51" i="37"/>
  <c r="AN51" i="37"/>
  <c r="AM51" i="37"/>
  <c r="AL51" i="37"/>
  <c r="AO50" i="37"/>
  <c r="AN50" i="37"/>
  <c r="AM50" i="37"/>
  <c r="AL50" i="37"/>
  <c r="AO49" i="37"/>
  <c r="AN49" i="37"/>
  <c r="AM49" i="37"/>
  <c r="AL49" i="37"/>
  <c r="AO48" i="37"/>
  <c r="AN48" i="37"/>
  <c r="AM48" i="37"/>
  <c r="AL48" i="37"/>
  <c r="AO47" i="37"/>
  <c r="AN47" i="37"/>
  <c r="AM47" i="37"/>
  <c r="AL47" i="37"/>
  <c r="AO46" i="37"/>
  <c r="AN46" i="37"/>
  <c r="AM46" i="37"/>
  <c r="AL46" i="37"/>
  <c r="AO45" i="37"/>
  <c r="AN45" i="37"/>
  <c r="AM45" i="37"/>
  <c r="AL45" i="37"/>
  <c r="AO44" i="37"/>
  <c r="AN44" i="37"/>
  <c r="AM44" i="37"/>
  <c r="AL44" i="37"/>
  <c r="AO43" i="37"/>
  <c r="AN43" i="37"/>
  <c r="AM43" i="37"/>
  <c r="AL43" i="37"/>
  <c r="AO42" i="37"/>
  <c r="AN42" i="37"/>
  <c r="AM42" i="37"/>
  <c r="AL42" i="37"/>
  <c r="AO41" i="37"/>
  <c r="AN41" i="37"/>
  <c r="AM41" i="37"/>
  <c r="AL41" i="37"/>
  <c r="AO40" i="37"/>
  <c r="AN40" i="37"/>
  <c r="AM40" i="37"/>
  <c r="AL40" i="37"/>
  <c r="AO39" i="37"/>
  <c r="AN39" i="37"/>
  <c r="AM39" i="37"/>
  <c r="AL39" i="37"/>
  <c r="AO38" i="37"/>
  <c r="AN38" i="37"/>
  <c r="AM38" i="37"/>
  <c r="AL38" i="37"/>
  <c r="AO37" i="37"/>
  <c r="AN37" i="37"/>
  <c r="AM37" i="37"/>
  <c r="AL37" i="37"/>
  <c r="AO36" i="37"/>
  <c r="AN36" i="37"/>
  <c r="AM36" i="37"/>
  <c r="AL36" i="37"/>
  <c r="AO35" i="37"/>
  <c r="AN35" i="37"/>
  <c r="AM35" i="37"/>
  <c r="AL35" i="37"/>
  <c r="AO34" i="37"/>
  <c r="AN34" i="37"/>
  <c r="AM34" i="37"/>
  <c r="AL34" i="37"/>
  <c r="AO33" i="37"/>
  <c r="AN33" i="37"/>
  <c r="AM33" i="37"/>
  <c r="AL33" i="37"/>
  <c r="AO32" i="37"/>
  <c r="AN32" i="37"/>
  <c r="AM32" i="37"/>
  <c r="AL32" i="37"/>
  <c r="AO31" i="37"/>
  <c r="AN31" i="37"/>
  <c r="AM31" i="37"/>
  <c r="AL31" i="37"/>
  <c r="AO30" i="37"/>
  <c r="AN30" i="37"/>
  <c r="AM30" i="37"/>
  <c r="AL30" i="37"/>
  <c r="AO29" i="37"/>
  <c r="AN29" i="37"/>
  <c r="AM29" i="37"/>
  <c r="AL29" i="37"/>
  <c r="AO28" i="37"/>
  <c r="AN28" i="37"/>
  <c r="AM28" i="37"/>
  <c r="AL28" i="37"/>
  <c r="AO27" i="37"/>
  <c r="AN27" i="37"/>
  <c r="AM27" i="37"/>
  <c r="AL27" i="37"/>
  <c r="AO26" i="37"/>
  <c r="AN26" i="37"/>
  <c r="AM26" i="37"/>
  <c r="AL26" i="37"/>
  <c r="AO25" i="37"/>
  <c r="AN25" i="37"/>
  <c r="AM25" i="37"/>
  <c r="AL25" i="37"/>
  <c r="AO24" i="37"/>
  <c r="AN24" i="37"/>
  <c r="AM24" i="37"/>
  <c r="AL24" i="37"/>
  <c r="AO23" i="37"/>
  <c r="AN23" i="37"/>
  <c r="AM23" i="37"/>
  <c r="AL23" i="37"/>
  <c r="AO22" i="37"/>
  <c r="AN22" i="37"/>
  <c r="AM22" i="37"/>
  <c r="AL22" i="37"/>
  <c r="AO21" i="37"/>
  <c r="AN21" i="37"/>
  <c r="AM21" i="37"/>
  <c r="AL21" i="37"/>
  <c r="AO20" i="37"/>
  <c r="AN20" i="37"/>
  <c r="AM20" i="37"/>
  <c r="AL20" i="37"/>
  <c r="AO19" i="37"/>
  <c r="AN19" i="37"/>
  <c r="AM19" i="37"/>
  <c r="AL19" i="37"/>
  <c r="AO18" i="37"/>
  <c r="AN18" i="37"/>
  <c r="AM18" i="37"/>
  <c r="AL18" i="37"/>
  <c r="AO17" i="37"/>
  <c r="AN17" i="37"/>
  <c r="AM17" i="37"/>
  <c r="AL17" i="37"/>
  <c r="AO16" i="37"/>
  <c r="AN16" i="37"/>
  <c r="AM16" i="37"/>
  <c r="AL16" i="37"/>
  <c r="AO15" i="37"/>
  <c r="AN15" i="37"/>
  <c r="AM15" i="37"/>
  <c r="AL15" i="37"/>
  <c r="AO14" i="37"/>
  <c r="AN14" i="37"/>
  <c r="AM14" i="37"/>
  <c r="AL14" i="37"/>
  <c r="AO13" i="37"/>
  <c r="AN13" i="37"/>
  <c r="AM13" i="37"/>
  <c r="AL13" i="37"/>
  <c r="AO12" i="37"/>
  <c r="AN12" i="37"/>
  <c r="AM12" i="37"/>
  <c r="AL12" i="37"/>
  <c r="AO11" i="37"/>
  <c r="AN11" i="37"/>
  <c r="AM11" i="37"/>
  <c r="AL11" i="37"/>
  <c r="AO10" i="37"/>
  <c r="AN10" i="37"/>
  <c r="AM10" i="37"/>
  <c r="AL10" i="37"/>
  <c r="AO9" i="37"/>
  <c r="AN9" i="37"/>
  <c r="AM9" i="37"/>
  <c r="AL9" i="37"/>
  <c r="AO8" i="37"/>
  <c r="AN8" i="37"/>
  <c r="AM8" i="37"/>
  <c r="AL8" i="37"/>
  <c r="AO7" i="37"/>
  <c r="AN7" i="37"/>
  <c r="AM7" i="37"/>
  <c r="AL7" i="37"/>
  <c r="AO6" i="37"/>
  <c r="AN6" i="37"/>
  <c r="AM6" i="37"/>
  <c r="AL6" i="37"/>
  <c r="AO5" i="37"/>
  <c r="AN5" i="37"/>
  <c r="AM5" i="37"/>
  <c r="AL5" i="37"/>
  <c r="AO4" i="37"/>
  <c r="AN4" i="37"/>
  <c r="AM4" i="37"/>
  <c r="AL4" i="37"/>
  <c r="AO3" i="37"/>
  <c r="AN3" i="37"/>
  <c r="AM3" i="37"/>
  <c r="AL3" i="37"/>
  <c r="AO2" i="37"/>
  <c r="AN2" i="37"/>
  <c r="AM2" i="37"/>
  <c r="AL2" i="37"/>
  <c r="AL28" i="45"/>
  <c r="AM28" i="45"/>
  <c r="AN28" i="45"/>
  <c r="AO28" i="45"/>
  <c r="AL29" i="45"/>
  <c r="AM29" i="45"/>
  <c r="AN29" i="45"/>
  <c r="AO29" i="45"/>
  <c r="AL30" i="45"/>
  <c r="AM30" i="45"/>
  <c r="AN30" i="45"/>
  <c r="AO30" i="45"/>
  <c r="AL31" i="45"/>
  <c r="AM31" i="45"/>
  <c r="AN31" i="45"/>
  <c r="AO31" i="45"/>
  <c r="AL32" i="45"/>
  <c r="AM32" i="45"/>
  <c r="AN32" i="45"/>
  <c r="AO32" i="45"/>
  <c r="AL33" i="45"/>
  <c r="AM33" i="45"/>
  <c r="AN33" i="45"/>
  <c r="AO33" i="45"/>
  <c r="AL34" i="45"/>
  <c r="AM34" i="45"/>
  <c r="AN34" i="45"/>
  <c r="AO34" i="45"/>
  <c r="AL35" i="45"/>
  <c r="AM35" i="45"/>
  <c r="AN35" i="45"/>
  <c r="AO35" i="45"/>
  <c r="AL36" i="45"/>
  <c r="AM36" i="45"/>
  <c r="AN36" i="45"/>
  <c r="AO36" i="45"/>
  <c r="AL37" i="45"/>
  <c r="AM37" i="45"/>
  <c r="AN37" i="45"/>
  <c r="AO37" i="45"/>
  <c r="AL38" i="45"/>
  <c r="AM38" i="45"/>
  <c r="AN38" i="45"/>
  <c r="AO38" i="45"/>
  <c r="AL39" i="45"/>
  <c r="AM39" i="45"/>
  <c r="AN39" i="45"/>
  <c r="AO39" i="45"/>
  <c r="AL40" i="45"/>
  <c r="AM40" i="45"/>
  <c r="AN40" i="45"/>
  <c r="AO40" i="45"/>
  <c r="AL41" i="45"/>
  <c r="AM41" i="45"/>
  <c r="AN41" i="45"/>
  <c r="AO41" i="45"/>
  <c r="AL42" i="45"/>
  <c r="AM42" i="45"/>
  <c r="AN42" i="45"/>
  <c r="AO42" i="45"/>
  <c r="AL43" i="45"/>
  <c r="AM43" i="45"/>
  <c r="AN43" i="45"/>
  <c r="AO43" i="45"/>
  <c r="AL44" i="45"/>
  <c r="AM44" i="45"/>
  <c r="AN44" i="45"/>
  <c r="AO44" i="45"/>
  <c r="AL45" i="45"/>
  <c r="AM45" i="45"/>
  <c r="AN45" i="45"/>
  <c r="AO45" i="45"/>
  <c r="AL46" i="45"/>
  <c r="AM46" i="45"/>
  <c r="AN46" i="45"/>
  <c r="AO46" i="45"/>
  <c r="AL47" i="45"/>
  <c r="AM47" i="45"/>
  <c r="AN47" i="45"/>
  <c r="AO47" i="45"/>
  <c r="AL48" i="45"/>
  <c r="AM48" i="45"/>
  <c r="AN48" i="45"/>
  <c r="AO48" i="45"/>
  <c r="AL49" i="45"/>
  <c r="AM49" i="45"/>
  <c r="AN49" i="45"/>
  <c r="AO49" i="45"/>
  <c r="AL50" i="45"/>
  <c r="AM50" i="45"/>
  <c r="AN50" i="45"/>
  <c r="AO50" i="45"/>
  <c r="AL51" i="45"/>
  <c r="AM51" i="45"/>
  <c r="AN51" i="45"/>
  <c r="AO51" i="45"/>
  <c r="AL52" i="45"/>
  <c r="AM52" i="45"/>
  <c r="AN52" i="45"/>
  <c r="AO52" i="45"/>
  <c r="AL53" i="45"/>
  <c r="AM53" i="45"/>
  <c r="AN53" i="45"/>
  <c r="AO53" i="45"/>
  <c r="AL54" i="45"/>
  <c r="AM54" i="45"/>
  <c r="AN54" i="45"/>
  <c r="AO54" i="45"/>
  <c r="AL55" i="45"/>
  <c r="AM55" i="45"/>
  <c r="AN55" i="45"/>
  <c r="AO55" i="45"/>
  <c r="AL56" i="45"/>
  <c r="AM56" i="45"/>
  <c r="AN56" i="45"/>
  <c r="AO56" i="45"/>
  <c r="AL57" i="45"/>
  <c r="AM57" i="45"/>
  <c r="AN57" i="45"/>
  <c r="AO57" i="45"/>
  <c r="AL58" i="45"/>
  <c r="AM58" i="45"/>
  <c r="AN58" i="45"/>
  <c r="AO58" i="45"/>
  <c r="AL59" i="45"/>
  <c r="AM59" i="45"/>
  <c r="AN59" i="45"/>
  <c r="AO59" i="45"/>
  <c r="AL60" i="45"/>
  <c r="AM60" i="45"/>
  <c r="AN60" i="45"/>
  <c r="AO60" i="45"/>
  <c r="AL61" i="45"/>
  <c r="AM61" i="45"/>
  <c r="AN61" i="45"/>
  <c r="AO61" i="45"/>
  <c r="AL62" i="45"/>
  <c r="AM62" i="45"/>
  <c r="AN62" i="45"/>
  <c r="AO62" i="45"/>
  <c r="AL63" i="45"/>
  <c r="AM63" i="45"/>
  <c r="AN63" i="45"/>
  <c r="AO63" i="45"/>
  <c r="AL64" i="45"/>
  <c r="AM64" i="45"/>
  <c r="AN64" i="45"/>
  <c r="AO64" i="45"/>
  <c r="AL65" i="45"/>
  <c r="AM65" i="45"/>
  <c r="AN65" i="45"/>
  <c r="AO65" i="45"/>
  <c r="AL66" i="45"/>
  <c r="AM66" i="45"/>
  <c r="AN66" i="45"/>
  <c r="AO66" i="45"/>
  <c r="AL67" i="45"/>
  <c r="AM67" i="45"/>
  <c r="AN67" i="45"/>
  <c r="AO67" i="45"/>
  <c r="AL68" i="45"/>
  <c r="AM68" i="45"/>
  <c r="AN68" i="45"/>
  <c r="AO68" i="45"/>
  <c r="AL69" i="45"/>
  <c r="AM69" i="45"/>
  <c r="AN69" i="45"/>
  <c r="AO69" i="45"/>
  <c r="AL70" i="45"/>
  <c r="AM70" i="45"/>
  <c r="AN70" i="45"/>
  <c r="AO70" i="45"/>
  <c r="AL71" i="45"/>
  <c r="AM71" i="45"/>
  <c r="AN71" i="45"/>
  <c r="AO71" i="45"/>
  <c r="AL72" i="45"/>
  <c r="AM72" i="45"/>
  <c r="AN72" i="45"/>
  <c r="AO72" i="45"/>
  <c r="AL73" i="45"/>
  <c r="AM73" i="45"/>
  <c r="AN73" i="45"/>
  <c r="AO73" i="45"/>
  <c r="AL74" i="45"/>
  <c r="AM74" i="45"/>
  <c r="AN74" i="45"/>
  <c r="AO74" i="45"/>
  <c r="AL75" i="45"/>
  <c r="AM75" i="45"/>
  <c r="AN75" i="45"/>
  <c r="AO75" i="45"/>
  <c r="AL76" i="45"/>
  <c r="AM76" i="45"/>
  <c r="AN76" i="45"/>
  <c r="AO76" i="45"/>
  <c r="AL77" i="45"/>
  <c r="AM77" i="45"/>
  <c r="AN77" i="45"/>
  <c r="AO77" i="45"/>
  <c r="AL78" i="45"/>
  <c r="AM78" i="45"/>
  <c r="AN78" i="45"/>
  <c r="AO78" i="45"/>
  <c r="AL79" i="45"/>
  <c r="AM79" i="45"/>
  <c r="AN79" i="45"/>
  <c r="AO79" i="45"/>
  <c r="AL80" i="45"/>
  <c r="AM80" i="45"/>
  <c r="AN80" i="45"/>
  <c r="AO80" i="45"/>
  <c r="AL81" i="45"/>
  <c r="AM81" i="45"/>
  <c r="AN81" i="45"/>
  <c r="AO81" i="45"/>
  <c r="AL82" i="45"/>
  <c r="AM82" i="45"/>
  <c r="AN82" i="45"/>
  <c r="AO82" i="45"/>
  <c r="AL83" i="45"/>
  <c r="AM83" i="45"/>
  <c r="AN83" i="45"/>
  <c r="AO83" i="45"/>
  <c r="AL84" i="45"/>
  <c r="AM84" i="45"/>
  <c r="AN84" i="45"/>
  <c r="AO84" i="45"/>
  <c r="AL85" i="45"/>
  <c r="AM85" i="45"/>
  <c r="AN85" i="45"/>
  <c r="AO85" i="45"/>
  <c r="AL86" i="45"/>
  <c r="AM86" i="45"/>
  <c r="AN86" i="45"/>
  <c r="AO86" i="45"/>
  <c r="AL87" i="45"/>
  <c r="AM87" i="45"/>
  <c r="AN87" i="45"/>
  <c r="AO87" i="45"/>
  <c r="AL88" i="45"/>
  <c r="AM88" i="45"/>
  <c r="AN88" i="45"/>
  <c r="AO88" i="45"/>
  <c r="AL89" i="45"/>
  <c r="AM89" i="45"/>
  <c r="AN89" i="45"/>
  <c r="AO89" i="45"/>
  <c r="AL90" i="45"/>
  <c r="AM90" i="45"/>
  <c r="AN90" i="45"/>
  <c r="AO90" i="45"/>
  <c r="AL91" i="45"/>
  <c r="AM91" i="45"/>
  <c r="AN91" i="45"/>
  <c r="AO91" i="45"/>
  <c r="AL92" i="45"/>
  <c r="AM92" i="45"/>
  <c r="AN92" i="45"/>
  <c r="AO92" i="45"/>
  <c r="AL93" i="45"/>
  <c r="AM93" i="45"/>
  <c r="AN93" i="45"/>
  <c r="AO93" i="45"/>
  <c r="AL94" i="45"/>
  <c r="AM94" i="45"/>
  <c r="AN94" i="45"/>
  <c r="AO94" i="45"/>
  <c r="AL95" i="45"/>
  <c r="AM95" i="45"/>
  <c r="AN95" i="45"/>
  <c r="AO95" i="45"/>
  <c r="AL96" i="45"/>
  <c r="AM96" i="45"/>
  <c r="AN96" i="45"/>
  <c r="AO96" i="45"/>
  <c r="AL97" i="45"/>
  <c r="AM97" i="45"/>
  <c r="AN97" i="45"/>
  <c r="AO97" i="45"/>
  <c r="AL98" i="45"/>
  <c r="AM98" i="45"/>
  <c r="AN98" i="45"/>
  <c r="AO98" i="45"/>
  <c r="AL99" i="45"/>
  <c r="AM99" i="45"/>
  <c r="AN99" i="45"/>
  <c r="AO99" i="45"/>
  <c r="AL100" i="45"/>
  <c r="AM100" i="45"/>
  <c r="AN100" i="45"/>
  <c r="AO100" i="45"/>
  <c r="AL101" i="45"/>
  <c r="AM101" i="45"/>
  <c r="AN101" i="45"/>
  <c r="AO101" i="45"/>
  <c r="AL102" i="45"/>
  <c r="AM102" i="45"/>
  <c r="AN102" i="45"/>
  <c r="AO102" i="45"/>
  <c r="AL103" i="45"/>
  <c r="AM103" i="45"/>
  <c r="AN103" i="45"/>
  <c r="AO103" i="45"/>
  <c r="AL104" i="45"/>
  <c r="AM104" i="45"/>
  <c r="AN104" i="45"/>
  <c r="AO104" i="45"/>
  <c r="AL105" i="45"/>
  <c r="AM105" i="45"/>
  <c r="AN105" i="45"/>
  <c r="AO105" i="45"/>
  <c r="AL106" i="45"/>
  <c r="AM106" i="45"/>
  <c r="AN106" i="45"/>
  <c r="AO106" i="45"/>
  <c r="AL107" i="45"/>
  <c r="AM107" i="45"/>
  <c r="AN107" i="45"/>
  <c r="AO107" i="45"/>
  <c r="AL108" i="45"/>
  <c r="AM108" i="45"/>
  <c r="AN108" i="45"/>
  <c r="AO108" i="45"/>
  <c r="AL14" i="45"/>
  <c r="AM14" i="45"/>
  <c r="AN14" i="45"/>
  <c r="AO14" i="45"/>
  <c r="AL15" i="45"/>
  <c r="AM15" i="45"/>
  <c r="AN15" i="45"/>
  <c r="AO15" i="45"/>
  <c r="AL16" i="45"/>
  <c r="AM16" i="45"/>
  <c r="AN16" i="45"/>
  <c r="AO16" i="45"/>
  <c r="AL17" i="45"/>
  <c r="AM17" i="45"/>
  <c r="AN17" i="45"/>
  <c r="AO17" i="45"/>
  <c r="AL18" i="45"/>
  <c r="AM18" i="45"/>
  <c r="AN18" i="45"/>
  <c r="AO18" i="45"/>
  <c r="AL19" i="45"/>
  <c r="AM19" i="45"/>
  <c r="AN19" i="45"/>
  <c r="AO19" i="45"/>
  <c r="AL20" i="45"/>
  <c r="AM20" i="45"/>
  <c r="AN20" i="45"/>
  <c r="AO20" i="45"/>
  <c r="AL21" i="45"/>
  <c r="AM21" i="45"/>
  <c r="AN21" i="45"/>
  <c r="AO21" i="45"/>
  <c r="AL22" i="45"/>
  <c r="AM22" i="45"/>
  <c r="AN22" i="45"/>
  <c r="AO22" i="45"/>
  <c r="AL23" i="45"/>
  <c r="AM23" i="45"/>
  <c r="AN23" i="45"/>
  <c r="AO23" i="45"/>
  <c r="AL24" i="45"/>
  <c r="AM24" i="45"/>
  <c r="AN24" i="45"/>
  <c r="AO24" i="45"/>
  <c r="AL25" i="45"/>
  <c r="AM25" i="45"/>
  <c r="AN25" i="45"/>
  <c r="AO25" i="45"/>
  <c r="AL26" i="45"/>
  <c r="AM26" i="45"/>
  <c r="AN26" i="45"/>
  <c r="AO26" i="45"/>
  <c r="AL27" i="45"/>
  <c r="AM27" i="45"/>
  <c r="AN27" i="45"/>
  <c r="AO27" i="45"/>
  <c r="AL12" i="45"/>
  <c r="AM12" i="45"/>
  <c r="AN12" i="45"/>
  <c r="AO12" i="45"/>
  <c r="AL13" i="45"/>
  <c r="AM13" i="45"/>
  <c r="AN13" i="45"/>
  <c r="AO13" i="45"/>
  <c r="AL3" i="45"/>
  <c r="AM3" i="45"/>
  <c r="AN3" i="45"/>
  <c r="AO3" i="45"/>
  <c r="AL4" i="45"/>
  <c r="AM4" i="45"/>
  <c r="AN4" i="45"/>
  <c r="AO4" i="45"/>
  <c r="AL5" i="45"/>
  <c r="AM5" i="45"/>
  <c r="AN5" i="45"/>
  <c r="AO5" i="45"/>
  <c r="AL6" i="45"/>
  <c r="AM6" i="45"/>
  <c r="AN6" i="45"/>
  <c r="AO6" i="45"/>
  <c r="AL7" i="45"/>
  <c r="AM7" i="45"/>
  <c r="AN7" i="45"/>
  <c r="AO7" i="45"/>
  <c r="AL8" i="45"/>
  <c r="AM8" i="45"/>
  <c r="AN8" i="45"/>
  <c r="AO8" i="45"/>
  <c r="AL9" i="45"/>
  <c r="AM9" i="45"/>
  <c r="AN9" i="45"/>
  <c r="AO9" i="45"/>
  <c r="AL10" i="45"/>
  <c r="AM10" i="45"/>
  <c r="AN10" i="45"/>
  <c r="AO10" i="45"/>
  <c r="AL11" i="45"/>
  <c r="AM11" i="45"/>
  <c r="AN11" i="45"/>
  <c r="AO11" i="45"/>
  <c r="AN2" i="45"/>
  <c r="AM2" i="45"/>
  <c r="AL2" i="45"/>
  <c r="AO2" i="45"/>
  <c r="AB72" i="37"/>
  <c r="AC72" i="37"/>
  <c r="AD72" i="37"/>
  <c r="AE72" i="37"/>
  <c r="AB73" i="37"/>
  <c r="AC73" i="37"/>
  <c r="AD73" i="37"/>
  <c r="AE73" i="37"/>
  <c r="AB74" i="37"/>
  <c r="AC74" i="37"/>
  <c r="AD74" i="37"/>
  <c r="AE74" i="37"/>
  <c r="AB75" i="37"/>
  <c r="AC75" i="37"/>
  <c r="AD75" i="37"/>
  <c r="AE75" i="37"/>
  <c r="AB76" i="37"/>
  <c r="AC76" i="37"/>
  <c r="AD76" i="37"/>
  <c r="AE76" i="37"/>
  <c r="AB77" i="37"/>
  <c r="AC77" i="37"/>
  <c r="AD77" i="37"/>
  <c r="AE77" i="37"/>
  <c r="AB78" i="37"/>
  <c r="AC78" i="37"/>
  <c r="AD78" i="37"/>
  <c r="AE78" i="37"/>
  <c r="AB79" i="37"/>
  <c r="AC79" i="37"/>
  <c r="AD79" i="37"/>
  <c r="AE79" i="37"/>
  <c r="AB80" i="37"/>
  <c r="AC80" i="37"/>
  <c r="AD80" i="37"/>
  <c r="AE80" i="37"/>
  <c r="AB81" i="37"/>
  <c r="AC81" i="37"/>
  <c r="AD81" i="37"/>
  <c r="AE81" i="37"/>
  <c r="AB82" i="37"/>
  <c r="AD82" i="37"/>
  <c r="AE82" i="37"/>
  <c r="AF108" i="37"/>
  <c r="AE108" i="37"/>
  <c r="AD108" i="37"/>
  <c r="AC108" i="37"/>
  <c r="AB108" i="37"/>
  <c r="AF107" i="37"/>
  <c r="AE107" i="37"/>
  <c r="AD107" i="37"/>
  <c r="AC107" i="37"/>
  <c r="AB107" i="37"/>
  <c r="AF106" i="37"/>
  <c r="AE106" i="37"/>
  <c r="AD106" i="37"/>
  <c r="AC106" i="37"/>
  <c r="AB106" i="37"/>
  <c r="AF105" i="37"/>
  <c r="AE105" i="37"/>
  <c r="AD105" i="37"/>
  <c r="AC105" i="37"/>
  <c r="AB105" i="37"/>
  <c r="AF104" i="37"/>
  <c r="AE104" i="37"/>
  <c r="AD104" i="37"/>
  <c r="AC104" i="37"/>
  <c r="AB104" i="37"/>
  <c r="AF103" i="37"/>
  <c r="AE103" i="37"/>
  <c r="AD103" i="37"/>
  <c r="AC103" i="37"/>
  <c r="AB103" i="37"/>
  <c r="AF102" i="37"/>
  <c r="AE102" i="37"/>
  <c r="AD102" i="37"/>
  <c r="AC102" i="37"/>
  <c r="AB102" i="37"/>
  <c r="AF101" i="37"/>
  <c r="AE101" i="37"/>
  <c r="AD101" i="37"/>
  <c r="AC101" i="37"/>
  <c r="AB101" i="37"/>
  <c r="AF100" i="37"/>
  <c r="AE100" i="37"/>
  <c r="AD100" i="37"/>
  <c r="AC100" i="37"/>
  <c r="AB100" i="37"/>
  <c r="AF99" i="37"/>
  <c r="AE99" i="37"/>
  <c r="AD99" i="37"/>
  <c r="AC99" i="37"/>
  <c r="AB99" i="37"/>
  <c r="AF98" i="37"/>
  <c r="AE98" i="37"/>
  <c r="AD98" i="37"/>
  <c r="AC98" i="37"/>
  <c r="AB98" i="37"/>
  <c r="AF97" i="37"/>
  <c r="AE97" i="37"/>
  <c r="AD97" i="37"/>
  <c r="AC97" i="37"/>
  <c r="AB97" i="37"/>
  <c r="AF96" i="37"/>
  <c r="AE96" i="37"/>
  <c r="AD96" i="37"/>
  <c r="AC96" i="37"/>
  <c r="AB96" i="37"/>
  <c r="AF95" i="37"/>
  <c r="AE95" i="37"/>
  <c r="AD95" i="37"/>
  <c r="AC95" i="37"/>
  <c r="AB95" i="37"/>
  <c r="AF94" i="37"/>
  <c r="AE94" i="37"/>
  <c r="AD94" i="37"/>
  <c r="AC94" i="37"/>
  <c r="AB94" i="37"/>
  <c r="AF93" i="37"/>
  <c r="AE93" i="37"/>
  <c r="AD93" i="37"/>
  <c r="AC93" i="37"/>
  <c r="AB93" i="37"/>
  <c r="AF92" i="37"/>
  <c r="AE92" i="37"/>
  <c r="AD92" i="37"/>
  <c r="AC92" i="37"/>
  <c r="AB92" i="37"/>
  <c r="AF91" i="37"/>
  <c r="AE91" i="37"/>
  <c r="AD91" i="37"/>
  <c r="AC91" i="37"/>
  <c r="AB91" i="37"/>
  <c r="AF90" i="37"/>
  <c r="AE90" i="37"/>
  <c r="AD90" i="37"/>
  <c r="AB90" i="37"/>
  <c r="AF89" i="37"/>
  <c r="AE89" i="37"/>
  <c r="AD89" i="37"/>
  <c r="AB89" i="37"/>
  <c r="AF88" i="37"/>
  <c r="AE88" i="37"/>
  <c r="AD88" i="37"/>
  <c r="AB88" i="37"/>
  <c r="AF87" i="37"/>
  <c r="AE87" i="37"/>
  <c r="AD87" i="37"/>
  <c r="AB87" i="37"/>
  <c r="AF86" i="37"/>
  <c r="AE86" i="37"/>
  <c r="AD86" i="37"/>
  <c r="AB86" i="37"/>
  <c r="AF85" i="37"/>
  <c r="AE85" i="37"/>
  <c r="AD85" i="37"/>
  <c r="AB85" i="37"/>
  <c r="AF84" i="37"/>
  <c r="AE84" i="37"/>
  <c r="AD84" i="37"/>
  <c r="AB84" i="37"/>
  <c r="AF83" i="37"/>
  <c r="AE83" i="37"/>
  <c r="AD83" i="37"/>
  <c r="AB83" i="37"/>
  <c r="AF82" i="37"/>
  <c r="AF81" i="37"/>
  <c r="AF80" i="37"/>
  <c r="AF79" i="37"/>
  <c r="AF78" i="37"/>
  <c r="AF77" i="37"/>
  <c r="AF76" i="37"/>
  <c r="AF75" i="37"/>
  <c r="AF74" i="37"/>
  <c r="AF73" i="37"/>
  <c r="AF72" i="37"/>
  <c r="AF71" i="37"/>
  <c r="AE71" i="37"/>
  <c r="AD71" i="37"/>
  <c r="AC71" i="37"/>
  <c r="AB71" i="37"/>
  <c r="AF70" i="37"/>
  <c r="AE70" i="37"/>
  <c r="AD70" i="37"/>
  <c r="AC70" i="37"/>
  <c r="AB70" i="37"/>
  <c r="AF69" i="37"/>
  <c r="AE69" i="37"/>
  <c r="AD69" i="37"/>
  <c r="AC69" i="37"/>
  <c r="AB69" i="37"/>
  <c r="AF68" i="37"/>
  <c r="AE68" i="37"/>
  <c r="AD68" i="37"/>
  <c r="AC68" i="37"/>
  <c r="AB68" i="37"/>
  <c r="AF67" i="37"/>
  <c r="AE67" i="37"/>
  <c r="AD67" i="37"/>
  <c r="AC67" i="37"/>
  <c r="AB67" i="37"/>
  <c r="AF66" i="37"/>
  <c r="AE66" i="37"/>
  <c r="AD66" i="37"/>
  <c r="AC66" i="37"/>
  <c r="AB66" i="37"/>
  <c r="AF65" i="37"/>
  <c r="AE65" i="37"/>
  <c r="AD65" i="37"/>
  <c r="AC65" i="37"/>
  <c r="AB65" i="37"/>
  <c r="AF64" i="37"/>
  <c r="AE64" i="37"/>
  <c r="AD64" i="37"/>
  <c r="AC64" i="37"/>
  <c r="AB64" i="37"/>
  <c r="AF63" i="37"/>
  <c r="AE63" i="37"/>
  <c r="AD63" i="37"/>
  <c r="AC63" i="37"/>
  <c r="AB63" i="37"/>
  <c r="AF62" i="37"/>
  <c r="AE62" i="37"/>
  <c r="AD62" i="37"/>
  <c r="AC62" i="37"/>
  <c r="AB62" i="37"/>
  <c r="AF61" i="37"/>
  <c r="AE61" i="37"/>
  <c r="AD61" i="37"/>
  <c r="AC61" i="37"/>
  <c r="AB61" i="37"/>
  <c r="AF60" i="37"/>
  <c r="AE60" i="37"/>
  <c r="AD60" i="37"/>
  <c r="AC60" i="37"/>
  <c r="AB60" i="37"/>
  <c r="AF59" i="37"/>
  <c r="AE59" i="37"/>
  <c r="AD59" i="37"/>
  <c r="AC59" i="37"/>
  <c r="AB59" i="37"/>
  <c r="AF58" i="37"/>
  <c r="AE58" i="37"/>
  <c r="AD58" i="37"/>
  <c r="AC58" i="37"/>
  <c r="AB58" i="37"/>
  <c r="AF57" i="37"/>
  <c r="AE57" i="37"/>
  <c r="AD57" i="37"/>
  <c r="AC57" i="37"/>
  <c r="AB57" i="37"/>
  <c r="AF56" i="37"/>
  <c r="AE56" i="37"/>
  <c r="AD56" i="37"/>
  <c r="AC56" i="37"/>
  <c r="AB56" i="37"/>
  <c r="AF55" i="37"/>
  <c r="AE55" i="37"/>
  <c r="AD55" i="37"/>
  <c r="AC55" i="37"/>
  <c r="AB55" i="37"/>
  <c r="AF54" i="37"/>
  <c r="AE54" i="37"/>
  <c r="AD54" i="37"/>
  <c r="AC54" i="37"/>
  <c r="AB54" i="37"/>
  <c r="AF53" i="37"/>
  <c r="AE53" i="37"/>
  <c r="AD53" i="37"/>
  <c r="AC53" i="37"/>
  <c r="AB53" i="37"/>
  <c r="AF52" i="37"/>
  <c r="AE52" i="37"/>
  <c r="AD52" i="37"/>
  <c r="AC52" i="37"/>
  <c r="AB52" i="37"/>
  <c r="AF51" i="37"/>
  <c r="AE51" i="37"/>
  <c r="AD51" i="37"/>
  <c r="AC51" i="37"/>
  <c r="AB51" i="37"/>
  <c r="AF50" i="37"/>
  <c r="AE50" i="37"/>
  <c r="AD50" i="37"/>
  <c r="AC50" i="37"/>
  <c r="AB50" i="37"/>
  <c r="AF49" i="37"/>
  <c r="AE49" i="37"/>
  <c r="AD49" i="37"/>
  <c r="AC49" i="37"/>
  <c r="AB49" i="37"/>
  <c r="AF48" i="37"/>
  <c r="AE48" i="37"/>
  <c r="AD48" i="37"/>
  <c r="AC48" i="37"/>
  <c r="AB48" i="37"/>
  <c r="AF47" i="37"/>
  <c r="AE47" i="37"/>
  <c r="AD47" i="37"/>
  <c r="AC47" i="37"/>
  <c r="AB47" i="37"/>
  <c r="AF46" i="37"/>
  <c r="AE46" i="37"/>
  <c r="AD46" i="37"/>
  <c r="AC46" i="37"/>
  <c r="AB46" i="37"/>
  <c r="AF45" i="37"/>
  <c r="AE45" i="37"/>
  <c r="AD45" i="37"/>
  <c r="AC45" i="37"/>
  <c r="AB45" i="37"/>
  <c r="AF44" i="37"/>
  <c r="AE44" i="37"/>
  <c r="AD44" i="37"/>
  <c r="AC44" i="37"/>
  <c r="AB44" i="37"/>
  <c r="AF43" i="37"/>
  <c r="AE43" i="37"/>
  <c r="AD43" i="37"/>
  <c r="AC43" i="37"/>
  <c r="AB43" i="37"/>
  <c r="AF42" i="37"/>
  <c r="AE42" i="37"/>
  <c r="AD42" i="37"/>
  <c r="AC42" i="37"/>
  <c r="AB42" i="37"/>
  <c r="AF41" i="37"/>
  <c r="AE41" i="37"/>
  <c r="AD41" i="37"/>
  <c r="AC41" i="37"/>
  <c r="AB41" i="37"/>
  <c r="AF40" i="37"/>
  <c r="AE40" i="37"/>
  <c r="AD40" i="37"/>
  <c r="AC40" i="37"/>
  <c r="AB40" i="37"/>
  <c r="AF39" i="37"/>
  <c r="AE39" i="37"/>
  <c r="AD39" i="37"/>
  <c r="AC39" i="37"/>
  <c r="AB39" i="37"/>
  <c r="AF38" i="37"/>
  <c r="AE38" i="37"/>
  <c r="AD38" i="37"/>
  <c r="AC38" i="37"/>
  <c r="AB38" i="37"/>
  <c r="AF37" i="37"/>
  <c r="AE37" i="37"/>
  <c r="AD37" i="37"/>
  <c r="AC37" i="37"/>
  <c r="AB37" i="37"/>
  <c r="AF36" i="37"/>
  <c r="AE36" i="37"/>
  <c r="AD36" i="37"/>
  <c r="AC36" i="37"/>
  <c r="AB36" i="37"/>
  <c r="AF35" i="37"/>
  <c r="AE35" i="37"/>
  <c r="AD35" i="37"/>
  <c r="AC35" i="37"/>
  <c r="AB35" i="37"/>
  <c r="AF34" i="37"/>
  <c r="AE34" i="37"/>
  <c r="AD34" i="37"/>
  <c r="AC34" i="37"/>
  <c r="AB34" i="37"/>
  <c r="AF33" i="37"/>
  <c r="AE33" i="37"/>
  <c r="AD33" i="37"/>
  <c r="AC33" i="37"/>
  <c r="AB33" i="37"/>
  <c r="AF32" i="37"/>
  <c r="AE32" i="37"/>
  <c r="AD32" i="37"/>
  <c r="AC32" i="37"/>
  <c r="AB32" i="37"/>
  <c r="AF31" i="37"/>
  <c r="AE31" i="37"/>
  <c r="AD31" i="37"/>
  <c r="AC31" i="37"/>
  <c r="AB31" i="37"/>
  <c r="AF30" i="37"/>
  <c r="AE30" i="37"/>
  <c r="AD30" i="37"/>
  <c r="AC30" i="37"/>
  <c r="AB30" i="37"/>
  <c r="AF29" i="37"/>
  <c r="AE29" i="37"/>
  <c r="AD29" i="37"/>
  <c r="AC29" i="37"/>
  <c r="AB29" i="37"/>
  <c r="AF28" i="37"/>
  <c r="AE28" i="37"/>
  <c r="AD28" i="37"/>
  <c r="AC28" i="37"/>
  <c r="AB28" i="37"/>
  <c r="AF27" i="37"/>
  <c r="AE27" i="37"/>
  <c r="AD27" i="37"/>
  <c r="AC27" i="37"/>
  <c r="AB27" i="37"/>
  <c r="AF26" i="37"/>
  <c r="AE26" i="37"/>
  <c r="AD26" i="37"/>
  <c r="AC26" i="37"/>
  <c r="AB26" i="37"/>
  <c r="AF25" i="37"/>
  <c r="AE25" i="37"/>
  <c r="AD25" i="37"/>
  <c r="AC25" i="37"/>
  <c r="AB25" i="37"/>
  <c r="AF24" i="37"/>
  <c r="AE24" i="37"/>
  <c r="AD24" i="37"/>
  <c r="AC24" i="37"/>
  <c r="AB24" i="37"/>
  <c r="AF23" i="37"/>
  <c r="AE23" i="37"/>
  <c r="AD23" i="37"/>
  <c r="AC23" i="37"/>
  <c r="AB23" i="37"/>
  <c r="AF22" i="37"/>
  <c r="AE22" i="37"/>
  <c r="AD22" i="37"/>
  <c r="AC22" i="37"/>
  <c r="AB22" i="37"/>
  <c r="AF21" i="37"/>
  <c r="AE21" i="37"/>
  <c r="AD21" i="37"/>
  <c r="AC21" i="37"/>
  <c r="AB21" i="37"/>
  <c r="AF20" i="37"/>
  <c r="AE20" i="37"/>
  <c r="AD20" i="37"/>
  <c r="AC20" i="37"/>
  <c r="AB20" i="37"/>
  <c r="AF19" i="37"/>
  <c r="AE19" i="37"/>
  <c r="AD19" i="37"/>
  <c r="AC19" i="37"/>
  <c r="AB19" i="37"/>
  <c r="AF18" i="37"/>
  <c r="AE18" i="37"/>
  <c r="AD18" i="37"/>
  <c r="AC18" i="37"/>
  <c r="AB18" i="37"/>
  <c r="AF17" i="37"/>
  <c r="AE17" i="37"/>
  <c r="AD17" i="37"/>
  <c r="AC17" i="37"/>
  <c r="AB17" i="37"/>
  <c r="AF16" i="37"/>
  <c r="AE16" i="37"/>
  <c r="AD16" i="37"/>
  <c r="AC16" i="37"/>
  <c r="AB16" i="37"/>
  <c r="AF15" i="37"/>
  <c r="AE15" i="37"/>
  <c r="AD15" i="37"/>
  <c r="AC15" i="37"/>
  <c r="AB15" i="37"/>
  <c r="AF14" i="37"/>
  <c r="AE14" i="37"/>
  <c r="AD14" i="37"/>
  <c r="AC14" i="37"/>
  <c r="AB14" i="37"/>
  <c r="AF13" i="37"/>
  <c r="AE13" i="37"/>
  <c r="AD13" i="37"/>
  <c r="AC13" i="37"/>
  <c r="AB13" i="37"/>
  <c r="AF12" i="37"/>
  <c r="AE12" i="37"/>
  <c r="AD12" i="37"/>
  <c r="AC12" i="37"/>
  <c r="AB12" i="37"/>
  <c r="AF11" i="37"/>
  <c r="AE11" i="37"/>
  <c r="AD11" i="37"/>
  <c r="AC11" i="37"/>
  <c r="AB11" i="37"/>
  <c r="AF10" i="37"/>
  <c r="AE10" i="37"/>
  <c r="AD10" i="37"/>
  <c r="AC10" i="37"/>
  <c r="AB10" i="37"/>
  <c r="AF9" i="37"/>
  <c r="AE9" i="37"/>
  <c r="AD9" i="37"/>
  <c r="AC9" i="37"/>
  <c r="AB9" i="37"/>
  <c r="AF8" i="37"/>
  <c r="AE8" i="37"/>
  <c r="AD8" i="37"/>
  <c r="AC8" i="37"/>
  <c r="AB8" i="37"/>
  <c r="AF7" i="37"/>
  <c r="AE7" i="37"/>
  <c r="AD7" i="37"/>
  <c r="AC7" i="37"/>
  <c r="AB7" i="37"/>
  <c r="AF6" i="37"/>
  <c r="AE6" i="37"/>
  <c r="AD6" i="37"/>
  <c r="AC6" i="37"/>
  <c r="AB6" i="37"/>
  <c r="AF5" i="37"/>
  <c r="AE5" i="37"/>
  <c r="AD5" i="37"/>
  <c r="AC5" i="37"/>
  <c r="AB5" i="37"/>
  <c r="AF4" i="37"/>
  <c r="AE4" i="37"/>
  <c r="AD4" i="37"/>
  <c r="AC4" i="37"/>
  <c r="AB4" i="37"/>
  <c r="AF3" i="37"/>
  <c r="AE3" i="37"/>
  <c r="AD3" i="37"/>
  <c r="AC3" i="37"/>
  <c r="AB3" i="37"/>
  <c r="AF2" i="37"/>
  <c r="AE2" i="37"/>
  <c r="AD2" i="37"/>
  <c r="AC2" i="37"/>
  <c r="AB2" i="37"/>
  <c r="J23" i="41" l="1"/>
  <c r="J24" i="41"/>
  <c r="J25" i="41"/>
  <c r="J26" i="41"/>
  <c r="J27" i="41"/>
  <c r="J28" i="41"/>
  <c r="J29" i="41"/>
  <c r="J30" i="41"/>
  <c r="J31" i="41"/>
  <c r="J32" i="41"/>
  <c r="J33" i="41"/>
  <c r="J34" i="41"/>
  <c r="J35" i="41"/>
  <c r="J36" i="41"/>
  <c r="J37" i="41"/>
  <c r="J38" i="41"/>
  <c r="J39" i="41"/>
  <c r="J40" i="41"/>
  <c r="J41" i="41"/>
  <c r="J42" i="41"/>
  <c r="J43" i="41"/>
  <c r="J44" i="41"/>
  <c r="J45" i="41"/>
  <c r="J46" i="41"/>
  <c r="J47" i="41"/>
  <c r="J48" i="41"/>
  <c r="J49" i="41"/>
  <c r="J50" i="41"/>
  <c r="J51" i="41"/>
  <c r="J52" i="41"/>
  <c r="J53" i="41"/>
  <c r="J54" i="41"/>
  <c r="J55" i="41"/>
  <c r="J56" i="41"/>
  <c r="J57" i="41"/>
  <c r="J58" i="41"/>
  <c r="J59" i="41"/>
  <c r="J60" i="41"/>
  <c r="J61" i="41"/>
  <c r="J62" i="41"/>
  <c r="J63" i="41"/>
  <c r="J64" i="41"/>
  <c r="J65" i="41"/>
  <c r="J66" i="41"/>
  <c r="J67" i="41"/>
  <c r="J68" i="41"/>
  <c r="J69" i="41"/>
  <c r="J70" i="41"/>
  <c r="J71" i="41"/>
  <c r="J72" i="41"/>
  <c r="J73" i="41"/>
  <c r="J74" i="41"/>
  <c r="J75" i="41"/>
  <c r="J76" i="41"/>
  <c r="J77" i="41"/>
  <c r="J78" i="41"/>
  <c r="J79" i="41"/>
  <c r="J80" i="41"/>
  <c r="J81" i="41"/>
  <c r="J82" i="41"/>
  <c r="J83" i="41"/>
  <c r="J84" i="41"/>
  <c r="J85" i="41"/>
  <c r="J86" i="41"/>
  <c r="J87" i="41"/>
  <c r="J88" i="41"/>
  <c r="J89" i="41"/>
  <c r="J90" i="41"/>
  <c r="J91" i="41"/>
  <c r="J92" i="41"/>
  <c r="J93" i="41"/>
  <c r="J94" i="41"/>
  <c r="J95" i="41"/>
  <c r="J96" i="41"/>
  <c r="J97" i="41"/>
  <c r="J98" i="41"/>
  <c r="J99" i="41"/>
  <c r="J100" i="41"/>
  <c r="J101" i="41"/>
  <c r="J102" i="41"/>
  <c r="J103" i="41"/>
  <c r="J104" i="41"/>
  <c r="J105" i="41"/>
  <c r="J106" i="41"/>
  <c r="J107" i="41"/>
  <c r="J108" i="41"/>
  <c r="J109" i="41"/>
  <c r="J110" i="41"/>
  <c r="J111" i="41"/>
  <c r="J112" i="41"/>
  <c r="J113" i="41"/>
  <c r="J114" i="41"/>
  <c r="J115" i="41"/>
  <c r="J116" i="41"/>
  <c r="J117" i="41"/>
  <c r="J118" i="41"/>
  <c r="J119" i="41"/>
  <c r="J120" i="41"/>
  <c r="J121" i="41"/>
  <c r="J122" i="41"/>
  <c r="J123" i="41"/>
  <c r="J124" i="41"/>
  <c r="J125" i="41"/>
  <c r="J126" i="41"/>
  <c r="J127" i="41"/>
  <c r="J128" i="41"/>
  <c r="J129" i="41"/>
  <c r="J130" i="41"/>
  <c r="J131" i="41"/>
  <c r="J132" i="41"/>
  <c r="J133" i="41"/>
  <c r="J134" i="41"/>
  <c r="J135" i="41"/>
  <c r="J136" i="41"/>
  <c r="J137" i="41"/>
  <c r="J138" i="41"/>
  <c r="J139" i="41"/>
  <c r="J140" i="41"/>
  <c r="J141" i="41"/>
  <c r="J142" i="41"/>
  <c r="J143" i="41"/>
  <c r="J144" i="41"/>
  <c r="J145" i="41"/>
  <c r="J146" i="41"/>
  <c r="J147" i="41"/>
  <c r="J148" i="41"/>
  <c r="J149" i="41"/>
  <c r="J150" i="41"/>
  <c r="J151" i="41"/>
  <c r="J152" i="41"/>
  <c r="J153" i="41"/>
  <c r="J154" i="41"/>
  <c r="J155" i="41"/>
  <c r="J156" i="41"/>
  <c r="J157" i="41"/>
  <c r="J158" i="41"/>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2" i="41"/>
  <c r="J5" i="41"/>
  <c r="J6" i="41"/>
  <c r="J7" i="41"/>
  <c r="J8" i="41"/>
  <c r="J9" i="41"/>
  <c r="J10" i="41"/>
  <c r="J11" i="41"/>
  <c r="J12" i="41"/>
  <c r="J13" i="41"/>
  <c r="J14" i="41"/>
  <c r="J15" i="41"/>
  <c r="J16" i="41"/>
  <c r="J17" i="41"/>
  <c r="J18" i="41"/>
  <c r="J19" i="41"/>
  <c r="J20" i="41"/>
  <c r="J21" i="41"/>
  <c r="J4" i="41"/>
  <c r="M3" i="37" l="1"/>
  <c r="N3" i="37"/>
  <c r="O3" i="37"/>
  <c r="Q3" i="37"/>
  <c r="R3" i="37"/>
  <c r="S3" i="37"/>
  <c r="T3" i="37"/>
  <c r="U3" i="37"/>
  <c r="V3" i="37"/>
  <c r="W3" i="37"/>
  <c r="X3" i="37"/>
  <c r="Y3" i="37"/>
  <c r="Z3" i="37"/>
  <c r="AA3" i="37"/>
  <c r="AG3" i="37"/>
  <c r="AH3" i="37"/>
  <c r="AI3" i="37"/>
  <c r="AJ3" i="37"/>
  <c r="AK3" i="37"/>
  <c r="L4" i="37"/>
  <c r="M4" i="37"/>
  <c r="N4" i="37"/>
  <c r="O4" i="37"/>
  <c r="P4" i="37"/>
  <c r="Q4" i="37"/>
  <c r="R4" i="37"/>
  <c r="S4" i="37"/>
  <c r="T4" i="37"/>
  <c r="U4" i="37"/>
  <c r="V4" i="37"/>
  <c r="W4" i="37"/>
  <c r="X4" i="37"/>
  <c r="Y4" i="37"/>
  <c r="Z4" i="37"/>
  <c r="AA4" i="37"/>
  <c r="AG4" i="37"/>
  <c r="AH4" i="37"/>
  <c r="AI4" i="37"/>
  <c r="AJ4" i="37"/>
  <c r="AK4" i="37"/>
  <c r="L5" i="37"/>
  <c r="M5" i="37"/>
  <c r="O5" i="37"/>
  <c r="P5" i="37"/>
  <c r="Q5" i="37"/>
  <c r="R5" i="37"/>
  <c r="S5" i="37"/>
  <c r="T5" i="37"/>
  <c r="U5" i="37"/>
  <c r="V5" i="37"/>
  <c r="W5" i="37"/>
  <c r="X5" i="37"/>
  <c r="Y5" i="37"/>
  <c r="Z5" i="37"/>
  <c r="AA5" i="37"/>
  <c r="AG5" i="37"/>
  <c r="AH5" i="37"/>
  <c r="AI5" i="37"/>
  <c r="AJ5" i="37"/>
  <c r="AK5" i="37"/>
  <c r="K6" i="37"/>
  <c r="L6" i="37"/>
  <c r="M6" i="37"/>
  <c r="N6" i="37"/>
  <c r="O6" i="37"/>
  <c r="P6" i="37"/>
  <c r="Q6" i="37"/>
  <c r="R6" i="37"/>
  <c r="S6" i="37"/>
  <c r="T6" i="37"/>
  <c r="U6" i="37"/>
  <c r="V6" i="37"/>
  <c r="W6" i="37"/>
  <c r="X6" i="37"/>
  <c r="Y6" i="37"/>
  <c r="Z6" i="37"/>
  <c r="AA6" i="37"/>
  <c r="AG6" i="37"/>
  <c r="AH6" i="37"/>
  <c r="AI6" i="37"/>
  <c r="AJ6" i="37"/>
  <c r="AK6" i="37"/>
  <c r="K7" i="37"/>
  <c r="L7" i="37"/>
  <c r="M7" i="37"/>
  <c r="N7" i="37"/>
  <c r="O7" i="37"/>
  <c r="P7" i="37"/>
  <c r="Q7" i="37"/>
  <c r="R7" i="37"/>
  <c r="S7" i="37"/>
  <c r="T7" i="37"/>
  <c r="U7" i="37"/>
  <c r="V7" i="37"/>
  <c r="W7" i="37"/>
  <c r="X7" i="37"/>
  <c r="Y7" i="37"/>
  <c r="Z7" i="37"/>
  <c r="AA7" i="37"/>
  <c r="AG7" i="37"/>
  <c r="AH7" i="37"/>
  <c r="AI7" i="37"/>
  <c r="AJ7" i="37"/>
  <c r="AK7" i="37"/>
  <c r="O8" i="37"/>
  <c r="P8" i="37"/>
  <c r="Q8" i="37"/>
  <c r="R8" i="37"/>
  <c r="S8" i="37"/>
  <c r="T8" i="37"/>
  <c r="U8" i="37"/>
  <c r="V8" i="37"/>
  <c r="W8" i="37"/>
  <c r="X8" i="37"/>
  <c r="Y8" i="37"/>
  <c r="Z8" i="37"/>
  <c r="AA8" i="37"/>
  <c r="AG8" i="37"/>
  <c r="AH8" i="37"/>
  <c r="AI8" i="37"/>
  <c r="AJ8" i="37"/>
  <c r="AK8" i="37"/>
  <c r="N9" i="37"/>
  <c r="O9" i="37"/>
  <c r="P9" i="37"/>
  <c r="Q9" i="37"/>
  <c r="R9" i="37"/>
  <c r="S9" i="37"/>
  <c r="T9" i="37"/>
  <c r="U9" i="37"/>
  <c r="V9" i="37"/>
  <c r="W9" i="37"/>
  <c r="X9" i="37"/>
  <c r="Y9" i="37"/>
  <c r="Z9" i="37"/>
  <c r="AA9" i="37"/>
  <c r="AG9" i="37"/>
  <c r="AH9" i="37"/>
  <c r="AI9" i="37"/>
  <c r="AJ9" i="37"/>
  <c r="AK9" i="37"/>
  <c r="N10" i="37"/>
  <c r="O10" i="37"/>
  <c r="P10" i="37"/>
  <c r="Q10" i="37"/>
  <c r="R10" i="37"/>
  <c r="S10" i="37"/>
  <c r="T10" i="37"/>
  <c r="U10" i="37"/>
  <c r="V10" i="37"/>
  <c r="W10" i="37"/>
  <c r="X10" i="37"/>
  <c r="Y10" i="37"/>
  <c r="Z10" i="37"/>
  <c r="AA10" i="37"/>
  <c r="AG10" i="37"/>
  <c r="AH10" i="37"/>
  <c r="AI10" i="37"/>
  <c r="AJ10" i="37"/>
  <c r="AK10" i="37"/>
  <c r="K11" i="37"/>
  <c r="L11" i="37"/>
  <c r="M11" i="37"/>
  <c r="N11" i="37"/>
  <c r="O11" i="37"/>
  <c r="P11" i="37"/>
  <c r="Q11" i="37"/>
  <c r="R11" i="37"/>
  <c r="S11" i="37"/>
  <c r="T11" i="37"/>
  <c r="U11" i="37"/>
  <c r="V11" i="37"/>
  <c r="W11" i="37"/>
  <c r="X11" i="37"/>
  <c r="Y11" i="37"/>
  <c r="Z11" i="37"/>
  <c r="AA11" i="37"/>
  <c r="AG11" i="37"/>
  <c r="AH11" i="37"/>
  <c r="AI11" i="37"/>
  <c r="AJ11" i="37"/>
  <c r="AK11" i="37"/>
  <c r="K12" i="37"/>
  <c r="L12" i="37"/>
  <c r="M12" i="37"/>
  <c r="N12" i="37"/>
  <c r="O12" i="37"/>
  <c r="P12" i="37"/>
  <c r="Q12" i="37"/>
  <c r="R12" i="37"/>
  <c r="S12" i="37"/>
  <c r="T12" i="37"/>
  <c r="U12" i="37"/>
  <c r="V12" i="37"/>
  <c r="W12" i="37"/>
  <c r="X12" i="37"/>
  <c r="Y12" i="37"/>
  <c r="Z12" i="37"/>
  <c r="AA12" i="37"/>
  <c r="AG12" i="37"/>
  <c r="AH12" i="37"/>
  <c r="AI12" i="37"/>
  <c r="AJ12" i="37"/>
  <c r="AK12" i="37"/>
  <c r="K13" i="37"/>
  <c r="L13" i="37"/>
  <c r="M13" i="37"/>
  <c r="N13" i="37"/>
  <c r="O13" i="37"/>
  <c r="P13" i="37"/>
  <c r="Q13" i="37"/>
  <c r="R13" i="37"/>
  <c r="S13" i="37"/>
  <c r="T13" i="37"/>
  <c r="U13" i="37"/>
  <c r="V13" i="37"/>
  <c r="W13" i="37"/>
  <c r="X13" i="37"/>
  <c r="Y13" i="37"/>
  <c r="Z13" i="37"/>
  <c r="AA13" i="37"/>
  <c r="AG13" i="37"/>
  <c r="AH13" i="37"/>
  <c r="AI13" i="37"/>
  <c r="AJ13" i="37"/>
  <c r="AK13" i="37"/>
  <c r="K14" i="37"/>
  <c r="L14" i="37"/>
  <c r="M14" i="37"/>
  <c r="N14" i="37"/>
  <c r="O14" i="37"/>
  <c r="P14" i="37"/>
  <c r="Q14" i="37"/>
  <c r="R14" i="37"/>
  <c r="S14" i="37"/>
  <c r="T14" i="37"/>
  <c r="U14" i="37"/>
  <c r="V14" i="37"/>
  <c r="W14" i="37"/>
  <c r="X14" i="37"/>
  <c r="Y14" i="37"/>
  <c r="Z14" i="37"/>
  <c r="AA14" i="37"/>
  <c r="AG14" i="37"/>
  <c r="AH14" i="37"/>
  <c r="AI14" i="37"/>
  <c r="AJ14" i="37"/>
  <c r="AK14" i="37"/>
  <c r="K15" i="37"/>
  <c r="L15" i="37"/>
  <c r="M15" i="37"/>
  <c r="N15" i="37"/>
  <c r="O15" i="37"/>
  <c r="P15" i="37"/>
  <c r="Q15" i="37"/>
  <c r="R15" i="37"/>
  <c r="S15" i="37"/>
  <c r="T15" i="37"/>
  <c r="U15" i="37"/>
  <c r="V15" i="37"/>
  <c r="W15" i="37"/>
  <c r="X15" i="37"/>
  <c r="Y15" i="37"/>
  <c r="Z15" i="37"/>
  <c r="AA15" i="37"/>
  <c r="AG15" i="37"/>
  <c r="AH15" i="37"/>
  <c r="AI15" i="37"/>
  <c r="AJ15" i="37"/>
  <c r="AK15" i="37"/>
  <c r="M16" i="37"/>
  <c r="N16" i="37"/>
  <c r="O16" i="37"/>
  <c r="P16" i="37"/>
  <c r="Q16" i="37"/>
  <c r="R16" i="37"/>
  <c r="S16" i="37"/>
  <c r="T16" i="37"/>
  <c r="U16" i="37"/>
  <c r="V16" i="37"/>
  <c r="W16" i="37"/>
  <c r="X16" i="37"/>
  <c r="Y16" i="37"/>
  <c r="Z16" i="37"/>
  <c r="AA16" i="37"/>
  <c r="AG16" i="37"/>
  <c r="AH16" i="37"/>
  <c r="AI16" i="37"/>
  <c r="AJ16" i="37"/>
  <c r="AK16" i="37"/>
  <c r="M17" i="37"/>
  <c r="N17" i="37"/>
  <c r="O17" i="37"/>
  <c r="P17" i="37"/>
  <c r="Q17" i="37"/>
  <c r="R17" i="37"/>
  <c r="S17" i="37"/>
  <c r="T17" i="37"/>
  <c r="U17" i="37"/>
  <c r="V17" i="37"/>
  <c r="W17" i="37"/>
  <c r="X17" i="37"/>
  <c r="Y17" i="37"/>
  <c r="Z17" i="37"/>
  <c r="AA17" i="37"/>
  <c r="AG17" i="37"/>
  <c r="AH17" i="37"/>
  <c r="AI17" i="37"/>
  <c r="AJ17" i="37"/>
  <c r="AK17" i="37"/>
  <c r="N18" i="37"/>
  <c r="O18" i="37"/>
  <c r="P18" i="37"/>
  <c r="Q18" i="37"/>
  <c r="R18" i="37"/>
  <c r="S18" i="37"/>
  <c r="T18" i="37"/>
  <c r="U18" i="37"/>
  <c r="V18" i="37"/>
  <c r="W18" i="37"/>
  <c r="X18" i="37"/>
  <c r="Y18" i="37"/>
  <c r="Z18" i="37"/>
  <c r="AA18" i="37"/>
  <c r="AG18" i="37"/>
  <c r="AH18" i="37"/>
  <c r="AI18" i="37"/>
  <c r="AJ18" i="37"/>
  <c r="AK18" i="37"/>
  <c r="O19" i="37"/>
  <c r="P19" i="37"/>
  <c r="Q19" i="37"/>
  <c r="R19" i="37"/>
  <c r="S19" i="37"/>
  <c r="T19" i="37"/>
  <c r="U19" i="37"/>
  <c r="V19" i="37"/>
  <c r="W19" i="37"/>
  <c r="X19" i="37"/>
  <c r="Y19" i="37"/>
  <c r="Z19" i="37"/>
  <c r="AA19" i="37"/>
  <c r="AG19" i="37"/>
  <c r="AH19" i="37"/>
  <c r="AI19" i="37"/>
  <c r="AJ19" i="37"/>
  <c r="AK19" i="37"/>
  <c r="O20" i="37"/>
  <c r="P20" i="37"/>
  <c r="R20" i="37"/>
  <c r="S20" i="37"/>
  <c r="T20" i="37"/>
  <c r="U20" i="37"/>
  <c r="V20" i="37"/>
  <c r="W20" i="37"/>
  <c r="X20" i="37"/>
  <c r="Y20" i="37"/>
  <c r="Z20" i="37"/>
  <c r="AA20" i="37"/>
  <c r="AG20" i="37"/>
  <c r="AH20" i="37"/>
  <c r="AI20" i="37"/>
  <c r="AJ20" i="37"/>
  <c r="AK20" i="37"/>
  <c r="O21" i="37"/>
  <c r="P21" i="37"/>
  <c r="Q21" i="37"/>
  <c r="R21" i="37"/>
  <c r="S21" i="37"/>
  <c r="T21" i="37"/>
  <c r="U21" i="37"/>
  <c r="V21" i="37"/>
  <c r="W21" i="37"/>
  <c r="X21" i="37"/>
  <c r="Y21" i="37"/>
  <c r="Z21" i="37"/>
  <c r="AA21" i="37"/>
  <c r="AG21" i="37"/>
  <c r="AH21" i="37"/>
  <c r="AI21" i="37"/>
  <c r="AJ21" i="37"/>
  <c r="AK21" i="37"/>
  <c r="K22" i="37"/>
  <c r="O22" i="37"/>
  <c r="P22" i="37"/>
  <c r="Q22" i="37"/>
  <c r="R22" i="37"/>
  <c r="S22" i="37"/>
  <c r="T22" i="37"/>
  <c r="U22" i="37"/>
  <c r="V22" i="37"/>
  <c r="W22" i="37"/>
  <c r="X22" i="37"/>
  <c r="Y22" i="37"/>
  <c r="Z22" i="37"/>
  <c r="AA22" i="37"/>
  <c r="AG22" i="37"/>
  <c r="AH22" i="37"/>
  <c r="AI22" i="37"/>
  <c r="AJ22" i="37"/>
  <c r="AK22" i="37"/>
  <c r="N23" i="37"/>
  <c r="O23" i="37"/>
  <c r="P23" i="37"/>
  <c r="Q23" i="37"/>
  <c r="R23" i="37"/>
  <c r="S23" i="37"/>
  <c r="T23" i="37"/>
  <c r="U23" i="37"/>
  <c r="V23" i="37"/>
  <c r="W23" i="37"/>
  <c r="X23" i="37"/>
  <c r="Y23" i="37"/>
  <c r="Z23" i="37"/>
  <c r="AA23" i="37"/>
  <c r="AG23" i="37"/>
  <c r="AH23" i="37"/>
  <c r="AI23" i="37"/>
  <c r="AJ23" i="37"/>
  <c r="AK23" i="37"/>
  <c r="M24" i="37"/>
  <c r="N24" i="37"/>
  <c r="O24" i="37"/>
  <c r="P24" i="37"/>
  <c r="Q24" i="37"/>
  <c r="R24" i="37"/>
  <c r="S24" i="37"/>
  <c r="T24" i="37"/>
  <c r="U24" i="37"/>
  <c r="V24" i="37"/>
  <c r="W24" i="37"/>
  <c r="X24" i="37"/>
  <c r="Y24" i="37"/>
  <c r="Z24" i="37"/>
  <c r="AA24" i="37"/>
  <c r="AG24" i="37"/>
  <c r="AH24" i="37"/>
  <c r="AI24" i="37"/>
  <c r="AJ24" i="37"/>
  <c r="AK24" i="37"/>
  <c r="K25" i="37"/>
  <c r="M25" i="37"/>
  <c r="N25" i="37"/>
  <c r="O25" i="37"/>
  <c r="P25" i="37"/>
  <c r="Q25" i="37"/>
  <c r="R25" i="37"/>
  <c r="S25" i="37"/>
  <c r="T25" i="37"/>
  <c r="U25" i="37"/>
  <c r="V25" i="37"/>
  <c r="W25" i="37"/>
  <c r="X25" i="37"/>
  <c r="Y25" i="37"/>
  <c r="Z25" i="37"/>
  <c r="AA25" i="37"/>
  <c r="AG25" i="37"/>
  <c r="AH25" i="37"/>
  <c r="AI25" i="37"/>
  <c r="AJ25" i="37"/>
  <c r="AK25" i="37"/>
  <c r="M26" i="37"/>
  <c r="N26" i="37"/>
  <c r="O26" i="37"/>
  <c r="P26" i="37"/>
  <c r="Q26" i="37"/>
  <c r="R26" i="37"/>
  <c r="S26" i="37"/>
  <c r="T26" i="37"/>
  <c r="U26" i="37"/>
  <c r="V26" i="37"/>
  <c r="W26" i="37"/>
  <c r="X26" i="37"/>
  <c r="Y26" i="37"/>
  <c r="Z26" i="37"/>
  <c r="AA26" i="37"/>
  <c r="AG26" i="37"/>
  <c r="AH26" i="37"/>
  <c r="AI26" i="37"/>
  <c r="AJ26" i="37"/>
  <c r="AK26" i="37"/>
  <c r="L27" i="37"/>
  <c r="M27" i="37"/>
  <c r="N27" i="37"/>
  <c r="O27" i="37"/>
  <c r="P27" i="37"/>
  <c r="Q27" i="37"/>
  <c r="R27" i="37"/>
  <c r="S27" i="37"/>
  <c r="T27" i="37"/>
  <c r="U27" i="37"/>
  <c r="V27" i="37"/>
  <c r="W27" i="37"/>
  <c r="X27" i="37"/>
  <c r="Y27" i="37"/>
  <c r="Z27" i="37"/>
  <c r="AA27" i="37"/>
  <c r="AG27" i="37"/>
  <c r="AH27" i="37"/>
  <c r="AI27" i="37"/>
  <c r="AJ27" i="37"/>
  <c r="AK27" i="37"/>
  <c r="L28" i="37"/>
  <c r="M28" i="37"/>
  <c r="N28" i="37"/>
  <c r="O28" i="37"/>
  <c r="P28" i="37"/>
  <c r="Q28" i="37"/>
  <c r="R28" i="37"/>
  <c r="S28" i="37"/>
  <c r="T28" i="37"/>
  <c r="U28" i="37"/>
  <c r="V28" i="37"/>
  <c r="W28" i="37"/>
  <c r="X28" i="37"/>
  <c r="Y28" i="37"/>
  <c r="Z28" i="37"/>
  <c r="AA28" i="37"/>
  <c r="AG28" i="37"/>
  <c r="AH28" i="37"/>
  <c r="AI28" i="37"/>
  <c r="AJ28" i="37"/>
  <c r="AK28" i="37"/>
  <c r="K29" i="37"/>
  <c r="L29" i="37"/>
  <c r="M29" i="37"/>
  <c r="N29" i="37"/>
  <c r="O29" i="37"/>
  <c r="P29" i="37"/>
  <c r="Q29" i="37"/>
  <c r="R29" i="37"/>
  <c r="S29" i="37"/>
  <c r="T29" i="37"/>
  <c r="U29" i="37"/>
  <c r="V29" i="37"/>
  <c r="W29" i="37"/>
  <c r="X29" i="37"/>
  <c r="Y29" i="37"/>
  <c r="Z29" i="37"/>
  <c r="AA29" i="37"/>
  <c r="AG29" i="37"/>
  <c r="AH29" i="37"/>
  <c r="AI29" i="37"/>
  <c r="AJ29" i="37"/>
  <c r="AK29" i="37"/>
  <c r="M30" i="37"/>
  <c r="N30" i="37"/>
  <c r="O30" i="37"/>
  <c r="P30" i="37"/>
  <c r="Q30" i="37"/>
  <c r="R30" i="37"/>
  <c r="S30" i="37"/>
  <c r="T30" i="37"/>
  <c r="U30" i="37"/>
  <c r="V30" i="37"/>
  <c r="W30" i="37"/>
  <c r="X30" i="37"/>
  <c r="Y30" i="37"/>
  <c r="Z30" i="37"/>
  <c r="AA30" i="37"/>
  <c r="AG30" i="37"/>
  <c r="AH30" i="37"/>
  <c r="AI30" i="37"/>
  <c r="AJ30" i="37"/>
  <c r="AK30" i="37"/>
  <c r="M31" i="37"/>
  <c r="N31" i="37"/>
  <c r="O31" i="37"/>
  <c r="Q31" i="37"/>
  <c r="R31" i="37"/>
  <c r="S31" i="37"/>
  <c r="T31" i="37"/>
  <c r="U31" i="37"/>
  <c r="V31" i="37"/>
  <c r="W31" i="37"/>
  <c r="X31" i="37"/>
  <c r="Y31" i="37"/>
  <c r="Z31" i="37"/>
  <c r="AA31" i="37"/>
  <c r="AG31" i="37"/>
  <c r="AH31" i="37"/>
  <c r="AI31" i="37"/>
  <c r="AJ31" i="37"/>
  <c r="AK31" i="37"/>
  <c r="L32" i="37"/>
  <c r="M32" i="37"/>
  <c r="N32" i="37"/>
  <c r="O32" i="37"/>
  <c r="P32" i="37"/>
  <c r="Q32" i="37"/>
  <c r="R32" i="37"/>
  <c r="S32" i="37"/>
  <c r="T32" i="37"/>
  <c r="U32" i="37"/>
  <c r="V32" i="37"/>
  <c r="W32" i="37"/>
  <c r="X32" i="37"/>
  <c r="Y32" i="37"/>
  <c r="Z32" i="37"/>
  <c r="AA32" i="37"/>
  <c r="AG32" i="37"/>
  <c r="AH32" i="37"/>
  <c r="AI32" i="37"/>
  <c r="AJ32" i="37"/>
  <c r="AK32" i="37"/>
  <c r="L33" i="37"/>
  <c r="M33" i="37"/>
  <c r="O33" i="37"/>
  <c r="P33" i="37"/>
  <c r="Q33" i="37"/>
  <c r="R33" i="37"/>
  <c r="S33" i="37"/>
  <c r="T33" i="37"/>
  <c r="U33" i="37"/>
  <c r="V33" i="37"/>
  <c r="W33" i="37"/>
  <c r="X33" i="37"/>
  <c r="Y33" i="37"/>
  <c r="Z33" i="37"/>
  <c r="AA33" i="37"/>
  <c r="AG33" i="37"/>
  <c r="AH33" i="37"/>
  <c r="AI33" i="37"/>
  <c r="AJ33" i="37"/>
  <c r="AK33" i="37"/>
  <c r="K34" i="37"/>
  <c r="L34" i="37"/>
  <c r="M34" i="37"/>
  <c r="N34" i="37"/>
  <c r="O34" i="37"/>
  <c r="P34" i="37"/>
  <c r="Q34" i="37"/>
  <c r="R34" i="37"/>
  <c r="S34" i="37"/>
  <c r="T34" i="37"/>
  <c r="U34" i="37"/>
  <c r="V34" i="37"/>
  <c r="W34" i="37"/>
  <c r="X34" i="37"/>
  <c r="Y34" i="37"/>
  <c r="Z34" i="37"/>
  <c r="AA34" i="37"/>
  <c r="AG34" i="37"/>
  <c r="AH34" i="37"/>
  <c r="AI34" i="37"/>
  <c r="AJ34" i="37"/>
  <c r="AK34" i="37"/>
  <c r="N35" i="37"/>
  <c r="O35" i="37"/>
  <c r="P35" i="37"/>
  <c r="Q35" i="37"/>
  <c r="R35" i="37"/>
  <c r="S35" i="37"/>
  <c r="T35" i="37"/>
  <c r="U35" i="37"/>
  <c r="V35" i="37"/>
  <c r="W35" i="37"/>
  <c r="X35" i="37"/>
  <c r="Y35" i="37"/>
  <c r="Z35" i="37"/>
  <c r="AA35" i="37"/>
  <c r="AG35" i="37"/>
  <c r="AH35" i="37"/>
  <c r="AI35" i="37"/>
  <c r="AJ35" i="37"/>
  <c r="AK35" i="37"/>
  <c r="K36" i="37"/>
  <c r="L36" i="37"/>
  <c r="M36" i="37"/>
  <c r="N36" i="37"/>
  <c r="O36" i="37"/>
  <c r="P36" i="37"/>
  <c r="Q36" i="37"/>
  <c r="R36" i="37"/>
  <c r="S36" i="37"/>
  <c r="T36" i="37"/>
  <c r="U36" i="37"/>
  <c r="V36" i="37"/>
  <c r="W36" i="37"/>
  <c r="X36" i="37"/>
  <c r="Y36" i="37"/>
  <c r="Z36" i="37"/>
  <c r="AA36" i="37"/>
  <c r="AG36" i="37"/>
  <c r="AH36" i="37"/>
  <c r="AI36" i="37"/>
  <c r="AJ36" i="37"/>
  <c r="AK36" i="37"/>
  <c r="M37" i="37"/>
  <c r="N37" i="37"/>
  <c r="P37" i="37"/>
  <c r="Q37" i="37"/>
  <c r="R37" i="37"/>
  <c r="S37" i="37"/>
  <c r="T37" i="37"/>
  <c r="U37" i="37"/>
  <c r="V37" i="37"/>
  <c r="W37" i="37"/>
  <c r="X37" i="37"/>
  <c r="Y37" i="37"/>
  <c r="Z37" i="37"/>
  <c r="AA37" i="37"/>
  <c r="AG37" i="37"/>
  <c r="AH37" i="37"/>
  <c r="AI37" i="37"/>
  <c r="AJ37" i="37"/>
  <c r="AK37" i="37"/>
  <c r="M38" i="37"/>
  <c r="N38" i="37"/>
  <c r="O38" i="37"/>
  <c r="P38" i="37"/>
  <c r="Q38" i="37"/>
  <c r="R38" i="37"/>
  <c r="S38" i="37"/>
  <c r="T38" i="37"/>
  <c r="U38" i="37"/>
  <c r="V38" i="37"/>
  <c r="W38" i="37"/>
  <c r="X38" i="37"/>
  <c r="Y38" i="37"/>
  <c r="Z38" i="37"/>
  <c r="AA38" i="37"/>
  <c r="AG38" i="37"/>
  <c r="AH38" i="37"/>
  <c r="AI38" i="37"/>
  <c r="AJ38" i="37"/>
  <c r="AK38" i="37"/>
  <c r="M39" i="37"/>
  <c r="N39" i="37"/>
  <c r="O39" i="37"/>
  <c r="P39" i="37"/>
  <c r="Q39" i="37"/>
  <c r="R39" i="37"/>
  <c r="S39" i="37"/>
  <c r="T39" i="37"/>
  <c r="U39" i="37"/>
  <c r="V39" i="37"/>
  <c r="W39" i="37"/>
  <c r="X39" i="37"/>
  <c r="Y39" i="37"/>
  <c r="Z39" i="37"/>
  <c r="AA39" i="37"/>
  <c r="AG39" i="37"/>
  <c r="AH39" i="37"/>
  <c r="AI39" i="37"/>
  <c r="AJ39" i="37"/>
  <c r="AK39" i="37"/>
  <c r="N40" i="37"/>
  <c r="O40" i="37"/>
  <c r="P40" i="37"/>
  <c r="Q40" i="37"/>
  <c r="R40" i="37"/>
  <c r="S40" i="37"/>
  <c r="T40" i="37"/>
  <c r="U40" i="37"/>
  <c r="V40" i="37"/>
  <c r="W40" i="37"/>
  <c r="X40" i="37"/>
  <c r="Y40" i="37"/>
  <c r="Z40" i="37"/>
  <c r="AA40" i="37"/>
  <c r="AG40" i="37"/>
  <c r="AH40" i="37"/>
  <c r="AI40" i="37"/>
  <c r="AJ40" i="37"/>
  <c r="AK40" i="37"/>
  <c r="O41" i="37"/>
  <c r="P41" i="37"/>
  <c r="Q41" i="37"/>
  <c r="R41" i="37"/>
  <c r="S41" i="37"/>
  <c r="T41" i="37"/>
  <c r="U41" i="37"/>
  <c r="V41" i="37"/>
  <c r="W41" i="37"/>
  <c r="X41" i="37"/>
  <c r="Y41" i="37"/>
  <c r="Z41" i="37"/>
  <c r="AA41" i="37"/>
  <c r="AG41" i="37"/>
  <c r="AH41" i="37"/>
  <c r="AI41" i="37"/>
  <c r="AJ41" i="37"/>
  <c r="AK41" i="37"/>
  <c r="N42" i="37"/>
  <c r="O42" i="37"/>
  <c r="P42" i="37"/>
  <c r="Q42" i="37"/>
  <c r="R42" i="37"/>
  <c r="S42" i="37"/>
  <c r="T42" i="37"/>
  <c r="U42" i="37"/>
  <c r="V42" i="37"/>
  <c r="W42" i="37"/>
  <c r="X42" i="37"/>
  <c r="Y42" i="37"/>
  <c r="Z42" i="37"/>
  <c r="AA42" i="37"/>
  <c r="AG42" i="37"/>
  <c r="AH42" i="37"/>
  <c r="AI42" i="37"/>
  <c r="AJ42" i="37"/>
  <c r="AK42" i="37"/>
  <c r="M43" i="37"/>
  <c r="N43" i="37"/>
  <c r="O43" i="37"/>
  <c r="P43" i="37"/>
  <c r="Q43" i="37"/>
  <c r="R43" i="37"/>
  <c r="S43" i="37"/>
  <c r="T43" i="37"/>
  <c r="U43" i="37"/>
  <c r="V43" i="37"/>
  <c r="W43" i="37"/>
  <c r="X43" i="37"/>
  <c r="Y43" i="37"/>
  <c r="Z43" i="37"/>
  <c r="AA43" i="37"/>
  <c r="AG43" i="37"/>
  <c r="AH43" i="37"/>
  <c r="AI43" i="37"/>
  <c r="AJ43" i="37"/>
  <c r="AK43" i="37"/>
  <c r="M44" i="37"/>
  <c r="N44" i="37"/>
  <c r="O44" i="37"/>
  <c r="P44" i="37"/>
  <c r="Q44" i="37"/>
  <c r="R44" i="37"/>
  <c r="S44" i="37"/>
  <c r="T44" i="37"/>
  <c r="U44" i="37"/>
  <c r="V44" i="37"/>
  <c r="W44" i="37"/>
  <c r="X44" i="37"/>
  <c r="Y44" i="37"/>
  <c r="Z44" i="37"/>
  <c r="AA44" i="37"/>
  <c r="AG44" i="37"/>
  <c r="AH44" i="37"/>
  <c r="AI44" i="37"/>
  <c r="AJ44" i="37"/>
  <c r="AK44" i="37"/>
  <c r="N45" i="37"/>
  <c r="O45" i="37"/>
  <c r="P45" i="37"/>
  <c r="Q45" i="37"/>
  <c r="R45" i="37"/>
  <c r="S45" i="37"/>
  <c r="T45" i="37"/>
  <c r="U45" i="37"/>
  <c r="V45" i="37"/>
  <c r="W45" i="37"/>
  <c r="X45" i="37"/>
  <c r="Y45" i="37"/>
  <c r="Z45" i="37"/>
  <c r="AA45" i="37"/>
  <c r="AG45" i="37"/>
  <c r="AH45" i="37"/>
  <c r="AI45" i="37"/>
  <c r="AJ45" i="37"/>
  <c r="AK45" i="37"/>
  <c r="M46" i="37"/>
  <c r="N46" i="37"/>
  <c r="O46" i="37"/>
  <c r="P46" i="37"/>
  <c r="Q46" i="37"/>
  <c r="R46" i="37"/>
  <c r="S46" i="37"/>
  <c r="T46" i="37"/>
  <c r="U46" i="37"/>
  <c r="V46" i="37"/>
  <c r="W46" i="37"/>
  <c r="X46" i="37"/>
  <c r="Y46" i="37"/>
  <c r="Z46" i="37"/>
  <c r="AA46" i="37"/>
  <c r="AG46" i="37"/>
  <c r="AH46" i="37"/>
  <c r="AI46" i="37"/>
  <c r="AJ46" i="37"/>
  <c r="AK46" i="37"/>
  <c r="M47" i="37"/>
  <c r="N47" i="37"/>
  <c r="O47" i="37"/>
  <c r="P47" i="37"/>
  <c r="Q47" i="37"/>
  <c r="R47" i="37"/>
  <c r="S47" i="37"/>
  <c r="T47" i="37"/>
  <c r="U47" i="37"/>
  <c r="V47" i="37"/>
  <c r="W47" i="37"/>
  <c r="X47" i="37"/>
  <c r="Y47" i="37"/>
  <c r="Z47" i="37"/>
  <c r="AA47" i="37"/>
  <c r="AG47" i="37"/>
  <c r="AH47" i="37"/>
  <c r="AI47" i="37"/>
  <c r="AJ47" i="37"/>
  <c r="AK47" i="37"/>
  <c r="N48" i="37"/>
  <c r="O48" i="37"/>
  <c r="P48" i="37"/>
  <c r="Q48" i="37"/>
  <c r="R48" i="37"/>
  <c r="S48" i="37"/>
  <c r="T48" i="37"/>
  <c r="U48" i="37"/>
  <c r="V48" i="37"/>
  <c r="W48" i="37"/>
  <c r="X48" i="37"/>
  <c r="Y48" i="37"/>
  <c r="Z48" i="37"/>
  <c r="AA48" i="37"/>
  <c r="AG48" i="37"/>
  <c r="AH48" i="37"/>
  <c r="AI48" i="37"/>
  <c r="AJ48" i="37"/>
  <c r="AK48" i="37"/>
  <c r="N49" i="37"/>
  <c r="O49" i="37"/>
  <c r="P49" i="37"/>
  <c r="Q49" i="37"/>
  <c r="R49" i="37"/>
  <c r="S49" i="37"/>
  <c r="T49" i="37"/>
  <c r="U49" i="37"/>
  <c r="V49" i="37"/>
  <c r="W49" i="37"/>
  <c r="X49" i="37"/>
  <c r="Y49" i="37"/>
  <c r="Z49" i="37"/>
  <c r="AA49" i="37"/>
  <c r="AG49" i="37"/>
  <c r="AH49" i="37"/>
  <c r="AI49" i="37"/>
  <c r="AJ49" i="37"/>
  <c r="AK49" i="37"/>
  <c r="L50" i="37"/>
  <c r="M50" i="37"/>
  <c r="N50" i="37"/>
  <c r="O50" i="37"/>
  <c r="P50" i="37"/>
  <c r="Q50" i="37"/>
  <c r="R50" i="37"/>
  <c r="S50" i="37"/>
  <c r="T50" i="37"/>
  <c r="U50" i="37"/>
  <c r="V50" i="37"/>
  <c r="W50" i="37"/>
  <c r="X50" i="37"/>
  <c r="Y50" i="37"/>
  <c r="Z50" i="37"/>
  <c r="AA50" i="37"/>
  <c r="AG50" i="37"/>
  <c r="AH50" i="37"/>
  <c r="AI50" i="37"/>
  <c r="AJ50" i="37"/>
  <c r="AK50" i="37"/>
  <c r="L51" i="37"/>
  <c r="M51" i="37"/>
  <c r="N51" i="37"/>
  <c r="O51" i="37"/>
  <c r="P51" i="37"/>
  <c r="Q51" i="37"/>
  <c r="R51" i="37"/>
  <c r="S51" i="37"/>
  <c r="T51" i="37"/>
  <c r="U51" i="37"/>
  <c r="V51" i="37"/>
  <c r="W51" i="37"/>
  <c r="X51" i="37"/>
  <c r="Y51" i="37"/>
  <c r="Z51" i="37"/>
  <c r="AA51" i="37"/>
  <c r="AG51" i="37"/>
  <c r="AH51" i="37"/>
  <c r="AI51" i="37"/>
  <c r="AJ51" i="37"/>
  <c r="AK51" i="37"/>
  <c r="L52" i="37"/>
  <c r="M52" i="37"/>
  <c r="N52" i="37"/>
  <c r="O52" i="37"/>
  <c r="P52" i="37"/>
  <c r="Q52" i="37"/>
  <c r="R52" i="37"/>
  <c r="S52" i="37"/>
  <c r="T52" i="37"/>
  <c r="U52" i="37"/>
  <c r="V52" i="37"/>
  <c r="W52" i="37"/>
  <c r="X52" i="37"/>
  <c r="Y52" i="37"/>
  <c r="Z52" i="37"/>
  <c r="AA52" i="37"/>
  <c r="AG52" i="37"/>
  <c r="AH52" i="37"/>
  <c r="AI52" i="37"/>
  <c r="AJ52" i="37"/>
  <c r="AK52" i="37"/>
  <c r="L53" i="37"/>
  <c r="M53" i="37"/>
  <c r="N53" i="37"/>
  <c r="O53" i="37"/>
  <c r="P53" i="37"/>
  <c r="Q53" i="37"/>
  <c r="R53" i="37"/>
  <c r="S53" i="37"/>
  <c r="T53" i="37"/>
  <c r="U53" i="37"/>
  <c r="V53" i="37"/>
  <c r="W53" i="37"/>
  <c r="X53" i="37"/>
  <c r="Y53" i="37"/>
  <c r="Z53" i="37"/>
  <c r="AA53" i="37"/>
  <c r="AG53" i="37"/>
  <c r="AH53" i="37"/>
  <c r="AI53" i="37"/>
  <c r="AJ53" i="37"/>
  <c r="AK53" i="37"/>
  <c r="L54" i="37"/>
  <c r="M54" i="37"/>
  <c r="N54" i="37"/>
  <c r="O54" i="37"/>
  <c r="P54" i="37"/>
  <c r="Q54" i="37"/>
  <c r="R54" i="37"/>
  <c r="S54" i="37"/>
  <c r="T54" i="37"/>
  <c r="U54" i="37"/>
  <c r="V54" i="37"/>
  <c r="W54" i="37"/>
  <c r="X54" i="37"/>
  <c r="Y54" i="37"/>
  <c r="Z54" i="37"/>
  <c r="AA54" i="37"/>
  <c r="AG54" i="37"/>
  <c r="AH54" i="37"/>
  <c r="AI54" i="37"/>
  <c r="AJ54" i="37"/>
  <c r="AK54" i="37"/>
  <c r="L55" i="37"/>
  <c r="M55" i="37"/>
  <c r="N55" i="37"/>
  <c r="O55" i="37"/>
  <c r="P55" i="37"/>
  <c r="Q55" i="37"/>
  <c r="R55" i="37"/>
  <c r="S55" i="37"/>
  <c r="T55" i="37"/>
  <c r="U55" i="37"/>
  <c r="V55" i="37"/>
  <c r="W55" i="37"/>
  <c r="X55" i="37"/>
  <c r="Y55" i="37"/>
  <c r="Z55" i="37"/>
  <c r="AA55" i="37"/>
  <c r="AG55" i="37"/>
  <c r="AH55" i="37"/>
  <c r="AI55" i="37"/>
  <c r="AJ55" i="37"/>
  <c r="AK55" i="37"/>
  <c r="M56" i="37"/>
  <c r="N56" i="37"/>
  <c r="O56" i="37"/>
  <c r="P56" i="37"/>
  <c r="Q56" i="37"/>
  <c r="R56" i="37"/>
  <c r="S56" i="37"/>
  <c r="T56" i="37"/>
  <c r="U56" i="37"/>
  <c r="V56" i="37"/>
  <c r="W56" i="37"/>
  <c r="X56" i="37"/>
  <c r="Y56" i="37"/>
  <c r="Z56" i="37"/>
  <c r="AA56" i="37"/>
  <c r="AG56" i="37"/>
  <c r="AH56" i="37"/>
  <c r="AI56" i="37"/>
  <c r="AJ56" i="37"/>
  <c r="AK56" i="37"/>
  <c r="M57" i="37"/>
  <c r="N57" i="37"/>
  <c r="O57" i="37"/>
  <c r="P57" i="37"/>
  <c r="Q57" i="37"/>
  <c r="R57" i="37"/>
  <c r="S57" i="37"/>
  <c r="T57" i="37"/>
  <c r="U57" i="37"/>
  <c r="V57" i="37"/>
  <c r="W57" i="37"/>
  <c r="X57" i="37"/>
  <c r="Y57" i="37"/>
  <c r="Z57" i="37"/>
  <c r="AA57" i="37"/>
  <c r="AG57" i="37"/>
  <c r="AH57" i="37"/>
  <c r="AI57" i="37"/>
  <c r="AJ57" i="37"/>
  <c r="AK57" i="37"/>
  <c r="M58" i="37"/>
  <c r="N58" i="37"/>
  <c r="O58" i="37"/>
  <c r="P58" i="37"/>
  <c r="Q58" i="37"/>
  <c r="R58" i="37"/>
  <c r="S58" i="37"/>
  <c r="T58" i="37"/>
  <c r="U58" i="37"/>
  <c r="V58" i="37"/>
  <c r="W58" i="37"/>
  <c r="X58" i="37"/>
  <c r="Y58" i="37"/>
  <c r="Z58" i="37"/>
  <c r="AA58" i="37"/>
  <c r="AG58" i="37"/>
  <c r="AH58" i="37"/>
  <c r="AI58" i="37"/>
  <c r="AJ58" i="37"/>
  <c r="AK58" i="37"/>
  <c r="M59" i="37"/>
  <c r="N59" i="37"/>
  <c r="O59" i="37"/>
  <c r="P59" i="37"/>
  <c r="Q59" i="37"/>
  <c r="R59" i="37"/>
  <c r="S59" i="37"/>
  <c r="T59" i="37"/>
  <c r="U59" i="37"/>
  <c r="V59" i="37"/>
  <c r="W59" i="37"/>
  <c r="X59" i="37"/>
  <c r="Y59" i="37"/>
  <c r="Z59" i="37"/>
  <c r="AA59" i="37"/>
  <c r="AG59" i="37"/>
  <c r="AH59" i="37"/>
  <c r="AI59" i="37"/>
  <c r="AJ59" i="37"/>
  <c r="AK59" i="37"/>
  <c r="M60" i="37"/>
  <c r="N60" i="37"/>
  <c r="O60" i="37"/>
  <c r="P60" i="37"/>
  <c r="Q60" i="37"/>
  <c r="R60" i="37"/>
  <c r="S60" i="37"/>
  <c r="T60" i="37"/>
  <c r="U60" i="37"/>
  <c r="V60" i="37"/>
  <c r="W60" i="37"/>
  <c r="X60" i="37"/>
  <c r="Y60" i="37"/>
  <c r="Z60" i="37"/>
  <c r="AA60" i="37"/>
  <c r="AG60" i="37"/>
  <c r="AH60" i="37"/>
  <c r="AI60" i="37"/>
  <c r="AJ60" i="37"/>
  <c r="AK60" i="37"/>
  <c r="M61" i="37"/>
  <c r="N61" i="37"/>
  <c r="O61" i="37"/>
  <c r="P61" i="37"/>
  <c r="Q61" i="37"/>
  <c r="R61" i="37"/>
  <c r="S61" i="37"/>
  <c r="T61" i="37"/>
  <c r="U61" i="37"/>
  <c r="V61" i="37"/>
  <c r="W61" i="37"/>
  <c r="X61" i="37"/>
  <c r="Y61" i="37"/>
  <c r="Z61" i="37"/>
  <c r="AA61" i="37"/>
  <c r="AG61" i="37"/>
  <c r="AH61" i="37"/>
  <c r="AI61" i="37"/>
  <c r="AJ61" i="37"/>
  <c r="AK61" i="37"/>
  <c r="M62" i="37"/>
  <c r="N62" i="37"/>
  <c r="O62" i="37"/>
  <c r="P62" i="37"/>
  <c r="Q62" i="37"/>
  <c r="R62" i="37"/>
  <c r="S62" i="37"/>
  <c r="T62" i="37"/>
  <c r="U62" i="37"/>
  <c r="V62" i="37"/>
  <c r="W62" i="37"/>
  <c r="X62" i="37"/>
  <c r="Y62" i="37"/>
  <c r="Z62" i="37"/>
  <c r="AA62" i="37"/>
  <c r="AG62" i="37"/>
  <c r="AH62" i="37"/>
  <c r="AI62" i="37"/>
  <c r="AJ62" i="37"/>
  <c r="AK62" i="37"/>
  <c r="N63" i="37"/>
  <c r="O63" i="37"/>
  <c r="P63" i="37"/>
  <c r="Q63" i="37"/>
  <c r="R63" i="37"/>
  <c r="S63" i="37"/>
  <c r="T63" i="37"/>
  <c r="U63" i="37"/>
  <c r="V63" i="37"/>
  <c r="W63" i="37"/>
  <c r="X63" i="37"/>
  <c r="Y63" i="37"/>
  <c r="Z63" i="37"/>
  <c r="AA63" i="37"/>
  <c r="AG63" i="37"/>
  <c r="AH63" i="37"/>
  <c r="AI63" i="37"/>
  <c r="AJ63" i="37"/>
  <c r="AK63" i="37"/>
  <c r="N64" i="37"/>
  <c r="O64" i="37"/>
  <c r="P64" i="37"/>
  <c r="Q64" i="37"/>
  <c r="R64" i="37"/>
  <c r="S64" i="37"/>
  <c r="T64" i="37"/>
  <c r="U64" i="37"/>
  <c r="V64" i="37"/>
  <c r="W64" i="37"/>
  <c r="X64" i="37"/>
  <c r="Y64" i="37"/>
  <c r="Z64" i="37"/>
  <c r="AA64" i="37"/>
  <c r="AG64" i="37"/>
  <c r="AH64" i="37"/>
  <c r="AI64" i="37"/>
  <c r="AJ64" i="37"/>
  <c r="AK64" i="37"/>
  <c r="K65" i="37"/>
  <c r="L65" i="37"/>
  <c r="M65" i="37"/>
  <c r="N65" i="37"/>
  <c r="O65" i="37"/>
  <c r="P65" i="37"/>
  <c r="Q65" i="37"/>
  <c r="R65" i="37"/>
  <c r="S65" i="37"/>
  <c r="T65" i="37"/>
  <c r="U65" i="37"/>
  <c r="V65" i="37"/>
  <c r="W65" i="37"/>
  <c r="X65" i="37"/>
  <c r="Y65" i="37"/>
  <c r="Z65" i="37"/>
  <c r="AA65" i="37"/>
  <c r="AG65" i="37"/>
  <c r="AH65" i="37"/>
  <c r="AI65" i="37"/>
  <c r="AJ65" i="37"/>
  <c r="AK65" i="37"/>
  <c r="P66" i="37"/>
  <c r="Q66" i="37"/>
  <c r="R66" i="37"/>
  <c r="S66" i="37"/>
  <c r="T66" i="37"/>
  <c r="U66" i="37"/>
  <c r="V66" i="37"/>
  <c r="W66" i="37"/>
  <c r="X66" i="37"/>
  <c r="Y66" i="37"/>
  <c r="Z66" i="37"/>
  <c r="AA66" i="37"/>
  <c r="AG66" i="37"/>
  <c r="AH66" i="37"/>
  <c r="AI66" i="37"/>
  <c r="AJ66" i="37"/>
  <c r="AK66" i="37"/>
  <c r="K67" i="37"/>
  <c r="L67" i="37"/>
  <c r="M67" i="37"/>
  <c r="N67" i="37"/>
  <c r="O67" i="37"/>
  <c r="P67" i="37"/>
  <c r="Q67" i="37"/>
  <c r="R67" i="37"/>
  <c r="S67" i="37"/>
  <c r="T67" i="37"/>
  <c r="U67" i="37"/>
  <c r="V67" i="37"/>
  <c r="W67" i="37"/>
  <c r="X67" i="37"/>
  <c r="Y67" i="37"/>
  <c r="Z67" i="37"/>
  <c r="AA67" i="37"/>
  <c r="AG67" i="37"/>
  <c r="AH67" i="37"/>
  <c r="AI67" i="37"/>
  <c r="AJ67" i="37"/>
  <c r="AK67" i="37"/>
  <c r="O68" i="37"/>
  <c r="U68" i="37"/>
  <c r="V68" i="37"/>
  <c r="W68" i="37"/>
  <c r="X68" i="37"/>
  <c r="Y68" i="37"/>
  <c r="Z68" i="37"/>
  <c r="AA68" i="37"/>
  <c r="AG68" i="37"/>
  <c r="AH68" i="37"/>
  <c r="AI68" i="37"/>
  <c r="AJ68" i="37"/>
  <c r="AK68" i="37"/>
  <c r="M69" i="37"/>
  <c r="T69" i="37"/>
  <c r="U69" i="37"/>
  <c r="V69" i="37"/>
  <c r="W69" i="37"/>
  <c r="X69" i="37"/>
  <c r="Y69" i="37"/>
  <c r="Z69" i="37"/>
  <c r="AA69" i="37"/>
  <c r="AG69" i="37"/>
  <c r="AH69" i="37"/>
  <c r="AI69" i="37"/>
  <c r="AJ69" i="37"/>
  <c r="AK69" i="37"/>
  <c r="M70" i="37"/>
  <c r="S70" i="37"/>
  <c r="T70" i="37"/>
  <c r="U70" i="37"/>
  <c r="V70" i="37"/>
  <c r="W70" i="37"/>
  <c r="X70" i="37"/>
  <c r="Y70" i="37"/>
  <c r="Z70" i="37"/>
  <c r="AA70" i="37"/>
  <c r="AG70" i="37"/>
  <c r="AH70" i="37"/>
  <c r="AI70" i="37"/>
  <c r="AJ70" i="37"/>
  <c r="AK70" i="37"/>
  <c r="M71" i="37"/>
  <c r="N71" i="37"/>
  <c r="U71" i="37"/>
  <c r="V71" i="37"/>
  <c r="W71" i="37"/>
  <c r="X71" i="37"/>
  <c r="Y71" i="37"/>
  <c r="Z71" i="37"/>
  <c r="AA71" i="37"/>
  <c r="AG71" i="37"/>
  <c r="AH71" i="37"/>
  <c r="AI71" i="37"/>
  <c r="AJ71" i="37"/>
  <c r="AK71" i="37"/>
  <c r="M72" i="37"/>
  <c r="N72" i="37"/>
  <c r="T72" i="37"/>
  <c r="U72" i="37"/>
  <c r="V72" i="37"/>
  <c r="W72" i="37"/>
  <c r="X72" i="37"/>
  <c r="Y72" i="37"/>
  <c r="Z72" i="37"/>
  <c r="AA72" i="37"/>
  <c r="AG72" i="37"/>
  <c r="AH72" i="37"/>
  <c r="AI72" i="37"/>
  <c r="AJ72" i="37"/>
  <c r="AK72" i="37"/>
  <c r="O73" i="37"/>
  <c r="P73" i="37"/>
  <c r="T73" i="37"/>
  <c r="U73" i="37"/>
  <c r="V73" i="37"/>
  <c r="W73" i="37"/>
  <c r="X73" i="37"/>
  <c r="Y73" i="37"/>
  <c r="Z73" i="37"/>
  <c r="AA73" i="37"/>
  <c r="AG73" i="37"/>
  <c r="AH73" i="37"/>
  <c r="AI73" i="37"/>
  <c r="AJ73" i="37"/>
  <c r="AK73" i="37"/>
  <c r="O74" i="37"/>
  <c r="P74" i="37"/>
  <c r="S74" i="37"/>
  <c r="T74" i="37"/>
  <c r="U74" i="37"/>
  <c r="V74" i="37"/>
  <c r="W74" i="37"/>
  <c r="X74" i="37"/>
  <c r="Y74" i="37"/>
  <c r="Z74" i="37"/>
  <c r="AA74" i="37"/>
  <c r="AG74" i="37"/>
  <c r="AH74" i="37"/>
  <c r="AI74" i="37"/>
  <c r="AJ74" i="37"/>
  <c r="AK74" i="37"/>
  <c r="P75" i="37"/>
  <c r="R75" i="37"/>
  <c r="S75" i="37"/>
  <c r="T75" i="37"/>
  <c r="U75" i="37"/>
  <c r="V75" i="37"/>
  <c r="W75" i="37"/>
  <c r="X75" i="37"/>
  <c r="Y75" i="37"/>
  <c r="Z75" i="37"/>
  <c r="AA75" i="37"/>
  <c r="AG75" i="37"/>
  <c r="AI75" i="37"/>
  <c r="AK75" i="37"/>
  <c r="P76" i="37"/>
  <c r="Q76" i="37"/>
  <c r="R76" i="37"/>
  <c r="S76" i="37"/>
  <c r="T76" i="37"/>
  <c r="U76" i="37"/>
  <c r="V76" i="37"/>
  <c r="W76" i="37"/>
  <c r="X76" i="37"/>
  <c r="Y76" i="37"/>
  <c r="Z76" i="37"/>
  <c r="AA76" i="37"/>
  <c r="AG76" i="37"/>
  <c r="AI76" i="37"/>
  <c r="AK76" i="37"/>
  <c r="L77" i="37"/>
  <c r="M77" i="37"/>
  <c r="N77" i="37"/>
  <c r="O77" i="37"/>
  <c r="P77" i="37"/>
  <c r="Q77" i="37"/>
  <c r="R77" i="37"/>
  <c r="S77" i="37"/>
  <c r="T77" i="37"/>
  <c r="U77" i="37"/>
  <c r="V77" i="37"/>
  <c r="X77" i="37"/>
  <c r="Y77" i="37"/>
  <c r="Z77" i="37"/>
  <c r="AA77" i="37"/>
  <c r="AG77" i="37"/>
  <c r="AH77" i="37"/>
  <c r="AI77" i="37"/>
  <c r="AJ77" i="37"/>
  <c r="AK77" i="37"/>
  <c r="L78" i="37"/>
  <c r="M78" i="37"/>
  <c r="N78" i="37"/>
  <c r="O78" i="37"/>
  <c r="P78" i="37"/>
  <c r="Q78" i="37"/>
  <c r="R78" i="37"/>
  <c r="S78" i="37"/>
  <c r="T78" i="37"/>
  <c r="U78" i="37"/>
  <c r="V78" i="37"/>
  <c r="X78" i="37"/>
  <c r="Y78" i="37"/>
  <c r="Z78" i="37"/>
  <c r="AA78" i="37"/>
  <c r="AG78" i="37"/>
  <c r="AH78" i="37"/>
  <c r="AI78" i="37"/>
  <c r="AJ78" i="37"/>
  <c r="AK78" i="37"/>
  <c r="K79" i="37"/>
  <c r="L79" i="37"/>
  <c r="M79" i="37"/>
  <c r="N79" i="37"/>
  <c r="O79" i="37"/>
  <c r="P79" i="37"/>
  <c r="Q79" i="37"/>
  <c r="R79" i="37"/>
  <c r="S79" i="37"/>
  <c r="T79" i="37"/>
  <c r="U79" i="37"/>
  <c r="V79" i="37"/>
  <c r="W79" i="37"/>
  <c r="X79" i="37"/>
  <c r="Y79" i="37"/>
  <c r="Z79" i="37"/>
  <c r="AA79" i="37"/>
  <c r="AG79" i="37"/>
  <c r="AH79" i="37"/>
  <c r="AI79" i="37"/>
  <c r="AJ79" i="37"/>
  <c r="AK79" i="37"/>
  <c r="K80" i="37"/>
  <c r="L80" i="37"/>
  <c r="M80" i="37"/>
  <c r="N80" i="37"/>
  <c r="O80" i="37"/>
  <c r="P80" i="37"/>
  <c r="Q80" i="37"/>
  <c r="R80" i="37"/>
  <c r="S80" i="37"/>
  <c r="T80" i="37"/>
  <c r="U80" i="37"/>
  <c r="V80" i="37"/>
  <c r="W80" i="37"/>
  <c r="X80" i="37"/>
  <c r="Y80" i="37"/>
  <c r="Z80" i="37"/>
  <c r="AA80" i="37"/>
  <c r="AG80" i="37"/>
  <c r="AH80" i="37"/>
  <c r="AI80" i="37"/>
  <c r="AJ80" i="37"/>
  <c r="AK80" i="37"/>
  <c r="K81" i="37"/>
  <c r="L81" i="37"/>
  <c r="M81" i="37"/>
  <c r="N81" i="37"/>
  <c r="O81" i="37"/>
  <c r="P81" i="37"/>
  <c r="Q81" i="37"/>
  <c r="R81" i="37"/>
  <c r="S81" i="37"/>
  <c r="T81" i="37"/>
  <c r="U81" i="37"/>
  <c r="V81" i="37"/>
  <c r="W81" i="37"/>
  <c r="X81" i="37"/>
  <c r="Y81" i="37"/>
  <c r="Z81" i="37"/>
  <c r="AA81" i="37"/>
  <c r="AG81" i="37"/>
  <c r="AH81" i="37"/>
  <c r="AI81" i="37"/>
  <c r="AJ81" i="37"/>
  <c r="AK81" i="37"/>
  <c r="M82" i="37"/>
  <c r="N82" i="37"/>
  <c r="O82" i="37"/>
  <c r="P82" i="37"/>
  <c r="Q82" i="37"/>
  <c r="R82" i="37"/>
  <c r="S82" i="37"/>
  <c r="T82" i="37"/>
  <c r="U82" i="37"/>
  <c r="V82" i="37"/>
  <c r="W82" i="37"/>
  <c r="X82" i="37"/>
  <c r="Y82" i="37"/>
  <c r="Z82" i="37"/>
  <c r="AA82" i="37"/>
  <c r="AG82" i="37"/>
  <c r="AH82" i="37"/>
  <c r="AI82" i="37"/>
  <c r="AJ82" i="37"/>
  <c r="AK82" i="37"/>
  <c r="M83" i="37"/>
  <c r="N83" i="37"/>
  <c r="O83" i="37"/>
  <c r="P83" i="37"/>
  <c r="Q83" i="37"/>
  <c r="R83" i="37"/>
  <c r="S83" i="37"/>
  <c r="T83" i="37"/>
  <c r="U83" i="37"/>
  <c r="V83" i="37"/>
  <c r="W83" i="37"/>
  <c r="X83" i="37"/>
  <c r="Y83" i="37"/>
  <c r="Z83" i="37"/>
  <c r="AA83" i="37"/>
  <c r="AG83" i="37"/>
  <c r="AH83" i="37"/>
  <c r="AI83" i="37"/>
  <c r="AJ83" i="37"/>
  <c r="AK83" i="37"/>
  <c r="M84" i="37"/>
  <c r="N84" i="37"/>
  <c r="O84" i="37"/>
  <c r="P84" i="37"/>
  <c r="Q84" i="37"/>
  <c r="R84" i="37"/>
  <c r="S84" i="37"/>
  <c r="T84" i="37"/>
  <c r="U84" i="37"/>
  <c r="V84" i="37"/>
  <c r="W84" i="37"/>
  <c r="X84" i="37"/>
  <c r="Y84" i="37"/>
  <c r="Z84" i="37"/>
  <c r="AA84" i="37"/>
  <c r="AG84" i="37"/>
  <c r="AH84" i="37"/>
  <c r="AI84" i="37"/>
  <c r="AJ84" i="37"/>
  <c r="AK84" i="37"/>
  <c r="M85" i="37"/>
  <c r="N85" i="37"/>
  <c r="O85" i="37"/>
  <c r="P85" i="37"/>
  <c r="Q85" i="37"/>
  <c r="R85" i="37"/>
  <c r="S85" i="37"/>
  <c r="T85" i="37"/>
  <c r="U85" i="37"/>
  <c r="V85" i="37"/>
  <c r="W85" i="37"/>
  <c r="X85" i="37"/>
  <c r="Y85" i="37"/>
  <c r="Z85" i="37"/>
  <c r="AA85" i="37"/>
  <c r="AG85" i="37"/>
  <c r="AH85" i="37"/>
  <c r="AI85" i="37"/>
  <c r="AJ85" i="37"/>
  <c r="AK85" i="37"/>
  <c r="M86" i="37"/>
  <c r="N86" i="37"/>
  <c r="O86" i="37"/>
  <c r="P86" i="37"/>
  <c r="Q86" i="37"/>
  <c r="R86" i="37"/>
  <c r="S86" i="37"/>
  <c r="T86" i="37"/>
  <c r="U86" i="37"/>
  <c r="V86" i="37"/>
  <c r="W86" i="37"/>
  <c r="X86" i="37"/>
  <c r="Y86" i="37"/>
  <c r="Z86" i="37"/>
  <c r="AA86" i="37"/>
  <c r="AG86" i="37"/>
  <c r="AH86" i="37"/>
  <c r="AI86" i="37"/>
  <c r="AJ86" i="37"/>
  <c r="AK86" i="37"/>
  <c r="M87" i="37"/>
  <c r="N87" i="37"/>
  <c r="O87" i="37"/>
  <c r="P87" i="37"/>
  <c r="Q87" i="37"/>
  <c r="R87" i="37"/>
  <c r="S87" i="37"/>
  <c r="T87" i="37"/>
  <c r="U87" i="37"/>
  <c r="V87" i="37"/>
  <c r="W87" i="37"/>
  <c r="X87" i="37"/>
  <c r="Y87" i="37"/>
  <c r="Z87" i="37"/>
  <c r="AA87" i="37"/>
  <c r="AG87" i="37"/>
  <c r="AH87" i="37"/>
  <c r="AI87" i="37"/>
  <c r="AJ87" i="37"/>
  <c r="AK87" i="37"/>
  <c r="M88" i="37"/>
  <c r="N88" i="37"/>
  <c r="O88" i="37"/>
  <c r="P88" i="37"/>
  <c r="Q88" i="37"/>
  <c r="R88" i="37"/>
  <c r="S88" i="37"/>
  <c r="T88" i="37"/>
  <c r="U88" i="37"/>
  <c r="V88" i="37"/>
  <c r="W88" i="37"/>
  <c r="X88" i="37"/>
  <c r="Y88" i="37"/>
  <c r="Z88" i="37"/>
  <c r="AA88" i="37"/>
  <c r="AG88" i="37"/>
  <c r="AH88" i="37"/>
  <c r="AI88" i="37"/>
  <c r="AJ88" i="37"/>
  <c r="AK88" i="37"/>
  <c r="M89" i="37"/>
  <c r="N89" i="37"/>
  <c r="O89" i="37"/>
  <c r="P89" i="37"/>
  <c r="Q89" i="37"/>
  <c r="R89" i="37"/>
  <c r="S89" i="37"/>
  <c r="T89" i="37"/>
  <c r="U89" i="37"/>
  <c r="V89" i="37"/>
  <c r="W89" i="37"/>
  <c r="X89" i="37"/>
  <c r="Y89" i="37"/>
  <c r="Z89" i="37"/>
  <c r="AA89" i="37"/>
  <c r="AG89" i="37"/>
  <c r="AH89" i="37"/>
  <c r="AI89" i="37"/>
  <c r="AJ89" i="37"/>
  <c r="AK89" i="37"/>
  <c r="M90" i="37"/>
  <c r="N90" i="37"/>
  <c r="O90" i="37"/>
  <c r="P90" i="37"/>
  <c r="Q90" i="37"/>
  <c r="R90" i="37"/>
  <c r="S90" i="37"/>
  <c r="T90" i="37"/>
  <c r="U90" i="37"/>
  <c r="V90" i="37"/>
  <c r="W90" i="37"/>
  <c r="X90" i="37"/>
  <c r="Y90" i="37"/>
  <c r="Z90" i="37"/>
  <c r="AA90" i="37"/>
  <c r="AG90" i="37"/>
  <c r="AH90" i="37"/>
  <c r="AI90" i="37"/>
  <c r="AJ90" i="37"/>
  <c r="AK90" i="37"/>
  <c r="K91" i="37"/>
  <c r="L91" i="37"/>
  <c r="M91" i="37"/>
  <c r="N91" i="37"/>
  <c r="O91" i="37"/>
  <c r="P91" i="37"/>
  <c r="Q91" i="37"/>
  <c r="R91" i="37"/>
  <c r="S91" i="37"/>
  <c r="T91" i="37"/>
  <c r="U91" i="37"/>
  <c r="V91" i="37"/>
  <c r="AA91" i="37"/>
  <c r="AG91" i="37"/>
  <c r="AH91" i="37"/>
  <c r="AI91" i="37"/>
  <c r="AJ91" i="37"/>
  <c r="AK91" i="37"/>
  <c r="K92" i="37"/>
  <c r="L92" i="37"/>
  <c r="M92" i="37"/>
  <c r="N92" i="37"/>
  <c r="O92" i="37"/>
  <c r="P92" i="37"/>
  <c r="Q92" i="37"/>
  <c r="R92" i="37"/>
  <c r="S92" i="37"/>
  <c r="T92" i="37"/>
  <c r="U92" i="37"/>
  <c r="V92" i="37"/>
  <c r="X92" i="37"/>
  <c r="Y92" i="37"/>
  <c r="Z92" i="37"/>
  <c r="AA92" i="37"/>
  <c r="AG92" i="37"/>
  <c r="AH92" i="37"/>
  <c r="AI92" i="37"/>
  <c r="AJ92" i="37"/>
  <c r="AK92" i="37"/>
  <c r="K93" i="37"/>
  <c r="L93" i="37"/>
  <c r="M93" i="37"/>
  <c r="N93" i="37"/>
  <c r="O93" i="37"/>
  <c r="P93" i="37"/>
  <c r="Q93" i="37"/>
  <c r="R93" i="37"/>
  <c r="S93" i="37"/>
  <c r="T93" i="37"/>
  <c r="U93" i="37"/>
  <c r="V93" i="37"/>
  <c r="Z93" i="37"/>
  <c r="AA93" i="37"/>
  <c r="AG93" i="37"/>
  <c r="AH93" i="37"/>
  <c r="AI93" i="37"/>
  <c r="AJ93" i="37"/>
  <c r="AK93" i="37"/>
  <c r="K94" i="37"/>
  <c r="L94" i="37"/>
  <c r="M94" i="37"/>
  <c r="N94" i="37"/>
  <c r="O94" i="37"/>
  <c r="P94" i="37"/>
  <c r="Q94" i="37"/>
  <c r="R94" i="37"/>
  <c r="S94" i="37"/>
  <c r="T94" i="37"/>
  <c r="U94" i="37"/>
  <c r="V94" i="37"/>
  <c r="AA94" i="37"/>
  <c r="AG94" i="37"/>
  <c r="AH94" i="37"/>
  <c r="AI94" i="37"/>
  <c r="AJ94" i="37"/>
  <c r="AK94" i="37"/>
  <c r="K95" i="37"/>
  <c r="L95" i="37"/>
  <c r="M95" i="37"/>
  <c r="N95" i="37"/>
  <c r="O95" i="37"/>
  <c r="P95" i="37"/>
  <c r="Q95" i="37"/>
  <c r="R95" i="37"/>
  <c r="S95" i="37"/>
  <c r="T95" i="37"/>
  <c r="U95" i="37"/>
  <c r="V95" i="37"/>
  <c r="AA95" i="37"/>
  <c r="AG95" i="37"/>
  <c r="AH95" i="37"/>
  <c r="AI95" i="37"/>
  <c r="AJ95" i="37"/>
  <c r="AK95" i="37"/>
  <c r="K96" i="37"/>
  <c r="L96" i="37"/>
  <c r="M96" i="37"/>
  <c r="N96" i="37"/>
  <c r="O96" i="37"/>
  <c r="P96" i="37"/>
  <c r="Q96" i="37"/>
  <c r="R96" i="37"/>
  <c r="S96" i="37"/>
  <c r="T96" i="37"/>
  <c r="U96" i="37"/>
  <c r="V96" i="37"/>
  <c r="X96" i="37"/>
  <c r="Y96" i="37"/>
  <c r="Z96" i="37"/>
  <c r="AA96" i="37"/>
  <c r="AG96" i="37"/>
  <c r="AH96" i="37"/>
  <c r="AI96" i="37"/>
  <c r="AJ96" i="37"/>
  <c r="AK96" i="37"/>
  <c r="K97" i="37"/>
  <c r="L97" i="37"/>
  <c r="M97" i="37"/>
  <c r="N97" i="37"/>
  <c r="O97" i="37"/>
  <c r="P97" i="37"/>
  <c r="Q97" i="37"/>
  <c r="R97" i="37"/>
  <c r="S97" i="37"/>
  <c r="T97" i="37"/>
  <c r="U97" i="37"/>
  <c r="V97" i="37"/>
  <c r="Y97" i="37"/>
  <c r="Z97" i="37"/>
  <c r="AA97" i="37"/>
  <c r="AG97" i="37"/>
  <c r="AH97" i="37"/>
  <c r="AI97" i="37"/>
  <c r="AJ97" i="37"/>
  <c r="AK97" i="37"/>
  <c r="K98" i="37"/>
  <c r="L98" i="37"/>
  <c r="M98" i="37"/>
  <c r="N98" i="37"/>
  <c r="O98" i="37"/>
  <c r="P98" i="37"/>
  <c r="Q98" i="37"/>
  <c r="R98" i="37"/>
  <c r="S98" i="37"/>
  <c r="T98" i="37"/>
  <c r="U98" i="37"/>
  <c r="V98" i="37"/>
  <c r="Y98" i="37"/>
  <c r="Z98" i="37"/>
  <c r="AA98" i="37"/>
  <c r="AG98" i="37"/>
  <c r="AH98" i="37"/>
  <c r="AI98" i="37"/>
  <c r="AJ98" i="37"/>
  <c r="AK98" i="37"/>
  <c r="K99" i="37"/>
  <c r="L99" i="37"/>
  <c r="M99" i="37"/>
  <c r="N99" i="37"/>
  <c r="O99" i="37"/>
  <c r="P99" i="37"/>
  <c r="Q99" i="37"/>
  <c r="R99" i="37"/>
  <c r="S99" i="37"/>
  <c r="T99" i="37"/>
  <c r="U99" i="37"/>
  <c r="V99" i="37"/>
  <c r="Z99" i="37"/>
  <c r="AA99" i="37"/>
  <c r="AG99" i="37"/>
  <c r="AH99" i="37"/>
  <c r="AI99" i="37"/>
  <c r="AJ99" i="37"/>
  <c r="AK99" i="37"/>
  <c r="K100" i="37"/>
  <c r="L100" i="37"/>
  <c r="M100" i="37"/>
  <c r="N100" i="37"/>
  <c r="O100" i="37"/>
  <c r="P100" i="37"/>
  <c r="Q100" i="37"/>
  <c r="R100" i="37"/>
  <c r="S100" i="37"/>
  <c r="T100" i="37"/>
  <c r="U100" i="37"/>
  <c r="V100" i="37"/>
  <c r="AA100" i="37"/>
  <c r="AG100" i="37"/>
  <c r="AH100" i="37"/>
  <c r="AI100" i="37"/>
  <c r="AJ100" i="37"/>
  <c r="AK100" i="37"/>
  <c r="K101" i="37"/>
  <c r="L101" i="37"/>
  <c r="M101" i="37"/>
  <c r="N101" i="37"/>
  <c r="O101" i="37"/>
  <c r="P101" i="37"/>
  <c r="Q101" i="37"/>
  <c r="R101" i="37"/>
  <c r="S101" i="37"/>
  <c r="T101" i="37"/>
  <c r="U101" i="37"/>
  <c r="V101" i="37"/>
  <c r="W101" i="37"/>
  <c r="X101" i="37"/>
  <c r="Y101" i="37"/>
  <c r="Z101" i="37"/>
  <c r="AA101" i="37"/>
  <c r="AG101" i="37"/>
  <c r="AH101" i="37"/>
  <c r="AI101" i="37"/>
  <c r="AJ101" i="37"/>
  <c r="AK101" i="37"/>
  <c r="O102" i="37"/>
  <c r="P102" i="37"/>
  <c r="Q102" i="37"/>
  <c r="R102" i="37"/>
  <c r="S102" i="37"/>
  <c r="T102" i="37"/>
  <c r="U102" i="37"/>
  <c r="V102" i="37"/>
  <c r="W102" i="37"/>
  <c r="X102" i="37"/>
  <c r="Y102" i="37"/>
  <c r="Z102" i="37"/>
  <c r="AA102" i="37"/>
  <c r="AG102" i="37"/>
  <c r="AH102" i="37"/>
  <c r="AI102" i="37"/>
  <c r="AJ102" i="37"/>
  <c r="AK102" i="37"/>
  <c r="K103" i="37"/>
  <c r="L103" i="37"/>
  <c r="M103" i="37"/>
  <c r="N103" i="37"/>
  <c r="O103" i="37"/>
  <c r="P103" i="37"/>
  <c r="Q103" i="37"/>
  <c r="R103" i="37"/>
  <c r="S103" i="37"/>
  <c r="T103" i="37"/>
  <c r="U103" i="37"/>
  <c r="V103" i="37"/>
  <c r="W103" i="37"/>
  <c r="X103" i="37"/>
  <c r="Y103" i="37"/>
  <c r="Z103" i="37"/>
  <c r="AA103" i="37"/>
  <c r="AG103" i="37"/>
  <c r="AH103" i="37"/>
  <c r="AI103" i="37"/>
  <c r="AJ103" i="37"/>
  <c r="AK103" i="37"/>
  <c r="M104" i="37"/>
  <c r="N104" i="37"/>
  <c r="O104" i="37"/>
  <c r="P104" i="37"/>
  <c r="Q104" i="37"/>
  <c r="R104" i="37"/>
  <c r="S104" i="37"/>
  <c r="T104" i="37"/>
  <c r="U104" i="37"/>
  <c r="V104" i="37"/>
  <c r="W104" i="37"/>
  <c r="X104" i="37"/>
  <c r="Y104" i="37"/>
  <c r="Z104" i="37"/>
  <c r="AA104" i="37"/>
  <c r="AG104" i="37"/>
  <c r="AH104" i="37"/>
  <c r="AI104" i="37"/>
  <c r="AJ104" i="37"/>
  <c r="AK104" i="37"/>
  <c r="M105" i="37"/>
  <c r="N105" i="37"/>
  <c r="O105" i="37"/>
  <c r="P105" i="37"/>
  <c r="Q105" i="37"/>
  <c r="R105" i="37"/>
  <c r="S105" i="37"/>
  <c r="T105" i="37"/>
  <c r="U105" i="37"/>
  <c r="V105" i="37"/>
  <c r="W105" i="37"/>
  <c r="X105" i="37"/>
  <c r="Y105" i="37"/>
  <c r="Z105" i="37"/>
  <c r="AA105" i="37"/>
  <c r="AG105" i="37"/>
  <c r="AH105" i="37"/>
  <c r="AI105" i="37"/>
  <c r="AJ105" i="37"/>
  <c r="AK105" i="37"/>
  <c r="M106" i="37"/>
  <c r="N106" i="37"/>
  <c r="O106" i="37"/>
  <c r="P106" i="37"/>
  <c r="Q106" i="37"/>
  <c r="R106" i="37"/>
  <c r="S106" i="37"/>
  <c r="T106" i="37"/>
  <c r="U106" i="37"/>
  <c r="V106" i="37"/>
  <c r="W106" i="37"/>
  <c r="X106" i="37"/>
  <c r="Y106" i="37"/>
  <c r="Z106" i="37"/>
  <c r="AA106" i="37"/>
  <c r="AG106" i="37"/>
  <c r="AH106" i="37"/>
  <c r="AI106" i="37"/>
  <c r="AJ106" i="37"/>
  <c r="AK106" i="37"/>
  <c r="O107" i="37"/>
  <c r="P107" i="37"/>
  <c r="Q107" i="37"/>
  <c r="R107" i="37"/>
  <c r="S107" i="37"/>
  <c r="T107" i="37"/>
  <c r="U107" i="37"/>
  <c r="V107" i="37"/>
  <c r="W107" i="37"/>
  <c r="X107" i="37"/>
  <c r="Y107" i="37"/>
  <c r="Z107" i="37"/>
  <c r="AA107" i="37"/>
  <c r="AG107" i="37"/>
  <c r="AH107" i="37"/>
  <c r="AI107" i="37"/>
  <c r="AJ107" i="37"/>
  <c r="AK107" i="37"/>
  <c r="P108" i="37"/>
  <c r="Q108" i="37"/>
  <c r="R108" i="37"/>
  <c r="S108" i="37"/>
  <c r="T108" i="37"/>
  <c r="U108" i="37"/>
  <c r="V108" i="37"/>
  <c r="W108" i="37"/>
  <c r="X108" i="37"/>
  <c r="Y108" i="37"/>
  <c r="Z108" i="37"/>
  <c r="AA108" i="37"/>
  <c r="AG108" i="37"/>
  <c r="AH108" i="37"/>
  <c r="AI108" i="37"/>
  <c r="AJ108" i="37"/>
  <c r="AK108" i="37"/>
  <c r="L2" i="37"/>
  <c r="M2" i="37"/>
  <c r="N2" i="37"/>
  <c r="O2" i="37"/>
  <c r="P2" i="37"/>
  <c r="Q2" i="37"/>
  <c r="R2" i="37"/>
  <c r="S2" i="37"/>
  <c r="T2" i="37"/>
  <c r="U2" i="37"/>
  <c r="V2" i="37"/>
  <c r="W2" i="37"/>
  <c r="X2" i="37"/>
  <c r="Y2" i="37"/>
  <c r="Z2" i="37"/>
  <c r="AA2" i="37"/>
  <c r="AG2" i="37"/>
  <c r="AH2" i="37"/>
  <c r="AI2" i="37"/>
  <c r="AJ2" i="37"/>
  <c r="AK2" i="37"/>
  <c r="G166" i="40" l="1"/>
  <c r="B166" i="41" s="1"/>
  <c r="H166" i="40"/>
  <c r="C166" i="41" s="1"/>
  <c r="G167" i="40"/>
  <c r="B167" i="41" s="1"/>
  <c r="H167" i="40"/>
  <c r="C167" i="41" s="1"/>
  <c r="G168" i="40"/>
  <c r="B168" i="41" s="1"/>
  <c r="H168" i="40"/>
  <c r="C168" i="41" s="1"/>
  <c r="G169" i="40"/>
  <c r="B169" i="41" s="1"/>
  <c r="H169" i="40"/>
  <c r="C169" i="41" s="1"/>
  <c r="G170" i="40"/>
  <c r="B170" i="41" s="1"/>
  <c r="H170" i="40"/>
  <c r="C170" i="41" s="1"/>
  <c r="G171" i="40"/>
  <c r="B171" i="41" s="1"/>
  <c r="H171" i="40"/>
  <c r="C171" i="41" s="1"/>
  <c r="G172" i="40"/>
  <c r="B172" i="41" s="1"/>
  <c r="H172" i="40"/>
  <c r="C172" i="41" s="1"/>
  <c r="G173" i="40"/>
  <c r="B173" i="41" s="1"/>
  <c r="H173" i="40"/>
  <c r="C173" i="41" s="1"/>
  <c r="G174" i="40"/>
  <c r="B174" i="41" s="1"/>
  <c r="H174" i="40"/>
  <c r="C174" i="41" s="1"/>
  <c r="G175" i="40"/>
  <c r="B175" i="41" s="1"/>
  <c r="H175" i="40"/>
  <c r="C175" i="41" s="1"/>
  <c r="G176" i="40"/>
  <c r="B176" i="41" s="1"/>
  <c r="H176" i="40"/>
  <c r="C176" i="41" s="1"/>
  <c r="G177" i="40"/>
  <c r="B177" i="41" s="1"/>
  <c r="H177" i="40"/>
  <c r="C177" i="41" s="1"/>
  <c r="G178" i="40"/>
  <c r="B178" i="41" s="1"/>
  <c r="H178" i="40"/>
  <c r="C178" i="41" s="1"/>
  <c r="G179" i="40"/>
  <c r="B179" i="41" s="1"/>
  <c r="H179" i="40"/>
  <c r="C179" i="41" s="1"/>
  <c r="G180" i="40"/>
  <c r="B180" i="41" s="1"/>
  <c r="H180" i="40"/>
  <c r="C180" i="41" s="1"/>
  <c r="G181" i="40"/>
  <c r="B181" i="41" s="1"/>
  <c r="H181" i="40"/>
  <c r="C181" i="41" s="1"/>
  <c r="G182" i="40"/>
  <c r="B182" i="41" s="1"/>
  <c r="H182" i="40"/>
  <c r="C182" i="41" s="1"/>
  <c r="G183" i="40"/>
  <c r="B183" i="41" s="1"/>
  <c r="H183" i="40"/>
  <c r="C183" i="41" s="1"/>
  <c r="G184" i="40"/>
  <c r="B184" i="41" s="1"/>
  <c r="H184" i="40"/>
  <c r="C184" i="41" s="1"/>
  <c r="G185" i="40"/>
  <c r="B185" i="41" s="1"/>
  <c r="H185" i="40"/>
  <c r="C185" i="41" s="1"/>
  <c r="G186" i="40"/>
  <c r="B186" i="41" s="1"/>
  <c r="H186" i="40"/>
  <c r="C186" i="41" s="1"/>
  <c r="G187" i="40"/>
  <c r="B187" i="41" s="1"/>
  <c r="H187" i="40"/>
  <c r="C187" i="41" s="1"/>
  <c r="G188" i="40"/>
  <c r="B188" i="41" s="1"/>
  <c r="H188" i="40"/>
  <c r="C188" i="41" s="1"/>
  <c r="G189" i="40"/>
  <c r="B189" i="41" s="1"/>
  <c r="H189" i="40"/>
  <c r="C189" i="41" s="1"/>
  <c r="G190" i="40"/>
  <c r="B190" i="41" s="1"/>
  <c r="H190" i="40"/>
  <c r="C190" i="41" s="1"/>
  <c r="G191" i="40"/>
  <c r="B191" i="41" s="1"/>
  <c r="H191" i="40"/>
  <c r="C191" i="41" s="1"/>
  <c r="H152" i="40"/>
  <c r="G152" i="40"/>
  <c r="B152" i="41" s="1"/>
  <c r="H151" i="40"/>
  <c r="G151" i="40"/>
  <c r="B151" i="41" s="1"/>
  <c r="H150" i="40"/>
  <c r="G150" i="40"/>
  <c r="B150" i="41" s="1"/>
  <c r="H149" i="40"/>
  <c r="G149" i="40"/>
  <c r="B149" i="41" s="1"/>
  <c r="H148" i="40"/>
  <c r="G148" i="40"/>
  <c r="B148" i="41" s="1"/>
  <c r="H147" i="40"/>
  <c r="G147" i="40"/>
  <c r="B147" i="41" s="1"/>
  <c r="H146" i="40"/>
  <c r="G146" i="40"/>
  <c r="B146" i="41" s="1"/>
  <c r="H145" i="40"/>
  <c r="G145" i="40"/>
  <c r="B145" i="41" s="1"/>
  <c r="H116" i="40"/>
  <c r="G116" i="40"/>
  <c r="B116" i="41" s="1"/>
  <c r="H115" i="40"/>
  <c r="G115" i="40"/>
  <c r="B115" i="41" s="1"/>
  <c r="H66" i="40"/>
  <c r="G66" i="40"/>
  <c r="B66" i="41" s="1"/>
  <c r="H65" i="40"/>
  <c r="G65" i="40"/>
  <c r="B65" i="41" s="1"/>
  <c r="H64" i="40"/>
  <c r="G64" i="40"/>
  <c r="B64" i="41" s="1"/>
  <c r="H63" i="40"/>
  <c r="G63" i="40"/>
  <c r="B63" i="41" s="1"/>
  <c r="H62" i="40"/>
  <c r="G62" i="40"/>
  <c r="B62" i="41" s="1"/>
  <c r="H12" i="40"/>
  <c r="G12" i="40"/>
  <c r="B12" i="41" s="1"/>
  <c r="B13" i="41"/>
  <c r="H26" i="40"/>
  <c r="G26" i="40"/>
  <c r="B26" i="41" s="1"/>
  <c r="H25" i="40"/>
  <c r="G25" i="40"/>
  <c r="B25" i="41" s="1"/>
  <c r="H24" i="40"/>
  <c r="G24" i="40"/>
  <c r="B24" i="41" s="1"/>
  <c r="H23" i="40"/>
  <c r="G23" i="40"/>
  <c r="B23" i="41" s="1"/>
  <c r="H22" i="40"/>
  <c r="G22" i="40"/>
  <c r="B22" i="41" s="1"/>
  <c r="H21" i="40"/>
  <c r="G21" i="40"/>
  <c r="B21" i="41" s="1"/>
  <c r="H32" i="40"/>
  <c r="G32" i="40"/>
  <c r="B32" i="41" s="1"/>
  <c r="H31" i="40"/>
  <c r="G31" i="40"/>
  <c r="B31" i="41" s="1"/>
  <c r="H30" i="40"/>
  <c r="G30" i="40"/>
  <c r="B30" i="41" s="1"/>
  <c r="H29" i="40"/>
  <c r="G29" i="40"/>
  <c r="B29" i="41" s="1"/>
  <c r="H28" i="40"/>
  <c r="G28" i="40"/>
  <c r="B28" i="41" s="1"/>
  <c r="H27" i="40"/>
  <c r="G27" i="40"/>
  <c r="B27" i="41" s="1"/>
  <c r="H14" i="40"/>
  <c r="G14" i="40"/>
  <c r="B14" i="41" s="1"/>
  <c r="G6" i="40"/>
  <c r="B6" i="41" s="1"/>
  <c r="H6" i="40"/>
  <c r="G7" i="40"/>
  <c r="B7" i="41" s="1"/>
  <c r="H7" i="40"/>
  <c r="G8" i="40"/>
  <c r="B8" i="41" s="1"/>
  <c r="H8" i="40"/>
  <c r="G9" i="40"/>
  <c r="B9" i="41" s="1"/>
  <c r="H9" i="40"/>
  <c r="G10" i="40"/>
  <c r="B10" i="41" s="1"/>
  <c r="H10" i="40"/>
  <c r="C27" i="41" l="1"/>
  <c r="L8" i="37"/>
  <c r="L108" i="37"/>
  <c r="C23" i="41"/>
  <c r="L48" i="37"/>
  <c r="C31" i="41"/>
  <c r="K38" i="37"/>
  <c r="M21" i="37"/>
  <c r="M22" i="37"/>
  <c r="C7" i="41"/>
  <c r="T68" i="37"/>
  <c r="C12" i="41"/>
  <c r="S71" i="37"/>
  <c r="O37" i="37"/>
  <c r="S72" i="37"/>
  <c r="C65" i="41"/>
  <c r="K4" i="37"/>
  <c r="N20" i="37"/>
  <c r="O76" i="37"/>
  <c r="C147" i="41"/>
  <c r="X97" i="37"/>
  <c r="C151" i="41"/>
  <c r="X95" i="37"/>
  <c r="C32" i="41"/>
  <c r="L19" i="37"/>
  <c r="C24" i="41"/>
  <c r="M35" i="37"/>
  <c r="C28" i="41"/>
  <c r="K42" i="37"/>
  <c r="K45" i="37"/>
  <c r="L49" i="37"/>
  <c r="L76" i="37"/>
  <c r="C10" i="41"/>
  <c r="S73" i="37"/>
  <c r="C6" i="41"/>
  <c r="O66" i="37"/>
  <c r="C62" i="41"/>
  <c r="L44" i="37"/>
  <c r="C66" i="41"/>
  <c r="L3" i="37"/>
  <c r="L17" i="37"/>
  <c r="C148" i="41"/>
  <c r="X100" i="37"/>
  <c r="C152" i="41"/>
  <c r="X91" i="37"/>
  <c r="C29" i="41"/>
  <c r="L41" i="37"/>
  <c r="L75" i="37"/>
  <c r="C21" i="41"/>
  <c r="K68" i="37"/>
  <c r="K82" i="37"/>
  <c r="K76" i="37"/>
  <c r="C25" i="41"/>
  <c r="L9" i="37"/>
  <c r="L16" i="37"/>
  <c r="C9" i="41"/>
  <c r="T71" i="37"/>
  <c r="C63" i="41"/>
  <c r="N19" i="37"/>
  <c r="O75" i="37"/>
  <c r="C115" i="41"/>
  <c r="C145" i="41"/>
  <c r="X99" i="37"/>
  <c r="C149" i="41"/>
  <c r="X93" i="37"/>
  <c r="C14" i="41"/>
  <c r="K2" i="37"/>
  <c r="K89" i="37"/>
  <c r="K108" i="37"/>
  <c r="C22" i="41"/>
  <c r="L62" i="37"/>
  <c r="C26" i="41"/>
  <c r="K49" i="37"/>
  <c r="L10" i="37"/>
  <c r="C30" i="41"/>
  <c r="K40" i="37"/>
  <c r="K73" i="37"/>
  <c r="K74" i="37"/>
  <c r="C8" i="41"/>
  <c r="S69" i="37"/>
  <c r="C64" i="41"/>
  <c r="M18" i="37"/>
  <c r="O108" i="37"/>
  <c r="C116" i="41"/>
  <c r="C146" i="41"/>
  <c r="X98" i="37"/>
  <c r="C150" i="41"/>
  <c r="X94" i="37"/>
  <c r="G68" i="40"/>
  <c r="B68" i="41" s="1"/>
  <c r="H68" i="40"/>
  <c r="G69" i="40"/>
  <c r="B69" i="41" s="1"/>
  <c r="H69" i="40"/>
  <c r="G70" i="40"/>
  <c r="B70" i="41" s="1"/>
  <c r="H70" i="40"/>
  <c r="G71" i="40"/>
  <c r="B71" i="41" s="1"/>
  <c r="H71" i="40"/>
  <c r="G72" i="40"/>
  <c r="B72" i="41" s="1"/>
  <c r="H72" i="40"/>
  <c r="G73" i="40"/>
  <c r="B73" i="41" s="1"/>
  <c r="H73" i="40"/>
  <c r="G74" i="40"/>
  <c r="B74" i="41" s="1"/>
  <c r="H74" i="40"/>
  <c r="G75" i="40"/>
  <c r="B75" i="41" s="1"/>
  <c r="H75" i="40"/>
  <c r="G76" i="40"/>
  <c r="B76" i="41" s="1"/>
  <c r="H76" i="40"/>
  <c r="G77" i="40"/>
  <c r="B77" i="41" s="1"/>
  <c r="H77" i="40"/>
  <c r="G78" i="40"/>
  <c r="B78" i="41" s="1"/>
  <c r="H78" i="40"/>
  <c r="G79" i="40"/>
  <c r="B79" i="41" s="1"/>
  <c r="H79" i="40"/>
  <c r="G80" i="40"/>
  <c r="B80" i="41" s="1"/>
  <c r="H80" i="40"/>
  <c r="G81" i="40"/>
  <c r="B81" i="41" s="1"/>
  <c r="H81" i="40"/>
  <c r="G82" i="40"/>
  <c r="B82" i="41" s="1"/>
  <c r="H82" i="40"/>
  <c r="C80" i="41" l="1"/>
  <c r="K32" i="37"/>
  <c r="K33" i="37"/>
  <c r="C76" i="41"/>
  <c r="K54" i="37"/>
  <c r="C72" i="41"/>
  <c r="L56" i="37"/>
  <c r="C68" i="41"/>
  <c r="L58" i="37"/>
  <c r="N102" i="37"/>
  <c r="C81" i="41"/>
  <c r="K19" i="37"/>
  <c r="K35" i="37"/>
  <c r="C77" i="41"/>
  <c r="K52" i="37"/>
  <c r="C73" i="41"/>
  <c r="K50" i="37"/>
  <c r="M45" i="37"/>
  <c r="C69" i="41"/>
  <c r="L60" i="37"/>
  <c r="M64" i="37"/>
  <c r="C79" i="41"/>
  <c r="K37" i="37"/>
  <c r="C75" i="41"/>
  <c r="K51" i="37"/>
  <c r="L46" i="37"/>
  <c r="C71" i="41"/>
  <c r="L59" i="37"/>
  <c r="C82" i="41"/>
  <c r="K20" i="37"/>
  <c r="K30" i="37"/>
  <c r="K31" i="37"/>
  <c r="C78" i="41"/>
  <c r="K55" i="37"/>
  <c r="C74" i="41"/>
  <c r="K53" i="37"/>
  <c r="C70" i="41"/>
  <c r="L57" i="37"/>
  <c r="H33" i="40"/>
  <c r="G33" i="40"/>
  <c r="B33" i="41" s="1"/>
  <c r="H20" i="40"/>
  <c r="G20" i="40"/>
  <c r="B20" i="41" s="1"/>
  <c r="H19" i="40"/>
  <c r="G19" i="40"/>
  <c r="B19" i="41" s="1"/>
  <c r="H18" i="40"/>
  <c r="G18" i="40"/>
  <c r="B18" i="41" s="1"/>
  <c r="H4" i="40"/>
  <c r="H5" i="40"/>
  <c r="H11" i="40"/>
  <c r="H39" i="40"/>
  <c r="H40" i="40"/>
  <c r="H41" i="40"/>
  <c r="H42" i="40"/>
  <c r="H43" i="40"/>
  <c r="H44" i="40"/>
  <c r="H45" i="40"/>
  <c r="H46" i="40"/>
  <c r="H47" i="40"/>
  <c r="H48" i="40"/>
  <c r="H49" i="40"/>
  <c r="H50" i="40"/>
  <c r="H51" i="40"/>
  <c r="H52" i="40"/>
  <c r="H53" i="40"/>
  <c r="H54" i="40"/>
  <c r="H55" i="40"/>
  <c r="H56" i="40"/>
  <c r="H57" i="40"/>
  <c r="H58" i="40"/>
  <c r="H59" i="40"/>
  <c r="H60" i="40"/>
  <c r="H61" i="40"/>
  <c r="H67" i="40"/>
  <c r="H119" i="40"/>
  <c r="H120" i="40"/>
  <c r="H121" i="40"/>
  <c r="H122" i="40"/>
  <c r="H123" i="40"/>
  <c r="H124" i="40"/>
  <c r="H125" i="40"/>
  <c r="H126" i="40"/>
  <c r="H127" i="40"/>
  <c r="H128" i="40"/>
  <c r="AC90" i="37" s="1"/>
  <c r="H129" i="40"/>
  <c r="AC89" i="37" s="1"/>
  <c r="H130" i="40"/>
  <c r="AC88" i="37" s="1"/>
  <c r="H131" i="40"/>
  <c r="AC87" i="37" s="1"/>
  <c r="H132" i="40"/>
  <c r="AC86" i="37" s="1"/>
  <c r="H133" i="40"/>
  <c r="AC85" i="37" s="1"/>
  <c r="H134" i="40"/>
  <c r="AC84" i="37" s="1"/>
  <c r="H135" i="40"/>
  <c r="AC83" i="37" s="1"/>
  <c r="H136" i="40"/>
  <c r="AC82" i="37" s="1"/>
  <c r="H137" i="40"/>
  <c r="W78" i="37" s="1"/>
  <c r="H138" i="40"/>
  <c r="W77" i="37" s="1"/>
  <c r="H139" i="40"/>
  <c r="H140" i="40"/>
  <c r="H141" i="40"/>
  <c r="H153" i="40"/>
  <c r="H154" i="40"/>
  <c r="H155" i="40"/>
  <c r="H156" i="40"/>
  <c r="H157" i="40"/>
  <c r="H158" i="40"/>
  <c r="H159" i="40"/>
  <c r="H160" i="40"/>
  <c r="H161" i="40"/>
  <c r="H162" i="40"/>
  <c r="H163" i="40"/>
  <c r="H164" i="40"/>
  <c r="H165" i="40"/>
  <c r="H192" i="40"/>
  <c r="C192" i="41" s="1"/>
  <c r="H193" i="40"/>
  <c r="C193" i="41" s="1"/>
  <c r="H194" i="40"/>
  <c r="C194" i="41" s="1"/>
  <c r="H195" i="40"/>
  <c r="C195" i="41" s="1"/>
  <c r="H196" i="40"/>
  <c r="C196" i="41" s="1"/>
  <c r="H197" i="40"/>
  <c r="C197" i="41" s="1"/>
  <c r="H198" i="40"/>
  <c r="C198" i="41" s="1"/>
  <c r="H199" i="40"/>
  <c r="C199" i="41" s="1"/>
  <c r="H200" i="40"/>
  <c r="C200" i="41" s="1"/>
  <c r="H201" i="40"/>
  <c r="C201" i="41" s="1"/>
  <c r="H202" i="40"/>
  <c r="C202" i="41" s="1"/>
  <c r="H203" i="40"/>
  <c r="C203" i="41" s="1"/>
  <c r="H204" i="40"/>
  <c r="C204" i="41" s="1"/>
  <c r="H205" i="40"/>
  <c r="C205" i="41" s="1"/>
  <c r="H206" i="40"/>
  <c r="C206" i="41" s="1"/>
  <c r="H207" i="40"/>
  <c r="C207" i="41" s="1"/>
  <c r="H208" i="40"/>
  <c r="C208" i="41" s="1"/>
  <c r="H209" i="40"/>
  <c r="C209" i="41" s="1"/>
  <c r="H210" i="40"/>
  <c r="C210" i="41" s="1"/>
  <c r="H211" i="40"/>
  <c r="C211" i="41" s="1"/>
  <c r="H212" i="40"/>
  <c r="C212" i="41" s="1"/>
  <c r="H213" i="40"/>
  <c r="C213" i="41" s="1"/>
  <c r="H214" i="40"/>
  <c r="C214" i="41" s="1"/>
  <c r="H215" i="40"/>
  <c r="C215" i="41" s="1"/>
  <c r="H216" i="40"/>
  <c r="C216" i="41" s="1"/>
  <c r="H217" i="40"/>
  <c r="C217" i="41" s="1"/>
  <c r="H218" i="40"/>
  <c r="C218" i="41" s="1"/>
  <c r="H219" i="40"/>
  <c r="C219" i="41" s="1"/>
  <c r="H220" i="40"/>
  <c r="C220" i="41" s="1"/>
  <c r="H221" i="40"/>
  <c r="C221" i="41" s="1"/>
  <c r="H222" i="40"/>
  <c r="C222" i="41" s="1"/>
  <c r="H223" i="40"/>
  <c r="C223" i="41" s="1"/>
  <c r="H224" i="40"/>
  <c r="C224" i="41" s="1"/>
  <c r="H225" i="40"/>
  <c r="C225" i="41" s="1"/>
  <c r="H226" i="40"/>
  <c r="C226" i="41" s="1"/>
  <c r="H227" i="40"/>
  <c r="C227" i="41" s="1"/>
  <c r="H228" i="40"/>
  <c r="C228" i="41" s="1"/>
  <c r="H229" i="40"/>
  <c r="C229" i="41" s="1"/>
  <c r="H230" i="40"/>
  <c r="C230" i="41" s="1"/>
  <c r="H231" i="40"/>
  <c r="C231" i="41" s="1"/>
  <c r="H232" i="40"/>
  <c r="C232" i="41" s="1"/>
  <c r="H233" i="40"/>
  <c r="C233" i="41" s="1"/>
  <c r="H15" i="40"/>
  <c r="H16" i="40"/>
  <c r="H17" i="40"/>
  <c r="H34" i="40"/>
  <c r="H35" i="40"/>
  <c r="H36" i="40"/>
  <c r="H37" i="40"/>
  <c r="H38" i="40"/>
  <c r="H91" i="40"/>
  <c r="H92" i="40"/>
  <c r="H93" i="40"/>
  <c r="H94" i="40"/>
  <c r="H95" i="40"/>
  <c r="H96" i="40"/>
  <c r="H97" i="40"/>
  <c r="H98" i="40"/>
  <c r="H99" i="40"/>
  <c r="H100" i="40"/>
  <c r="H101" i="40"/>
  <c r="H102" i="40"/>
  <c r="H103" i="40"/>
  <c r="H104" i="40"/>
  <c r="H105" i="40"/>
  <c r="H106" i="40"/>
  <c r="H107" i="40"/>
  <c r="H108" i="40"/>
  <c r="H109" i="40"/>
  <c r="H110" i="40"/>
  <c r="H111" i="40"/>
  <c r="H112" i="40"/>
  <c r="H113" i="40"/>
  <c r="H114" i="40"/>
  <c r="H117" i="40"/>
  <c r="H118" i="40"/>
  <c r="H234" i="40"/>
  <c r="C234" i="41" s="1"/>
  <c r="H235" i="40"/>
  <c r="C235" i="41" s="1"/>
  <c r="H236" i="40"/>
  <c r="C236" i="41" s="1"/>
  <c r="H237" i="40"/>
  <c r="C237" i="41" s="1"/>
  <c r="H238" i="40"/>
  <c r="C238" i="41" s="1"/>
  <c r="H83" i="40"/>
  <c r="H84" i="40"/>
  <c r="H85" i="40"/>
  <c r="H86" i="40"/>
  <c r="H87" i="40"/>
  <c r="H88" i="40"/>
  <c r="H89" i="40"/>
  <c r="H90" i="40"/>
  <c r="H142" i="40"/>
  <c r="H143" i="40"/>
  <c r="H144" i="40"/>
  <c r="H239" i="40"/>
  <c r="C239" i="41" s="1"/>
  <c r="H240" i="40"/>
  <c r="C240" i="41" s="1"/>
  <c r="H241" i="40"/>
  <c r="C241" i="41" s="1"/>
  <c r="H242" i="40"/>
  <c r="C242" i="41" s="1"/>
  <c r="H243" i="40"/>
  <c r="C243" i="41" s="1"/>
  <c r="H244" i="40"/>
  <c r="C244" i="41" s="1"/>
  <c r="H245" i="40"/>
  <c r="C245" i="41" s="1"/>
  <c r="H246" i="40"/>
  <c r="C246" i="41" s="1"/>
  <c r="H247" i="40"/>
  <c r="C247" i="41" s="1"/>
  <c r="H248" i="40"/>
  <c r="C248" i="41" s="1"/>
  <c r="H249" i="40"/>
  <c r="C249" i="41" s="1"/>
  <c r="H250" i="40"/>
  <c r="C250" i="41" s="1"/>
  <c r="G4" i="40"/>
  <c r="B4" i="41" s="1"/>
  <c r="C114" i="41" l="1"/>
  <c r="C87" i="41"/>
  <c r="O69" i="37"/>
  <c r="O70" i="37"/>
  <c r="C144" i="41"/>
  <c r="N8" i="37"/>
  <c r="C98" i="41"/>
  <c r="C13" i="41"/>
  <c r="K16" i="37"/>
  <c r="C141" i="41"/>
  <c r="W100" i="37"/>
  <c r="C125" i="41"/>
  <c r="W93" i="37"/>
  <c r="C45" i="41"/>
  <c r="K58" i="37"/>
  <c r="L107" i="37"/>
  <c r="C84" i="41"/>
  <c r="N69" i="37"/>
  <c r="N70" i="37"/>
  <c r="C105" i="41"/>
  <c r="C37" i="41"/>
  <c r="L66" i="37"/>
  <c r="N21" i="37"/>
  <c r="N22" i="37"/>
  <c r="C142" i="41"/>
  <c r="P3" i="37"/>
  <c r="Q20" i="37"/>
  <c r="C83" i="41"/>
  <c r="P68" i="37"/>
  <c r="C112" i="41"/>
  <c r="C104" i="41"/>
  <c r="C96" i="41"/>
  <c r="C36" i="41"/>
  <c r="M19" i="37"/>
  <c r="C158" i="41"/>
  <c r="Y93" i="37"/>
  <c r="Z95" i="37"/>
  <c r="C139" i="41"/>
  <c r="AH76" i="37"/>
  <c r="C131" i="41"/>
  <c r="L87" i="37"/>
  <c r="C123" i="41"/>
  <c r="W95" i="37"/>
  <c r="C59" i="41"/>
  <c r="M9" i="37"/>
  <c r="M107" i="37"/>
  <c r="N41" i="37"/>
  <c r="N66" i="37"/>
  <c r="C51" i="41"/>
  <c r="K28" i="37"/>
  <c r="K64" i="37"/>
  <c r="L69" i="37"/>
  <c r="L70" i="37"/>
  <c r="L104" i="37"/>
  <c r="C43" i="41"/>
  <c r="K27" i="37"/>
  <c r="K46" i="37"/>
  <c r="K59" i="37"/>
  <c r="K72" i="37"/>
  <c r="K71" i="37"/>
  <c r="C143" i="41"/>
  <c r="N5" i="37"/>
  <c r="C118" i="41"/>
  <c r="C85" i="41"/>
  <c r="O71" i="37"/>
  <c r="O72" i="37"/>
  <c r="C106" i="41"/>
  <c r="C133" i="41"/>
  <c r="L85" i="37"/>
  <c r="C61" i="41"/>
  <c r="L43" i="37"/>
  <c r="L106" i="37"/>
  <c r="N73" i="37"/>
  <c r="N74" i="37"/>
  <c r="C5" i="41"/>
  <c r="K24" i="37"/>
  <c r="C113" i="41"/>
  <c r="C97" i="41"/>
  <c r="C159" i="41"/>
  <c r="Z91" i="37"/>
  <c r="C140" i="41"/>
  <c r="AH75" i="37"/>
  <c r="C132" i="41"/>
  <c r="L86" i="37"/>
  <c r="C124" i="41"/>
  <c r="W94" i="37"/>
  <c r="C60" i="41"/>
  <c r="M10" i="37"/>
  <c r="M42" i="37"/>
  <c r="M102" i="37"/>
  <c r="N68" i="37"/>
  <c r="N108" i="37"/>
  <c r="C52" i="41"/>
  <c r="L68" i="37"/>
  <c r="M23" i="37"/>
  <c r="C44" i="41"/>
  <c r="K69" i="37"/>
  <c r="K70" i="37"/>
  <c r="L47" i="37"/>
  <c r="C4" i="41"/>
  <c r="K21" i="37"/>
  <c r="C33" i="41"/>
  <c r="L73" i="37"/>
  <c r="L74" i="37"/>
  <c r="C90" i="41"/>
  <c r="M48" i="37"/>
  <c r="C111" i="41"/>
  <c r="C103" i="41"/>
  <c r="C95" i="41"/>
  <c r="C35" i="41"/>
  <c r="M76" i="37"/>
  <c r="K106" i="37"/>
  <c r="K102" i="37"/>
  <c r="C165" i="41"/>
  <c r="R69" i="37"/>
  <c r="R70" i="37"/>
  <c r="C157" i="41"/>
  <c r="Y91" i="37"/>
  <c r="Y95" i="37"/>
  <c r="C138" i="41"/>
  <c r="K77" i="37"/>
  <c r="C130" i="41"/>
  <c r="L88" i="37"/>
  <c r="C122" i="41"/>
  <c r="W96" i="37"/>
  <c r="C58" i="41"/>
  <c r="L64" i="37"/>
  <c r="M40" i="37"/>
  <c r="N76" i="37"/>
  <c r="C50" i="41"/>
  <c r="L18" i="37"/>
  <c r="C42" i="41"/>
  <c r="K18" i="37"/>
  <c r="K26" i="37"/>
  <c r="C18" i="41"/>
  <c r="K8" i="37"/>
  <c r="K48" i="37"/>
  <c r="K85" i="37"/>
  <c r="C102" i="41"/>
  <c r="C38" i="41"/>
  <c r="K43" i="37"/>
  <c r="M49" i="37"/>
  <c r="C160" i="41"/>
  <c r="AJ75" i="37"/>
  <c r="C53" i="41"/>
  <c r="K44" i="37"/>
  <c r="L71" i="37"/>
  <c r="L72" i="37"/>
  <c r="L105" i="37"/>
  <c r="C89" i="41"/>
  <c r="M8" i="37"/>
  <c r="C110" i="41"/>
  <c r="C94" i="41"/>
  <c r="C34" i="41"/>
  <c r="M108" i="37"/>
  <c r="K90" i="37"/>
  <c r="C164" i="41"/>
  <c r="S68" i="37"/>
  <c r="R72" i="37"/>
  <c r="R71" i="37"/>
  <c r="C156" i="41"/>
  <c r="AJ76" i="37"/>
  <c r="C137" i="41"/>
  <c r="K78" i="37"/>
  <c r="C129" i="41"/>
  <c r="L89" i="37"/>
  <c r="C121" i="41"/>
  <c r="W97" i="37"/>
  <c r="C57" i="41"/>
  <c r="L39" i="37"/>
  <c r="L63" i="37"/>
  <c r="N75" i="37"/>
  <c r="C49" i="41"/>
  <c r="K17" i="37"/>
  <c r="K56" i="37"/>
  <c r="C41" i="41"/>
  <c r="K60" i="37"/>
  <c r="M20" i="37"/>
  <c r="C88" i="41"/>
  <c r="P71" i="37"/>
  <c r="P72" i="37"/>
  <c r="C109" i="41"/>
  <c r="C101" i="41"/>
  <c r="C93" i="41"/>
  <c r="C17" i="41"/>
  <c r="L21" i="37"/>
  <c r="L22" i="37"/>
  <c r="L35" i="37"/>
  <c r="K86" i="37"/>
  <c r="C163" i="41"/>
  <c r="Q71" i="37"/>
  <c r="Q72" i="37"/>
  <c r="R68" i="37"/>
  <c r="C155" i="41"/>
  <c r="Z100" i="37"/>
  <c r="C136" i="41"/>
  <c r="L82" i="37"/>
  <c r="C128" i="41"/>
  <c r="L90" i="37"/>
  <c r="C120" i="41"/>
  <c r="W98" i="37"/>
  <c r="C56" i="41"/>
  <c r="L38" i="37"/>
  <c r="M68" i="37"/>
  <c r="C48" i="41"/>
  <c r="M75" i="37"/>
  <c r="K105" i="37"/>
  <c r="C40" i="41"/>
  <c r="K39" i="37"/>
  <c r="L23" i="37"/>
  <c r="C19" i="41"/>
  <c r="K3" i="37"/>
  <c r="K62" i="37"/>
  <c r="L20" i="37"/>
  <c r="L30" i="37"/>
  <c r="L31" i="37"/>
  <c r="K84" i="37"/>
  <c r="C108" i="41"/>
  <c r="C92" i="41"/>
  <c r="C16" i="41"/>
  <c r="K5" i="37"/>
  <c r="K10" i="37"/>
  <c r="K23" i="37"/>
  <c r="K87" i="37"/>
  <c r="C154" i="41"/>
  <c r="Y99" i="37"/>
  <c r="Z94" i="37"/>
  <c r="C127" i="41"/>
  <c r="W91" i="37"/>
  <c r="C119" i="41"/>
  <c r="W99" i="37"/>
  <c r="C47" i="41"/>
  <c r="K57" i="37"/>
  <c r="L26" i="37"/>
  <c r="L45" i="37"/>
  <c r="M73" i="37"/>
  <c r="M74" i="37"/>
  <c r="K104" i="37"/>
  <c r="C39" i="41"/>
  <c r="K47" i="37"/>
  <c r="K61" i="37"/>
  <c r="K63" i="37"/>
  <c r="L24" i="37"/>
  <c r="L25" i="37"/>
  <c r="L40" i="37"/>
  <c r="C100" i="41"/>
  <c r="C162" i="41"/>
  <c r="Q69" i="37"/>
  <c r="Q70" i="37"/>
  <c r="R73" i="37"/>
  <c r="R74" i="37"/>
  <c r="C135" i="41"/>
  <c r="L83" i="37"/>
  <c r="C55" i="41"/>
  <c r="L37" i="37"/>
  <c r="M66" i="37"/>
  <c r="C86" i="41"/>
  <c r="Q68" i="37"/>
  <c r="C117" i="41"/>
  <c r="C107" i="41"/>
  <c r="C99" i="41"/>
  <c r="C91" i="41"/>
  <c r="C15" i="41"/>
  <c r="K9" i="37"/>
  <c r="K41" i="37"/>
  <c r="K88" i="37"/>
  <c r="K107" i="37"/>
  <c r="C161" i="41"/>
  <c r="P69" i="37"/>
  <c r="P70" i="37"/>
  <c r="Q73" i="37"/>
  <c r="Q74" i="37"/>
  <c r="C153" i="41"/>
  <c r="Y94" i="37"/>
  <c r="Y100" i="37"/>
  <c r="C134" i="41"/>
  <c r="L84" i="37"/>
  <c r="C126" i="41"/>
  <c r="W92" i="37"/>
  <c r="C67" i="41"/>
  <c r="L61" i="37"/>
  <c r="M63" i="37"/>
  <c r="N107" i="37"/>
  <c r="C54" i="41"/>
  <c r="L42" i="37"/>
  <c r="C46" i="41"/>
  <c r="L102" i="37"/>
  <c r="M41" i="37"/>
  <c r="C11" i="41"/>
  <c r="Q75" i="37"/>
  <c r="C20" i="41"/>
  <c r="K66" i="37"/>
  <c r="K75" i="37"/>
  <c r="K83" i="37"/>
  <c r="G134" i="40" l="1"/>
  <c r="B134" i="41" s="1"/>
  <c r="G135" i="40"/>
  <c r="B135" i="41" s="1"/>
  <c r="G136" i="40"/>
  <c r="B136" i="41" s="1"/>
  <c r="G137" i="40"/>
  <c r="B137" i="41" s="1"/>
  <c r="G138" i="40"/>
  <c r="B138" i="41" s="1"/>
  <c r="G139" i="40"/>
  <c r="B139" i="41" s="1"/>
  <c r="G140" i="40"/>
  <c r="B140" i="41" s="1"/>
  <c r="G141" i="40"/>
  <c r="B141" i="41" s="1"/>
  <c r="G153" i="40"/>
  <c r="B153" i="41" s="1"/>
  <c r="G154" i="40"/>
  <c r="B154" i="41" s="1"/>
  <c r="G155" i="40"/>
  <c r="B155" i="41" s="1"/>
  <c r="G156" i="40"/>
  <c r="B156" i="41" s="1"/>
  <c r="G157" i="40"/>
  <c r="B157" i="41" s="1"/>
  <c r="G158" i="40"/>
  <c r="B158" i="41" s="1"/>
  <c r="G159" i="40"/>
  <c r="B159" i="41" s="1"/>
  <c r="G160" i="40"/>
  <c r="B160" i="41" s="1"/>
  <c r="G161" i="40"/>
  <c r="B161" i="41" s="1"/>
  <c r="G162" i="40"/>
  <c r="B162" i="41" s="1"/>
  <c r="G163" i="40"/>
  <c r="B163" i="41" s="1"/>
  <c r="G164" i="40"/>
  <c r="B164" i="41" s="1"/>
  <c r="G165" i="40"/>
  <c r="B165" i="41" s="1"/>
  <c r="G246" i="40" l="1"/>
  <c r="B246" i="41" s="1"/>
  <c r="G59" i="40" l="1"/>
  <c r="B59" i="41" s="1"/>
  <c r="G5" i="40"/>
  <c r="B5" i="41" s="1"/>
  <c r="G11" i="40"/>
  <c r="B11" i="41" s="1"/>
  <c r="G39" i="40"/>
  <c r="B39" i="41" s="1"/>
  <c r="G40" i="40"/>
  <c r="B40" i="41" s="1"/>
  <c r="G41" i="40"/>
  <c r="B41" i="41" s="1"/>
  <c r="G42" i="40"/>
  <c r="B42" i="41" s="1"/>
  <c r="G43" i="40"/>
  <c r="B43" i="41" s="1"/>
  <c r="G44" i="40"/>
  <c r="B44" i="41" s="1"/>
  <c r="G45" i="40"/>
  <c r="B45" i="41" s="1"/>
  <c r="G46" i="40"/>
  <c r="B46" i="41" s="1"/>
  <c r="G47" i="40"/>
  <c r="B47" i="41" s="1"/>
  <c r="G48" i="40"/>
  <c r="B48" i="41" s="1"/>
  <c r="G49" i="40"/>
  <c r="B49" i="41" s="1"/>
  <c r="G50" i="40"/>
  <c r="B50" i="41" s="1"/>
  <c r="G51" i="40"/>
  <c r="B51" i="41" s="1"/>
  <c r="G52" i="40"/>
  <c r="B52" i="41" s="1"/>
  <c r="G53" i="40"/>
  <c r="B53" i="41" s="1"/>
  <c r="G54" i="40"/>
  <c r="B54" i="41" s="1"/>
  <c r="G55" i="40"/>
  <c r="B55" i="41" s="1"/>
  <c r="G56" i="40"/>
  <c r="B56" i="41" s="1"/>
  <c r="G57" i="40"/>
  <c r="B57" i="41" s="1"/>
  <c r="G58" i="40"/>
  <c r="B58" i="41" s="1"/>
  <c r="G60" i="40"/>
  <c r="B60" i="41" s="1"/>
  <c r="G61" i="40"/>
  <c r="B61" i="41" s="1"/>
  <c r="G67" i="40"/>
  <c r="B67" i="41" s="1"/>
  <c r="G119" i="40"/>
  <c r="B119" i="41" s="1"/>
  <c r="G120" i="40"/>
  <c r="B120" i="41" s="1"/>
  <c r="G121" i="40"/>
  <c r="B121" i="41" s="1"/>
  <c r="G122" i="40"/>
  <c r="B122" i="41" s="1"/>
  <c r="G123" i="40"/>
  <c r="B123" i="41" s="1"/>
  <c r="G124" i="40"/>
  <c r="B124" i="41" s="1"/>
  <c r="G125" i="40"/>
  <c r="B125" i="41" s="1"/>
  <c r="G126" i="40"/>
  <c r="B126" i="41" s="1"/>
  <c r="G127" i="40"/>
  <c r="B127" i="41" s="1"/>
  <c r="G128" i="40"/>
  <c r="B128" i="41" s="1"/>
  <c r="G129" i="40"/>
  <c r="B129" i="41" s="1"/>
  <c r="G130" i="40"/>
  <c r="B130" i="41" s="1"/>
  <c r="G131" i="40"/>
  <c r="B131" i="41" s="1"/>
  <c r="G132" i="40"/>
  <c r="B132" i="41" s="1"/>
  <c r="G133" i="40"/>
  <c r="B133" i="41" s="1"/>
  <c r="G192" i="40"/>
  <c r="B192" i="41" s="1"/>
  <c r="G193" i="40"/>
  <c r="B193" i="41" s="1"/>
  <c r="G194" i="40"/>
  <c r="B194" i="41" s="1"/>
  <c r="G195" i="40"/>
  <c r="B195" i="41" s="1"/>
  <c r="G196" i="40"/>
  <c r="B196" i="41" s="1"/>
  <c r="G197" i="40"/>
  <c r="B197" i="41" s="1"/>
  <c r="G198" i="40"/>
  <c r="B198" i="41" s="1"/>
  <c r="G199" i="40"/>
  <c r="B199" i="41" s="1"/>
  <c r="G200" i="40"/>
  <c r="B200" i="41" s="1"/>
  <c r="G201" i="40"/>
  <c r="B201" i="41" s="1"/>
  <c r="G202" i="40"/>
  <c r="B202" i="41" s="1"/>
  <c r="G203" i="40"/>
  <c r="B203" i="41" s="1"/>
  <c r="G204" i="40"/>
  <c r="B204" i="41" s="1"/>
  <c r="G205" i="40"/>
  <c r="B205" i="41" s="1"/>
  <c r="G206" i="40"/>
  <c r="B206" i="41" s="1"/>
  <c r="G207" i="40"/>
  <c r="B207" i="41" s="1"/>
  <c r="G208" i="40"/>
  <c r="B208" i="41" s="1"/>
  <c r="G209" i="40"/>
  <c r="B209" i="41" s="1"/>
  <c r="G210" i="40"/>
  <c r="B210" i="41" s="1"/>
  <c r="G211" i="40"/>
  <c r="B211" i="41" s="1"/>
  <c r="G212" i="40"/>
  <c r="B212" i="41" s="1"/>
  <c r="G213" i="40"/>
  <c r="B213" i="41" s="1"/>
  <c r="G214" i="40"/>
  <c r="B214" i="41" s="1"/>
  <c r="G215" i="40"/>
  <c r="B215" i="41" s="1"/>
  <c r="G216" i="40"/>
  <c r="B216" i="41" s="1"/>
  <c r="G217" i="40"/>
  <c r="B217" i="41" s="1"/>
  <c r="G218" i="40"/>
  <c r="B218" i="41" s="1"/>
  <c r="G219" i="40"/>
  <c r="B219" i="41" s="1"/>
  <c r="G220" i="40"/>
  <c r="B220" i="41" s="1"/>
  <c r="G221" i="40"/>
  <c r="B221" i="41" s="1"/>
  <c r="G222" i="40"/>
  <c r="B222" i="41" s="1"/>
  <c r="G223" i="40"/>
  <c r="B223" i="41" s="1"/>
  <c r="G224" i="40"/>
  <c r="B224" i="41" s="1"/>
  <c r="G225" i="40"/>
  <c r="B225" i="41" s="1"/>
  <c r="G226" i="40"/>
  <c r="B226" i="41" s="1"/>
  <c r="G227" i="40"/>
  <c r="B227" i="41" s="1"/>
  <c r="G228" i="40"/>
  <c r="B228" i="41" s="1"/>
  <c r="G229" i="40"/>
  <c r="B229" i="41" s="1"/>
  <c r="G230" i="40"/>
  <c r="B230" i="41" s="1"/>
  <c r="G231" i="40"/>
  <c r="B231" i="41" s="1"/>
  <c r="G232" i="40"/>
  <c r="B232" i="41" s="1"/>
  <c r="G233" i="40"/>
  <c r="B233" i="41" s="1"/>
  <c r="G15" i="40"/>
  <c r="B15" i="41" s="1"/>
  <c r="G16" i="40"/>
  <c r="B16" i="41" s="1"/>
  <c r="G17" i="40"/>
  <c r="B17" i="41" s="1"/>
  <c r="G34" i="40"/>
  <c r="B34" i="41" s="1"/>
  <c r="G35" i="40"/>
  <c r="B35" i="41" s="1"/>
  <c r="G36" i="40"/>
  <c r="B36" i="41" s="1"/>
  <c r="G37" i="40"/>
  <c r="B37" i="41" s="1"/>
  <c r="G38" i="40"/>
  <c r="B38" i="41" s="1"/>
  <c r="G91" i="40"/>
  <c r="B91" i="41" s="1"/>
  <c r="G92" i="40"/>
  <c r="B92" i="41" s="1"/>
  <c r="G93" i="40"/>
  <c r="B93" i="41" s="1"/>
  <c r="G94" i="40"/>
  <c r="B94" i="41" s="1"/>
  <c r="G95" i="40"/>
  <c r="B95" i="41" s="1"/>
  <c r="G96" i="40"/>
  <c r="B96" i="41" s="1"/>
  <c r="G97" i="40"/>
  <c r="B97" i="41" s="1"/>
  <c r="G98" i="40"/>
  <c r="B98" i="41" s="1"/>
  <c r="G99" i="40"/>
  <c r="B99" i="41" s="1"/>
  <c r="G100" i="40"/>
  <c r="B100" i="41" s="1"/>
  <c r="G101" i="40"/>
  <c r="B101" i="41" s="1"/>
  <c r="G102" i="40"/>
  <c r="B102" i="41" s="1"/>
  <c r="G103" i="40"/>
  <c r="B103" i="41" s="1"/>
  <c r="G104" i="40"/>
  <c r="B104" i="41" s="1"/>
  <c r="G105" i="40"/>
  <c r="B105" i="41" s="1"/>
  <c r="G106" i="40"/>
  <c r="B106" i="41" s="1"/>
  <c r="G107" i="40"/>
  <c r="B107" i="41" s="1"/>
  <c r="G108" i="40"/>
  <c r="B108" i="41" s="1"/>
  <c r="G109" i="40"/>
  <c r="B109" i="41" s="1"/>
  <c r="G110" i="40"/>
  <c r="B110" i="41" s="1"/>
  <c r="G111" i="40"/>
  <c r="B111" i="41" s="1"/>
  <c r="G112" i="40"/>
  <c r="B112" i="41" s="1"/>
  <c r="G113" i="40"/>
  <c r="B113" i="41" s="1"/>
  <c r="G114" i="40"/>
  <c r="B114" i="41" s="1"/>
  <c r="G117" i="40"/>
  <c r="B117" i="41" s="1"/>
  <c r="G118" i="40"/>
  <c r="B118" i="41" s="1"/>
  <c r="G234" i="40"/>
  <c r="B234" i="41" s="1"/>
  <c r="G235" i="40"/>
  <c r="B235" i="41" s="1"/>
  <c r="G236" i="40"/>
  <c r="B236" i="41" s="1"/>
  <c r="G237" i="40"/>
  <c r="B237" i="41" s="1"/>
  <c r="G238" i="40"/>
  <c r="B238" i="41" s="1"/>
  <c r="G83" i="40"/>
  <c r="B83" i="41" s="1"/>
  <c r="G84" i="40"/>
  <c r="B84" i="41" s="1"/>
  <c r="G85" i="40"/>
  <c r="B85" i="41" s="1"/>
  <c r="G86" i="40"/>
  <c r="B86" i="41" s="1"/>
  <c r="G87" i="40"/>
  <c r="B87" i="41" s="1"/>
  <c r="G88" i="40"/>
  <c r="B88" i="41" s="1"/>
  <c r="G89" i="40"/>
  <c r="B89" i="41" s="1"/>
  <c r="G90" i="40"/>
  <c r="B90" i="41" s="1"/>
  <c r="G142" i="40"/>
  <c r="B142" i="41" s="1"/>
  <c r="G143" i="40"/>
  <c r="B143" i="41" s="1"/>
  <c r="G144" i="40"/>
  <c r="B144" i="41" s="1"/>
  <c r="G239" i="40"/>
  <c r="B239" i="41" s="1"/>
  <c r="G240" i="40"/>
  <c r="B240" i="41" s="1"/>
  <c r="G241" i="40"/>
  <c r="B241" i="41" s="1"/>
  <c r="G242" i="40"/>
  <c r="B242" i="41" s="1"/>
  <c r="G243" i="40"/>
  <c r="B243" i="41" s="1"/>
  <c r="G244" i="40"/>
  <c r="B244" i="41" s="1"/>
  <c r="G245" i="40"/>
  <c r="B245" i="41" s="1"/>
  <c r="G247" i="40"/>
  <c r="B247" i="41" s="1"/>
  <c r="G248" i="40"/>
  <c r="B248" i="41" s="1"/>
  <c r="G249" i="40"/>
  <c r="B249" i="41" s="1"/>
  <c r="G250" i="40"/>
  <c r="B250"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MS60 CCLi0</author>
  </authors>
  <commentList>
    <comment ref="A1" authorId="0" shapeId="0" xr:uid="{00000000-0006-0000-0000-000001000000}">
      <text>
        <r>
          <rPr>
            <sz val="9"/>
            <color indexed="81"/>
            <rFont val="Tahoma"/>
            <family val="2"/>
          </rPr>
          <t>The package name must have a one-to-one relationship with the part number on the second page (Package Type). In addition, the first half is the name of the show for customers, and the ones in parentheses are used for distinction.</t>
        </r>
      </text>
    </comment>
    <comment ref="N1" authorId="0" shapeId="0" xr:uid="{00000000-0006-0000-0000-000002000000}">
      <text>
        <r>
          <rPr>
            <sz val="9"/>
            <color indexed="81"/>
            <rFont val="Tahoma"/>
            <family val="2"/>
          </rPr>
          <t>If there are different packages and different function definitions, please follow this format. The package must be the same as before</t>
        </r>
        <r>
          <rPr>
            <sz val="9"/>
            <color indexed="81"/>
            <rFont val="細明體"/>
            <family val="3"/>
            <charset val="136"/>
          </rPr>
          <t>。</t>
        </r>
      </text>
    </comment>
    <comment ref="Q1" authorId="0" shapeId="0" xr:uid="{00000000-0006-0000-0000-000003000000}">
      <text>
        <r>
          <rPr>
            <sz val="9"/>
            <color indexed="81"/>
            <rFont val="Tahoma"/>
            <family val="2"/>
          </rPr>
          <t>The value after the MFP is meaningful, and its value should have a corresponding relationship with the martix of the following Bit.
E.g.:
P2_ALT[7]  P2_MFP[7] P2.7  Function
0                0                      GPIO P2.7
1                0                      SPI_CLK0
1                1                      RTS1
In the above example, P2.7 has three MFP functions, they will be filled in excel:
MFP0          MFP2          MFP3
P2.7            SPI_CLK0    RTS1
Bit Martix:
Bit1            Bit0
P2_ALT[7]   P2_MFP[7]
Please note that use the field name, but use the bit of the entire register to represent it.
Follow above the format, use square brackets to enclose the corresponding bit.</t>
        </r>
      </text>
    </comment>
    <comment ref="X1" authorId="0" shapeId="0" xr:uid="{00000000-0006-0000-0000-000004000000}">
      <text>
        <r>
          <rPr>
            <sz val="9"/>
            <color indexed="81"/>
            <rFont val="Tahoma"/>
            <family val="2"/>
          </rPr>
          <t>The Bits related to this Multi function Pin are arranged from left to right in the order of MSB to LSB. For example, if there are at most 5 related bits, start from Bit4. For this example has at most 4 related bits, start from Bit3.</t>
        </r>
      </text>
    </comment>
    <comment ref="F2" authorId="0" shapeId="0" xr:uid="{00000000-0006-0000-0000-000005000000}">
      <text>
        <r>
          <rPr>
            <sz val="9"/>
            <color indexed="81"/>
            <rFont val="Tahoma"/>
            <family val="2"/>
          </rPr>
          <t>Tools will display PIN NAME, PAD NAME column is for internal reference only</t>
        </r>
      </text>
    </comment>
    <comment ref="I2" authorId="0" shapeId="0" xr:uid="{00000000-0006-0000-0000-000006000000}">
      <text>
        <r>
          <rPr>
            <sz val="9"/>
            <color indexed="81"/>
            <rFont val="Tahoma"/>
            <family val="2"/>
          </rPr>
          <t>SD0_*: names with the same prefix means it belongs to the same group in pinConfig tool</t>
        </r>
      </text>
    </comment>
    <comment ref="S2" authorId="0" shapeId="0" xr:uid="{00000000-0006-0000-0000-000007000000}">
      <text>
        <r>
          <rPr>
            <sz val="9"/>
            <color indexed="81"/>
            <rFont val="Tahoma"/>
            <family val="2"/>
          </rPr>
          <t>Analog pin function list:
If there are multiple analog pin function in MFP1, List all of them to these columns and fill analog* keyword to MFP1 column.
E.g.: Analog0 -&gt; EADC0_CH5 or ACMP1_N
EADC0_CH5 and ACMP1_N will show in tool UI or pin diagram. Analog* is a tag to represent that the MFP value has multiple functions and will not show in tool UI or pin diagram.</t>
        </r>
      </text>
    </comment>
    <comment ref="AA3" authorId="0" shapeId="0" xr:uid="{00000000-0006-0000-0000-000008000000}">
      <text>
        <r>
          <rPr>
            <sz val="9"/>
            <color indexed="81"/>
            <rFont val="Tahoma"/>
            <family val="2"/>
          </rPr>
          <t>Format: Register[Bit]
Don't use Field Name</t>
        </r>
      </text>
    </comment>
    <comment ref="K4" authorId="0" shapeId="0" xr:uid="{00000000-0006-0000-0000-000009000000}">
      <text>
        <r>
          <rPr>
            <sz val="9"/>
            <color indexed="81"/>
            <rFont val="Tahoma"/>
            <family val="2"/>
          </rPr>
          <t>If there is a situation where a certain MFP function is only available in a specific package, please use parentheses to add some packages after the function name. If there are more than two packages, use the underscore _ to distinguish them. The package must be consistent with the package as before.</t>
        </r>
      </text>
    </comment>
    <comment ref="C16" authorId="0" shapeId="0" xr:uid="{00000000-0006-0000-0000-00000A000000}">
      <text>
        <r>
          <rPr>
            <sz val="9"/>
            <color indexed="81"/>
            <rFont val="Tahoma"/>
            <family val="2"/>
          </rPr>
          <t>The order of the GPIO pins can be arbitrary and does not have to be in incremental form, but each pin must be specified.</t>
        </r>
      </text>
    </comment>
    <comment ref="F16" authorId="0" shapeId="0" xr:uid="{00000000-0006-0000-0000-00000B000000}">
      <text>
        <r>
          <rPr>
            <sz val="9"/>
            <color indexed="81"/>
            <rFont val="Tahoma"/>
            <family val="2"/>
          </rPr>
          <t>The format of GPIO is: Px.xx.
There should be no other words in the back, for example:
PF.0 (X32KI). Should be changed to PF.0</t>
        </r>
      </text>
    </comment>
    <comment ref="I20" authorId="0" shapeId="0" xr:uid="{00000000-0006-0000-0000-00000C000000}">
      <text>
        <r>
          <rPr>
            <sz val="9"/>
            <color indexed="81"/>
            <rFont val="Tahoma"/>
            <family val="2"/>
          </rPr>
          <t>Function should start with Group and be distinguished by the bottom line _. You want to be grouped together not for this rule. E.g:
BRAKE00, BRAKE01, BRAKE10, BRAKE11 want to use BRAKE as its Group. For the cases, the designer must add a new page (Special Group Name), and then specifically describe these cases.</t>
        </r>
      </text>
    </comment>
    <comment ref="F75" authorId="0" shapeId="0" xr:uid="{00000000-0006-0000-0000-00000D000000}">
      <text>
        <r>
          <rPr>
            <sz val="9"/>
            <color indexed="81"/>
            <rFont val="Tahoma"/>
            <family val="2"/>
          </rPr>
          <t>NC_ToolNotShow keyword: the pin does not show on UI or diagram</t>
        </r>
      </text>
    </comment>
    <comment ref="F78" authorId="0" shapeId="0" xr:uid="{00000000-0006-0000-0000-00000E000000}">
      <text>
        <r>
          <rPr>
            <sz val="9"/>
            <color indexed="81"/>
            <rFont val="Tahoma"/>
            <family val="2"/>
          </rPr>
          <t>NC keyword: the pin function does not be used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全社標準PC</author>
  </authors>
  <commentList>
    <comment ref="O8" authorId="0" shapeId="0" xr:uid="{00000000-0006-0000-0100-000001000000}">
      <text>
        <r>
          <rPr>
            <b/>
            <sz val="9"/>
            <color indexed="81"/>
            <rFont val="MS P ゴシック"/>
            <family val="3"/>
            <charset val="128"/>
          </rPr>
          <t>Not exist in TQFP32(7*7)
-&gt; Covered by unsued IP(SPI4, UART4, I2C4)</t>
        </r>
      </text>
    </comment>
    <comment ref="J21" authorId="0" shapeId="0" xr:uid="{00000000-0006-0000-0100-000002000000}">
      <text>
        <r>
          <rPr>
            <b/>
            <sz val="9"/>
            <color indexed="81"/>
            <rFont val="MS P ゴシック"/>
            <family val="3"/>
            <charset val="128"/>
          </rPr>
          <t>Configurable only when NDMOD pin input is L level</t>
        </r>
      </text>
    </comment>
    <comment ref="J24" authorId="0" shapeId="0" xr:uid="{00000000-0006-0000-0100-000003000000}">
      <text>
        <r>
          <rPr>
            <b/>
            <sz val="9"/>
            <color indexed="81"/>
            <rFont val="MS P ゴシック"/>
            <family val="3"/>
            <charset val="128"/>
          </rPr>
          <t>Configurable only when NDMOD pin input is L level</t>
        </r>
      </text>
    </comment>
    <comment ref="J31" authorId="0" shapeId="0" xr:uid="{00000000-0006-0000-0100-000004000000}">
      <text>
        <r>
          <rPr>
            <b/>
            <sz val="9"/>
            <color indexed="81"/>
            <rFont val="MS P ゴシック"/>
            <family val="3"/>
            <charset val="128"/>
          </rPr>
          <t>When SELSWD.SWDEN = 1, SWDCLK would be selected.
Configurable only when SELSWD.SWDEN = 0.</t>
        </r>
      </text>
    </comment>
    <comment ref="J33" authorId="0" shapeId="0" xr:uid="{00000000-0006-0000-0100-000005000000}">
      <text>
        <r>
          <rPr>
            <b/>
            <sz val="9"/>
            <color indexed="81"/>
            <rFont val="MS P ゴシック"/>
            <family val="3"/>
            <charset val="128"/>
          </rPr>
          <t>When SELSWD.SWDEN = 1, SWDD would be selected.
Configurable only when SELSWD.SWDEN = 0.</t>
        </r>
      </text>
    </comment>
    <comment ref="N35" authorId="0" shapeId="0" xr:uid="{00000000-0006-0000-0100-000006000000}">
      <text>
        <r>
          <rPr>
            <b/>
            <sz val="9"/>
            <color indexed="81"/>
            <rFont val="MS P ゴシック"/>
            <family val="3"/>
            <charset val="128"/>
          </rPr>
          <t>Not exist in TQFP32(7*7)
-&gt; Covered by unsued IP(SPI0, UART0, I2C0)</t>
        </r>
      </text>
    </comment>
    <comment ref="N48" authorId="0" shapeId="0" xr:uid="{00000000-0006-0000-0100-000007000000}">
      <text>
        <r>
          <rPr>
            <b/>
            <sz val="9"/>
            <color indexed="81"/>
            <rFont val="MS P ゴシック"/>
            <family val="3"/>
            <charset val="128"/>
          </rPr>
          <t>Not exist in TQFP32(7*7)
-&gt; Covered by unsued IP(SPI5, UART5, I2C5)</t>
        </r>
      </text>
    </comment>
    <comment ref="O48" authorId="0" shapeId="0" xr:uid="{00000000-0006-0000-0100-000008000000}">
      <text>
        <r>
          <rPr>
            <b/>
            <sz val="9"/>
            <color indexed="81"/>
            <rFont val="MS P ゴシック"/>
            <family val="3"/>
            <charset val="128"/>
          </rPr>
          <t>Not exist in TQFP32(7*7)
-&gt; Covered by unsued IP(SPI5, UART5, I2C5)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MS60 CCLi0</author>
  </authors>
  <commentList>
    <comment ref="F4" authorId="0" shapeId="0" xr:uid="{00000000-0006-0000-0200-000001000000}">
      <text>
        <r>
          <rPr>
            <sz val="9"/>
            <color indexed="81"/>
            <rFont val="Tahoma"/>
            <family val="2"/>
          </rPr>
          <t>List all part no. and package in mapping table</t>
        </r>
      </text>
    </comment>
    <comment ref="E10" authorId="0" shapeId="0" xr:uid="{00000000-0006-0000-0200-000002000000}">
      <text>
        <r>
          <rPr>
            <sz val="9"/>
            <color indexed="81"/>
            <rFont val="Tahoma"/>
            <family val="2"/>
          </rPr>
          <t>Package name mapping table
The name should be the same with package name in MFP worksheet</t>
        </r>
      </text>
    </comment>
    <comment ref="E11" authorId="0" shapeId="0" xr:uid="{00000000-0006-0000-0200-000003000000}">
      <text>
        <r>
          <rPr>
            <sz val="9"/>
            <color indexed="81"/>
            <rFont val="Tahoma"/>
            <family val="2"/>
          </rPr>
          <t>The name corresponds to the package name of part no. above</t>
        </r>
      </text>
    </comment>
    <comment ref="E13" authorId="0" shapeId="0" xr:uid="{00000000-0006-0000-0200-000004000000}">
      <text>
        <r>
          <rPr>
            <sz val="9"/>
            <color indexed="81"/>
            <rFont val="Tahoma"/>
            <family val="2"/>
          </rPr>
          <t>List the power pin of Vbat or VDDIO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1" authorId="0" shapeId="0" xr:uid="{00000000-0006-0000-0300-000001000000}">
      <text>
        <r>
          <rPr>
            <sz val="9"/>
            <color indexed="81"/>
            <rFont val="Tahoma"/>
            <family val="2"/>
          </rPr>
          <t>Fill in the corresponding multi-function pin worksheet name</t>
        </r>
      </text>
    </comment>
    <comment ref="G2" authorId="0" shapeId="0" xr:uid="{00000000-0006-0000-0300-000002000000}">
      <text>
        <r>
          <rPr>
            <sz val="9"/>
            <color indexed="81"/>
            <rFont val="Tahoma"/>
            <family val="2"/>
          </rPr>
          <t>Fill in the corresponding part no. in Package Type worksheet</t>
        </r>
      </text>
    </comment>
    <comment ref="G3" authorId="0" shapeId="0" xr:uid="{00000000-0006-0000-0300-000003000000}">
      <text>
        <r>
          <rPr>
            <sz val="9"/>
            <color indexed="81"/>
            <rFont val="Tahoma"/>
            <family val="2"/>
          </rPr>
          <t>Fill in the corresponding package in Package Type worksheet. The package name should be the same with the package name in multi-function pin worksheet</t>
        </r>
      </text>
    </comment>
    <comment ref="B4" authorId="0" shapeId="0" xr:uid="{00000000-0006-0000-0300-000004000000}">
      <text>
        <r>
          <rPr>
            <sz val="9"/>
            <color indexed="81"/>
            <rFont val="Tahoma"/>
            <family val="2"/>
          </rPr>
          <t>Some IP didn't support in certain package. (lack of pin counts) Need to list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全社標準PC</author>
  </authors>
  <commentList>
    <comment ref="O8" authorId="0" shapeId="0" xr:uid="{00000000-0006-0000-0600-000001000000}">
      <text>
        <r>
          <rPr>
            <b/>
            <sz val="9"/>
            <color indexed="81"/>
            <rFont val="MS P ゴシック"/>
            <family val="3"/>
            <charset val="128"/>
          </rPr>
          <t>Not exist in TQFP32(7*7)
-&gt; Covered by unsued IP(SPI4, UART4, I2C4)</t>
        </r>
      </text>
    </comment>
    <comment ref="J21" authorId="0" shapeId="0" xr:uid="{00000000-0006-0000-0600-000002000000}">
      <text>
        <r>
          <rPr>
            <b/>
            <sz val="9"/>
            <color indexed="81"/>
            <rFont val="MS P ゴシック"/>
            <family val="3"/>
            <charset val="128"/>
          </rPr>
          <t>Configurable only when NDMOD pin input is L level</t>
        </r>
      </text>
    </comment>
    <comment ref="J24" authorId="0" shapeId="0" xr:uid="{00000000-0006-0000-0600-000003000000}">
      <text>
        <r>
          <rPr>
            <b/>
            <sz val="9"/>
            <color indexed="81"/>
            <rFont val="MS P ゴシック"/>
            <family val="3"/>
            <charset val="128"/>
          </rPr>
          <t>Configurable only when NDMOD pin input is L level</t>
        </r>
      </text>
    </comment>
    <comment ref="J31" authorId="0" shapeId="0" xr:uid="{00000000-0006-0000-0600-000004000000}">
      <text>
        <r>
          <rPr>
            <b/>
            <sz val="9"/>
            <color indexed="81"/>
            <rFont val="MS P ゴシック"/>
            <family val="3"/>
            <charset val="128"/>
          </rPr>
          <t>When SELSWD.SWDEN = 1, SWDCLK would be selected.
Configurable only when SELSWD.SWDEN = 0.</t>
        </r>
      </text>
    </comment>
    <comment ref="J33" authorId="0" shapeId="0" xr:uid="{00000000-0006-0000-0600-000005000000}">
      <text>
        <r>
          <rPr>
            <b/>
            <sz val="9"/>
            <color indexed="81"/>
            <rFont val="MS P ゴシック"/>
            <family val="3"/>
            <charset val="128"/>
          </rPr>
          <t>When SELSWD.SWDEN = 1, SWDD would be selected.
Configurable only when SELSWD.SWDEN = 0.</t>
        </r>
      </text>
    </comment>
    <comment ref="N35" authorId="0" shapeId="0" xr:uid="{00000000-0006-0000-0600-000006000000}">
      <text>
        <r>
          <rPr>
            <b/>
            <sz val="9"/>
            <color indexed="81"/>
            <rFont val="MS P ゴシック"/>
            <family val="3"/>
            <charset val="128"/>
          </rPr>
          <t>Not exist in TQFP32(7*7)
-&gt; Covered by unsued IP(SPI0, UART0, I2C0)</t>
        </r>
      </text>
    </comment>
    <comment ref="N48" authorId="0" shapeId="0" xr:uid="{00000000-0006-0000-0600-000007000000}">
      <text>
        <r>
          <rPr>
            <b/>
            <sz val="9"/>
            <color indexed="81"/>
            <rFont val="MS P ゴシック"/>
            <family val="3"/>
            <charset val="128"/>
          </rPr>
          <t>Not exist in TQFP32(7*7)
-&gt; Covered by unsued IP(SPI5, UART5, I2C5)</t>
        </r>
      </text>
    </comment>
    <comment ref="O48" authorId="0" shapeId="0" xr:uid="{00000000-0006-0000-0600-000008000000}">
      <text>
        <r>
          <rPr>
            <b/>
            <sz val="9"/>
            <color indexed="81"/>
            <rFont val="MS P ゴシック"/>
            <family val="3"/>
            <charset val="128"/>
          </rPr>
          <t>Not exist in TQFP32(7*7)
-&gt; Covered by unsued IP(SPI5, UART5, I2C5)</t>
        </r>
      </text>
    </comment>
  </commentList>
</comments>
</file>

<file path=xl/sharedStrings.xml><?xml version="1.0" encoding="utf-8"?>
<sst xmlns="http://schemas.openxmlformats.org/spreadsheetml/2006/main" count="3863" uniqueCount="1250">
  <si>
    <t>LQFP64(7*7)</t>
    <phoneticPr fontId="4" type="noConversion"/>
  </si>
  <si>
    <t>ULQFP64(7*7)</t>
    <phoneticPr fontId="4" type="noConversion"/>
  </si>
  <si>
    <t>LQFP128(14*14)</t>
    <phoneticPr fontId="4" type="noConversion"/>
  </si>
  <si>
    <t>ULQFP128(14*14)</t>
    <phoneticPr fontId="4" type="noConversion"/>
  </si>
  <si>
    <t>PAD Name</t>
    <phoneticPr fontId="4" type="noConversion"/>
  </si>
  <si>
    <t>Pin Name</t>
    <phoneticPr fontId="4" type="noConversion"/>
  </si>
  <si>
    <t>MFP1</t>
    <phoneticPr fontId="4" type="noConversion"/>
  </si>
  <si>
    <t>MFP2</t>
    <phoneticPr fontId="4" type="noConversion"/>
  </si>
  <si>
    <t>MFP3</t>
    <phoneticPr fontId="4" type="noConversion"/>
  </si>
  <si>
    <t>MFP4</t>
    <phoneticPr fontId="4" type="noConversion"/>
  </si>
  <si>
    <t>MFP5</t>
    <phoneticPr fontId="4" type="noConversion"/>
  </si>
  <si>
    <t>MFP6</t>
    <phoneticPr fontId="4" type="noConversion"/>
  </si>
  <si>
    <t>MFP7</t>
    <phoneticPr fontId="4" type="noConversion"/>
  </si>
  <si>
    <t>MFP8(LQFP64)</t>
    <phoneticPr fontId="4" type="noConversion"/>
  </si>
  <si>
    <t>MFP8(LQFP128)</t>
    <phoneticPr fontId="4" type="noConversion"/>
  </si>
  <si>
    <t>MFP8(ULQFP128)</t>
    <phoneticPr fontId="4" type="noConversion"/>
  </si>
  <si>
    <t>MFP31</t>
    <phoneticPr fontId="4" type="noConversion"/>
  </si>
  <si>
    <t>MFP1</t>
  </si>
  <si>
    <t>ADC</t>
  </si>
  <si>
    <t>ACMP0</t>
  </si>
  <si>
    <t>ACMP1</t>
  </si>
  <si>
    <t>Bit3</t>
    <phoneticPr fontId="4" type="noConversion"/>
  </si>
  <si>
    <t>Bit2</t>
    <phoneticPr fontId="4" type="noConversion"/>
  </si>
  <si>
    <t>Bit1</t>
    <phoneticPr fontId="4" type="noConversion"/>
  </si>
  <si>
    <t>Bit0</t>
    <phoneticPr fontId="4" type="noConversion"/>
  </si>
  <si>
    <t>GPB[5]</t>
  </si>
  <si>
    <t>PB.5</t>
  </si>
  <si>
    <t>Analog0</t>
  </si>
  <si>
    <t>EBI_ADR0</t>
  </si>
  <si>
    <t>SD0_DAT3</t>
    <phoneticPr fontId="47"/>
  </si>
  <si>
    <t>EMAC_RMII_REFCLK</t>
  </si>
  <si>
    <t>LCD_SEG33</t>
    <phoneticPr fontId="4" type="noConversion"/>
  </si>
  <si>
    <t>EADC0_CH5</t>
  </si>
  <si>
    <t>ACMP1_N</t>
    <phoneticPr fontId="47"/>
  </si>
  <si>
    <t>MFPA[3]</t>
    <phoneticPr fontId="4" type="noConversion"/>
  </si>
  <si>
    <t>MFPA[2]</t>
    <phoneticPr fontId="4" type="noConversion"/>
  </si>
  <si>
    <t>MFPA[1]</t>
    <phoneticPr fontId="4" type="noConversion"/>
  </si>
  <si>
    <t>MFPA[0]</t>
    <phoneticPr fontId="4" type="noConversion"/>
  </si>
  <si>
    <t>GPB[4]</t>
  </si>
  <si>
    <t>PB.4</t>
  </si>
  <si>
    <t>Analog1</t>
  </si>
  <si>
    <t>EBI_ADR1</t>
  </si>
  <si>
    <t>SD0_DAT2</t>
  </si>
  <si>
    <t>EMAC_RMII_RXD0</t>
  </si>
  <si>
    <t>LCD_SEG32</t>
    <phoneticPr fontId="4" type="noConversion"/>
  </si>
  <si>
    <t>EADC0_CH4</t>
  </si>
  <si>
    <t>ACMP1_P1</t>
  </si>
  <si>
    <t>ALT1[1]</t>
    <phoneticPr fontId="4" type="noConversion"/>
  </si>
  <si>
    <t>MFP1[1]</t>
    <phoneticPr fontId="4" type="noConversion"/>
  </si>
  <si>
    <t>GPB[3]</t>
  </si>
  <si>
    <t>PB.3</t>
  </si>
  <si>
    <t>Analog2</t>
  </si>
  <si>
    <t>EBI_ADR2</t>
  </si>
  <si>
    <t>SD0_DAT1</t>
  </si>
  <si>
    <t>EMAC_RMII_RXD1</t>
  </si>
  <si>
    <t>SPI0_SS[ULQFP64(7*7)]</t>
    <phoneticPr fontId="4" type="noConversion"/>
  </si>
  <si>
    <t>LCD_SEG31</t>
    <phoneticPr fontId="4" type="noConversion"/>
  </si>
  <si>
    <t>EADC0_CH3</t>
  </si>
  <si>
    <t>ACMP0_N</t>
  </si>
  <si>
    <t>ALT[5]</t>
    <phoneticPr fontId="4" type="noConversion"/>
  </si>
  <si>
    <t>GPB[2]</t>
  </si>
  <si>
    <t>PB.2</t>
  </si>
  <si>
    <t>Analog3</t>
  </si>
  <si>
    <t>EBI_ADR3</t>
  </si>
  <si>
    <t>SD0_DAT0</t>
  </si>
  <si>
    <t>EMAC_RMII_CRSDV</t>
  </si>
  <si>
    <t>LCD_SEG30</t>
    <phoneticPr fontId="4" type="noConversion"/>
  </si>
  <si>
    <t>EADC0_CH2</t>
    <phoneticPr fontId="47"/>
  </si>
  <si>
    <t>ACMP0_P1</t>
  </si>
  <si>
    <t>GPC[12]</t>
  </si>
  <si>
    <t>PC.12</t>
  </si>
  <si>
    <t>EBI_ADR4</t>
  </si>
  <si>
    <t>UART0_TXD</t>
  </si>
  <si>
    <t>I2C0_SCL</t>
  </si>
  <si>
    <t>LCD_SEG29</t>
    <phoneticPr fontId="4" type="noConversion"/>
  </si>
  <si>
    <t>GPC[11]</t>
  </si>
  <si>
    <t>PC.11</t>
  </si>
  <si>
    <t>EBI_ADR5</t>
  </si>
  <si>
    <t>UART0_RXD</t>
  </si>
  <si>
    <t>I2C0_SDA</t>
  </si>
  <si>
    <t>LCD_SEG28</t>
    <phoneticPr fontId="4" type="noConversion"/>
  </si>
  <si>
    <t>GPC[10]</t>
  </si>
  <si>
    <t>PC.10</t>
  </si>
  <si>
    <t>EBI_ADR6</t>
  </si>
  <si>
    <t>LCD_SEG23</t>
    <phoneticPr fontId="4" type="noConversion"/>
  </si>
  <si>
    <t>LCD_SEG27</t>
    <phoneticPr fontId="4" type="noConversion"/>
  </si>
  <si>
    <t>GPC[9]</t>
  </si>
  <si>
    <t>PC.9</t>
  </si>
  <si>
    <t>EBI_ADR7</t>
  </si>
  <si>
    <t>LCD_SEG22</t>
    <phoneticPr fontId="4" type="noConversion"/>
  </si>
  <si>
    <t>LCD_SEG26</t>
    <phoneticPr fontId="4" type="noConversion"/>
  </si>
  <si>
    <t>GPB[1]</t>
  </si>
  <si>
    <t>PB.1</t>
  </si>
  <si>
    <t>Analog4</t>
  </si>
  <si>
    <t>EBI_ADR8</t>
  </si>
  <si>
    <t>SD0_CLK</t>
  </si>
  <si>
    <t>EMAC_RMII_RXERR</t>
  </si>
  <si>
    <t>LCD_SEG21</t>
    <phoneticPr fontId="4" type="noConversion"/>
  </si>
  <si>
    <t>LCD_SEG25</t>
    <phoneticPr fontId="4" type="noConversion"/>
  </si>
  <si>
    <t>EADC0_CH1</t>
    <phoneticPr fontId="47"/>
  </si>
  <si>
    <t>GPB[0]</t>
  </si>
  <si>
    <t>PB.0</t>
  </si>
  <si>
    <t>Analog5</t>
  </si>
  <si>
    <t>EBI_ADR9</t>
  </si>
  <si>
    <t>SD0_CMD</t>
  </si>
  <si>
    <t>LCD_SEG20</t>
    <phoneticPr fontId="4" type="noConversion"/>
  </si>
  <si>
    <t>LCD_SEG24</t>
    <phoneticPr fontId="4" type="noConversion"/>
  </si>
  <si>
    <t>EADC0_CH0</t>
    <phoneticPr fontId="47"/>
  </si>
  <si>
    <t>VSSPST</t>
  </si>
  <si>
    <t>VSS</t>
  </si>
  <si>
    <t>VDDPST</t>
  </si>
  <si>
    <t>VDD</t>
  </si>
  <si>
    <t>GPA[11]</t>
  </si>
  <si>
    <t>PA.11</t>
  </si>
  <si>
    <t>Analog6</t>
  </si>
  <si>
    <t>EBI_nRD</t>
  </si>
  <si>
    <t>SC2_PWR</t>
  </si>
  <si>
    <t>SPI2_SS</t>
  </si>
  <si>
    <t>ACMP0_P0</t>
  </si>
  <si>
    <t>GPA[10]</t>
  </si>
  <si>
    <t>PA.10</t>
  </si>
  <si>
    <t>Analog7</t>
  </si>
  <si>
    <t>EBI_nWR</t>
  </si>
  <si>
    <t>SC2_RST</t>
  </si>
  <si>
    <t>SPI2_CLK</t>
  </si>
  <si>
    <t>ACMP1_P0</t>
  </si>
  <si>
    <t>GPA[9]</t>
  </si>
  <si>
    <t>PA.9</t>
  </si>
  <si>
    <t>EBI_MCLK</t>
  </si>
  <si>
    <t>SC2_DAT</t>
  </si>
  <si>
    <t>SPI2_MISO</t>
  </si>
  <si>
    <t>GPA[8]</t>
  </si>
  <si>
    <t>PA.8</t>
  </si>
  <si>
    <t>EBI_ALE</t>
  </si>
  <si>
    <t>SC2_CLK</t>
  </si>
  <si>
    <t>SPI2_MOSI</t>
  </si>
  <si>
    <t>LCD_SEG19</t>
    <phoneticPr fontId="4" type="noConversion"/>
  </si>
  <si>
    <t>GPC[13]</t>
  </si>
  <si>
    <t>PC.13</t>
  </si>
  <si>
    <t>EBI_ADR10</t>
  </si>
  <si>
    <t>SC2_nCD</t>
  </si>
  <si>
    <t>SPI2_I2SMCLK</t>
  </si>
  <si>
    <t xml:space="preserve">I2C0_CL </t>
    <phoneticPr fontId="4" type="noConversion"/>
  </si>
  <si>
    <t>LCD_SEG18</t>
    <phoneticPr fontId="4" type="noConversion"/>
  </si>
  <si>
    <t>GPD[12]</t>
  </si>
  <si>
    <t>PD.12</t>
  </si>
  <si>
    <t>EBI_nCS0</t>
  </si>
  <si>
    <t xml:space="preserve">I2C0_DA </t>
    <phoneticPr fontId="4" type="noConversion"/>
  </si>
  <si>
    <t>LCD_SEG17</t>
    <phoneticPr fontId="4" type="noConversion"/>
  </si>
  <si>
    <t>GPD[11]</t>
  </si>
  <si>
    <t>PD.11</t>
  </si>
  <si>
    <t>EBI_nCS1</t>
  </si>
  <si>
    <t>BRAKE00</t>
  </si>
  <si>
    <t>CAN0_TXD</t>
  </si>
  <si>
    <t>LCD_SEG16</t>
    <phoneticPr fontId="4" type="noConversion"/>
  </si>
  <si>
    <t>GPD[10]</t>
  </si>
  <si>
    <t>PD.10</t>
  </si>
  <si>
    <t>EBI_nCS2</t>
  </si>
  <si>
    <t>BRAKE01</t>
  </si>
  <si>
    <t>CAN0_RXD</t>
  </si>
  <si>
    <t>LCD_SEG15</t>
    <phoneticPr fontId="4" type="noConversion"/>
  </si>
  <si>
    <t>SPI0_SCLK_O</t>
    <phoneticPr fontId="4" type="noConversion"/>
  </si>
  <si>
    <t>LCD_SEG14</t>
    <phoneticPr fontId="4" type="noConversion"/>
  </si>
  <si>
    <t>LCD_SEG13</t>
    <phoneticPr fontId="4" type="noConversion"/>
  </si>
  <si>
    <t>GPG[0]</t>
  </si>
  <si>
    <t>PG.0</t>
  </si>
  <si>
    <t>LCD_SEG12</t>
    <phoneticPr fontId="4" type="noConversion"/>
  </si>
  <si>
    <t>GPG[1]</t>
  </si>
  <si>
    <t>PG.1</t>
  </si>
  <si>
    <t>LCD_SEG11</t>
    <phoneticPr fontId="4" type="noConversion"/>
  </si>
  <si>
    <t>GPG[2]</t>
  </si>
  <si>
    <t>PG.2</t>
  </si>
  <si>
    <t>EBI_ADR11</t>
  </si>
  <si>
    <t>I2C0_SMBAL</t>
  </si>
  <si>
    <t>LCD_SEG10</t>
    <phoneticPr fontId="4" type="noConversion"/>
  </si>
  <si>
    <t>GPG[3]</t>
  </si>
  <si>
    <t>PG.3</t>
  </si>
  <si>
    <t>EBI_ADR12</t>
  </si>
  <si>
    <t>I2C0_SMBSUS</t>
  </si>
  <si>
    <t>LCD_SEG9</t>
    <phoneticPr fontId="4" type="noConversion"/>
  </si>
  <si>
    <t>GPG[4]</t>
  </si>
  <si>
    <t>PG.4</t>
  </si>
  <si>
    <t>EBI_ADR13</t>
  </si>
  <si>
    <t>GPF[11]</t>
  </si>
  <si>
    <t>PF.11</t>
  </si>
  <si>
    <t>EBI_ADR14</t>
  </si>
  <si>
    <t>GPF[10]</t>
  </si>
  <si>
    <t>PF.10</t>
  </si>
  <si>
    <t>EBI_ADR15</t>
  </si>
  <si>
    <t>SC0_nCD</t>
  </si>
  <si>
    <t>I2S0_BCLK</t>
  </si>
  <si>
    <t>GPF[9]</t>
  </si>
  <si>
    <t>PF.9</t>
  </si>
  <si>
    <t>EBI_ADR16</t>
  </si>
  <si>
    <t>SC0_PWR</t>
  </si>
  <si>
    <t>I2S0_MCLK</t>
  </si>
  <si>
    <t>GPF[8]</t>
  </si>
  <si>
    <t>PF.8</t>
  </si>
  <si>
    <t>EBI_ADR17</t>
  </si>
  <si>
    <t>SC0_RST</t>
  </si>
  <si>
    <t>I2S0_DI</t>
  </si>
  <si>
    <t>GPF[7]</t>
  </si>
  <si>
    <t>PF.7</t>
  </si>
  <si>
    <t>EBI_ADR18</t>
  </si>
  <si>
    <t>SC0_DAT</t>
  </si>
  <si>
    <t>I2S0_DO</t>
  </si>
  <si>
    <t>GPF[6]</t>
  </si>
  <si>
    <t>PF.6</t>
  </si>
  <si>
    <t>EBI_ADR19</t>
  </si>
  <si>
    <t>SC0_CLK</t>
  </si>
  <si>
    <t>I2S0_LRCK</t>
  </si>
  <si>
    <t>VBAT</t>
  </si>
  <si>
    <t>GPF[5]</t>
  </si>
  <si>
    <t>PF.5</t>
  </si>
  <si>
    <t>UART2_RXD</t>
  </si>
  <si>
    <t>UART2_nCTS</t>
  </si>
  <si>
    <t>GPF[4]</t>
  </si>
  <si>
    <t>PF.4</t>
  </si>
  <si>
    <t>UART2_TXD</t>
  </si>
  <si>
    <t>UART2_nRTS</t>
  </si>
  <si>
    <t>GPH[0]</t>
  </si>
  <si>
    <t>PH.0</t>
  </si>
  <si>
    <t>UART5_TXD</t>
  </si>
  <si>
    <t>GPH[1]</t>
  </si>
  <si>
    <t>PH.1</t>
  </si>
  <si>
    <t>UART5_RXD</t>
  </si>
  <si>
    <t>GPH[2]</t>
  </si>
  <si>
    <t>PH.2</t>
  </si>
  <si>
    <t>UART5_nRTS</t>
  </si>
  <si>
    <t>GPH[3]</t>
  </si>
  <si>
    <t>PH.3</t>
  </si>
  <si>
    <t>SPI1_I2SMCLK</t>
  </si>
  <si>
    <t>UART5_nCTS</t>
  </si>
  <si>
    <t>GPH[4]</t>
  </si>
  <si>
    <t>PH.4</t>
  </si>
  <si>
    <t>SPI1_MISO</t>
  </si>
  <si>
    <t>GPH[5]</t>
  </si>
  <si>
    <t>PH.5</t>
  </si>
  <si>
    <t>SPI1_MOSI</t>
  </si>
  <si>
    <t>GPH[6]</t>
  </si>
  <si>
    <t>PH.6</t>
  </si>
  <si>
    <t>SPI1_CLK</t>
  </si>
  <si>
    <t>GPH[7]</t>
  </si>
  <si>
    <t>PH.7</t>
  </si>
  <si>
    <t>SPI1_SS</t>
  </si>
  <si>
    <t>GPF[3]</t>
  </si>
  <si>
    <t>PF.3</t>
  </si>
  <si>
    <t>GPF[2]</t>
  </si>
  <si>
    <t>PF.2</t>
  </si>
  <si>
    <t>GPE[8]</t>
  </si>
  <si>
    <t>PE.8</t>
  </si>
  <si>
    <t>EMAC_RMII_MDC</t>
  </si>
  <si>
    <t>GPE[9]</t>
  </si>
  <si>
    <t>PE.9</t>
  </si>
  <si>
    <t>EMAC_RMII_MDIO</t>
  </si>
  <si>
    <t>GPE[10]</t>
  </si>
  <si>
    <t>PE.10</t>
  </si>
  <si>
    <t>EMAC_RMII_TXD0</t>
  </si>
  <si>
    <t>GPE[11]</t>
  </si>
  <si>
    <t>PE.11</t>
  </si>
  <si>
    <t>EMAC_RMII_TXD1</t>
  </si>
  <si>
    <t>GPE[12]</t>
  </si>
  <si>
    <t>PE.12</t>
  </si>
  <si>
    <t>EMAC_RMII_TXEN</t>
  </si>
  <si>
    <t>GPE[13]</t>
  </si>
  <si>
    <t>PE.13</t>
  </si>
  <si>
    <t>EMAC_PPS</t>
  </si>
  <si>
    <t>GPC[8]</t>
  </si>
  <si>
    <t>PC.8</t>
  </si>
  <si>
    <t>GPC[7]</t>
  </si>
  <si>
    <t>PC.7</t>
  </si>
  <si>
    <t>EBI_AD9</t>
  </si>
  <si>
    <t>GPC[6]</t>
  </si>
  <si>
    <t>PC.6</t>
  </si>
  <si>
    <t>EBI_AD8</t>
  </si>
  <si>
    <t>GPA[7]</t>
  </si>
  <si>
    <t>PA.7</t>
  </si>
  <si>
    <t>EBI_AD7</t>
  </si>
  <si>
    <t>GPA[6]</t>
  </si>
  <si>
    <t>PA.6</t>
  </si>
  <si>
    <t>EBI_AD6</t>
  </si>
  <si>
    <t>RTC_CKO</t>
    <phoneticPr fontId="4" type="noConversion"/>
  </si>
  <si>
    <t>LDO_CAP</t>
    <phoneticPr fontId="47"/>
  </si>
  <si>
    <t>LDO_CAP</t>
  </si>
  <si>
    <t>GPA[5]</t>
  </si>
  <si>
    <t>PA.5</t>
  </si>
  <si>
    <t>SPIM_D2</t>
  </si>
  <si>
    <t>QSPI0_MISO1</t>
  </si>
  <si>
    <t>GPA[4]</t>
  </si>
  <si>
    <t>PA.4</t>
  </si>
  <si>
    <t>SPIM_D3</t>
  </si>
  <si>
    <t>QSPI0_MOSI1</t>
  </si>
  <si>
    <t>SPI0_I2SMCLK</t>
  </si>
  <si>
    <t>GPA[3]</t>
  </si>
  <si>
    <t>PA.3</t>
  </si>
  <si>
    <t>SPIM_SS</t>
  </si>
  <si>
    <t>QSPI0_SS</t>
  </si>
  <si>
    <t>SPI0_SS</t>
  </si>
  <si>
    <t>GPA[2]</t>
  </si>
  <si>
    <t>PA.2</t>
  </si>
  <si>
    <t>SPIM_CLK</t>
  </si>
  <si>
    <t>QSPI0_CLK</t>
  </si>
  <si>
    <t>SPI0_CLK</t>
  </si>
  <si>
    <t>GPA[1]</t>
  </si>
  <si>
    <t>PA.1</t>
  </si>
  <si>
    <t>SPIM_MISO</t>
  </si>
  <si>
    <t>QSPI0_MISO0</t>
  </si>
  <si>
    <t>SPI0_MISO</t>
  </si>
  <si>
    <t>GPA[0]</t>
  </si>
  <si>
    <t>PA.0</t>
  </si>
  <si>
    <t>SPIM_MOSI</t>
  </si>
  <si>
    <t>QSPI0_MOSI0</t>
  </si>
  <si>
    <t>SPI0_MOSI</t>
  </si>
  <si>
    <t>VDDPST_IO18</t>
  </si>
  <si>
    <t>VDDIO</t>
  </si>
  <si>
    <t>GPE[14]</t>
  </si>
  <si>
    <t>PE.14</t>
  </si>
  <si>
    <t>GPE[15]</t>
  </si>
  <si>
    <t>PE.15</t>
  </si>
  <si>
    <t>nRESET</t>
  </si>
  <si>
    <t>GPF[0]</t>
  </si>
  <si>
    <t>PF.0</t>
  </si>
  <si>
    <t>UART1_TXD</t>
  </si>
  <si>
    <t>I2C1_SCL</t>
  </si>
  <si>
    <t>GPF[1]</t>
  </si>
  <si>
    <t>NC_ToolNotShow</t>
  </si>
  <si>
    <t>UART1_RXD</t>
  </si>
  <si>
    <t>I2C1_SDA</t>
  </si>
  <si>
    <t>GPD[9]</t>
  </si>
  <si>
    <t>NC_ToolNotShow</t>
    <phoneticPr fontId="47"/>
  </si>
  <si>
    <t>I2C2_SCL</t>
  </si>
  <si>
    <t>GPD[8]</t>
  </si>
  <si>
    <t>PD.8</t>
  </si>
  <si>
    <t>I2C2_SDA</t>
  </si>
  <si>
    <t>NC</t>
    <phoneticPr fontId="4" type="noConversion"/>
  </si>
  <si>
    <t>EBI_AD5</t>
  </si>
  <si>
    <t>GPC[4]</t>
  </si>
  <si>
    <t>PC.4</t>
  </si>
  <si>
    <t>EBI_AD4</t>
  </si>
  <si>
    <t>GPC[3]</t>
  </si>
  <si>
    <t>PC.3</t>
  </si>
  <si>
    <t>EBI_AD3</t>
  </si>
  <si>
    <t>GPC[2]</t>
  </si>
  <si>
    <t>PC.2</t>
  </si>
  <si>
    <t>EBI_AD2</t>
  </si>
  <si>
    <t>GPC[1]</t>
  </si>
  <si>
    <t>PC.1</t>
  </si>
  <si>
    <t>EBI_AD1</t>
  </si>
  <si>
    <t>GPC[0]</t>
  </si>
  <si>
    <t>PC.0</t>
  </si>
  <si>
    <t>EBI_AD0</t>
  </si>
  <si>
    <t>GPG[9]</t>
  </si>
  <si>
    <t>PG.9</t>
  </si>
  <si>
    <t>SD1_DAT3</t>
  </si>
  <si>
    <t>GPG[10]</t>
  </si>
  <si>
    <t>PG.10</t>
  </si>
  <si>
    <t>SD1_DAT2</t>
  </si>
  <si>
    <t>GPG[11]</t>
  </si>
  <si>
    <t>PG.11</t>
  </si>
  <si>
    <t>SD1_DAT1</t>
  </si>
  <si>
    <t>GPG[12]</t>
  </si>
  <si>
    <t>PG.12</t>
  </si>
  <si>
    <t>SD1_DAT0</t>
  </si>
  <si>
    <t>GPG[13]</t>
  </si>
  <si>
    <t>PG.13</t>
  </si>
  <si>
    <t>SD1_CMD</t>
  </si>
  <si>
    <t>GPG[14]</t>
  </si>
  <si>
    <t>PG.14</t>
  </si>
  <si>
    <t>SD1_CLK</t>
  </si>
  <si>
    <t>GPG[15]</t>
  </si>
  <si>
    <t>PG.15</t>
  </si>
  <si>
    <t>SD1_nCD</t>
  </si>
  <si>
    <t>GPD[7]</t>
  </si>
  <si>
    <t>PD.7</t>
  </si>
  <si>
    <t>GPD[6]</t>
  </si>
  <si>
    <t>PD.6</t>
  </si>
  <si>
    <t>GPD[5]</t>
  </si>
  <si>
    <t>PD.5</t>
  </si>
  <si>
    <t>GPD[4]</t>
  </si>
  <si>
    <t>PD.4</t>
  </si>
  <si>
    <t>USCI0_CTL0</t>
  </si>
  <si>
    <t>GPD[3]</t>
  </si>
  <si>
    <t>PD.3</t>
  </si>
  <si>
    <t>EBI_AD10</t>
  </si>
  <si>
    <t>USCI0_CTL1</t>
  </si>
  <si>
    <t>GPD[2]</t>
  </si>
  <si>
    <t>PD.2</t>
  </si>
  <si>
    <t>EBI_AD11</t>
  </si>
  <si>
    <t>USCI0_DAT1</t>
  </si>
  <si>
    <t>GPD[1]</t>
  </si>
  <si>
    <t>PD.1</t>
  </si>
  <si>
    <t>EBI_AD12</t>
  </si>
  <si>
    <t>USCI0_DAT0</t>
  </si>
  <si>
    <t>GPD[0]</t>
  </si>
  <si>
    <t>PD.0</t>
  </si>
  <si>
    <t>EBI_AD13</t>
  </si>
  <si>
    <t>USCI0_CLK</t>
  </si>
  <si>
    <t>GPD[13]</t>
  </si>
  <si>
    <t>PD.13</t>
  </si>
  <si>
    <t>SD0_nCD</t>
  </si>
  <si>
    <t>GPA[12]</t>
  </si>
  <si>
    <t>PA.12</t>
  </si>
  <si>
    <t>UART4_TXD</t>
  </si>
  <si>
    <t>GPA[13]</t>
  </si>
  <si>
    <t>PA.13</t>
  </si>
  <si>
    <t>UART4_RXD</t>
  </si>
  <si>
    <t>GPA[14]</t>
  </si>
  <si>
    <t>PA.14</t>
  </si>
  <si>
    <t>GPA[15]</t>
  </si>
  <si>
    <t>PA.15</t>
  </si>
  <si>
    <t>HSUSB_VRES</t>
  </si>
  <si>
    <t>HSUSB_VDD33</t>
  </si>
  <si>
    <t>HSUSB_VBUS</t>
  </si>
  <si>
    <t>HSUSB_D-</t>
  </si>
  <si>
    <t>HSUSB_VSS</t>
  </si>
  <si>
    <t>HSUSB_D+</t>
  </si>
  <si>
    <t>HSUSB_VDD12_CAP</t>
  </si>
  <si>
    <t>HSUSB_ID</t>
  </si>
  <si>
    <t>GPE[7]</t>
  </si>
  <si>
    <t>PE.7</t>
  </si>
  <si>
    <t>GPE[6]</t>
  </si>
  <si>
    <t>PE.6</t>
  </si>
  <si>
    <t>GPE[5]</t>
  </si>
  <si>
    <t>PE.5</t>
  </si>
  <si>
    <t>SD0_DAT3</t>
  </si>
  <si>
    <t>GPE[4]</t>
  </si>
  <si>
    <t>PE.4</t>
  </si>
  <si>
    <t>GPE[3]</t>
  </si>
  <si>
    <t>PE.3</t>
  </si>
  <si>
    <t>GPE[2]</t>
  </si>
  <si>
    <t>PE.2</t>
  </si>
  <si>
    <t>I2C0_CL</t>
    <phoneticPr fontId="4" type="noConversion"/>
  </si>
  <si>
    <t>I2C0_DA</t>
    <phoneticPr fontId="4" type="noConversion"/>
  </si>
  <si>
    <t>GPE[1]</t>
  </si>
  <si>
    <t>PE.1</t>
  </si>
  <si>
    <t>GPE[0]</t>
  </si>
  <si>
    <t>PE.0</t>
  </si>
  <si>
    <t>GPH[8]</t>
  </si>
  <si>
    <t>PH.8</t>
  </si>
  <si>
    <t>GPH[9]</t>
  </si>
  <si>
    <t>PH.9</t>
  </si>
  <si>
    <t>GPH[10]</t>
  </si>
  <si>
    <t>PH.10</t>
  </si>
  <si>
    <t>EBI_AD14</t>
  </si>
  <si>
    <t>GPH[11]</t>
  </si>
  <si>
    <t>PH.11</t>
  </si>
  <si>
    <t>EBI_AD15</t>
  </si>
  <si>
    <t>GPD[14]</t>
  </si>
  <si>
    <t>PD.14</t>
  </si>
  <si>
    <t>SPI3_I2SMCLK</t>
  </si>
  <si>
    <t>SC1_nCD</t>
  </si>
  <si>
    <t>GPG[5]]</t>
  </si>
  <si>
    <t>PG.5</t>
  </si>
  <si>
    <t>SPI3_SS</t>
  </si>
  <si>
    <t>SC1_PWR</t>
  </si>
  <si>
    <t>PAD#</t>
    <phoneticPr fontId="47"/>
  </si>
  <si>
    <t>LQFP100_B0x(14*14)</t>
    <phoneticPr fontId="4" type="noConversion"/>
  </si>
  <si>
    <t>TQFP80_B0x(12*12)</t>
    <phoneticPr fontId="54"/>
  </si>
  <si>
    <t>TQFP64_B0x(10*10)</t>
    <phoneticPr fontId="54"/>
  </si>
  <si>
    <t>TQFP48_B0x(7*7)</t>
    <phoneticPr fontId="54"/>
  </si>
  <si>
    <t>LQFP100_B5x(14*14)</t>
    <phoneticPr fontId="47"/>
  </si>
  <si>
    <t>TQFP80_B5x(12*12)</t>
    <phoneticPr fontId="47"/>
  </si>
  <si>
    <t>TQFP64_B5x(10*10)</t>
    <phoneticPr fontId="47"/>
  </si>
  <si>
    <t>PAD NAME</t>
    <phoneticPr fontId="47"/>
  </si>
  <si>
    <t>PIN NAME</t>
    <phoneticPr fontId="47"/>
  </si>
  <si>
    <t>MFP1</t>
    <phoneticPr fontId="47"/>
  </si>
  <si>
    <t>MFP2</t>
  </si>
  <si>
    <t>MFP3</t>
  </si>
  <si>
    <t>MFP4</t>
  </si>
  <si>
    <t>MFP5</t>
  </si>
  <si>
    <t>MFP6</t>
  </si>
  <si>
    <t>MFP7</t>
  </si>
  <si>
    <t>MFP8</t>
  </si>
  <si>
    <t>MFP9</t>
  </si>
  <si>
    <t>MFP10</t>
  </si>
  <si>
    <t>AD</t>
  </si>
  <si>
    <t>VGA</t>
    <phoneticPr fontId="47"/>
  </si>
  <si>
    <t>CMP</t>
  </si>
  <si>
    <t>MFP2</t>
    <phoneticPr fontId="47"/>
  </si>
  <si>
    <t>MFP6</t>
    <phoneticPr fontId="47"/>
  </si>
  <si>
    <t>Bit0</t>
  </si>
  <si>
    <t>GP0[2]</t>
  </si>
  <si>
    <t>P0.2</t>
  </si>
  <si>
    <t>GP0[0]</t>
  </si>
  <si>
    <t>P0.0</t>
  </si>
  <si>
    <t>VOUT12</t>
  </si>
  <si>
    <t>NBOOT</t>
  </si>
  <si>
    <t>GP0[1]</t>
  </si>
  <si>
    <t>P0.1</t>
  </si>
  <si>
    <t>NRST</t>
  </si>
  <si>
    <t>OSCO</t>
  </si>
  <si>
    <t>OSCI</t>
  </si>
  <si>
    <t>VDD50</t>
  </si>
  <si>
    <t>20'</t>
    <phoneticPr fontId="47"/>
  </si>
  <si>
    <t>22'</t>
    <phoneticPr fontId="47"/>
  </si>
  <si>
    <t>GPB[7]</t>
  </si>
  <si>
    <t>PB.7</t>
  </si>
  <si>
    <t>GPB[6]</t>
  </si>
  <si>
    <t>PB.6</t>
  </si>
  <si>
    <t>27'</t>
    <phoneticPr fontId="47"/>
  </si>
  <si>
    <t>PB.6</t>
    <phoneticPr fontId="47"/>
  </si>
  <si>
    <t>28'</t>
    <phoneticPr fontId="47"/>
  </si>
  <si>
    <t>PF.1</t>
  </si>
  <si>
    <t>GP9[6]</t>
  </si>
  <si>
    <t>P9.6</t>
  </si>
  <si>
    <t>GP9[5]</t>
  </si>
  <si>
    <t>P9.5</t>
  </si>
  <si>
    <t>GP9[4]</t>
  </si>
  <si>
    <t>P9.4</t>
  </si>
  <si>
    <t>GP9[3]</t>
  </si>
  <si>
    <t>P9.3</t>
  </si>
  <si>
    <t>GP9[2]</t>
  </si>
  <si>
    <t>P9.2</t>
  </si>
  <si>
    <t>GP9[1]</t>
  </si>
  <si>
    <t>P9.1</t>
  </si>
  <si>
    <t>GP9[0]</t>
  </si>
  <si>
    <t>P9.0</t>
  </si>
  <si>
    <t>GP7[6]</t>
  </si>
  <si>
    <t>P7.6</t>
  </si>
  <si>
    <t>GP7[5]</t>
  </si>
  <si>
    <t>P7.5</t>
  </si>
  <si>
    <t>GP7[4]</t>
  </si>
  <si>
    <t>P7.4</t>
  </si>
  <si>
    <t>GP7[3]</t>
  </si>
  <si>
    <t>P7.3</t>
  </si>
  <si>
    <t>GP7[2]</t>
  </si>
  <si>
    <t>P7.2</t>
  </si>
  <si>
    <t>GP7[1]</t>
  </si>
  <si>
    <t>P7.1</t>
  </si>
  <si>
    <t>GP7[0]</t>
  </si>
  <si>
    <t>P7.0</t>
  </si>
  <si>
    <t>GP3[3]</t>
  </si>
  <si>
    <t>P3.3</t>
  </si>
  <si>
    <t>GP3[2]</t>
  </si>
  <si>
    <t>P3.2</t>
  </si>
  <si>
    <t>GP3[1]</t>
  </si>
  <si>
    <t>P3.1</t>
  </si>
  <si>
    <t>GP3[0]</t>
  </si>
  <si>
    <t>P3.0</t>
  </si>
  <si>
    <t>GP2[4]</t>
  </si>
  <si>
    <t>P2.4</t>
  </si>
  <si>
    <t>64'</t>
    <phoneticPr fontId="47"/>
  </si>
  <si>
    <t>GP2[3]</t>
  </si>
  <si>
    <t>P2.3</t>
  </si>
  <si>
    <t>65'</t>
    <phoneticPr fontId="47"/>
  </si>
  <si>
    <t>GP2[2]</t>
  </si>
  <si>
    <t>P2.2</t>
  </si>
  <si>
    <t>66'</t>
    <phoneticPr fontId="47"/>
  </si>
  <si>
    <t>GP2[1]</t>
  </si>
  <si>
    <t>P2.1</t>
  </si>
  <si>
    <t>GP2[0]</t>
  </si>
  <si>
    <t>P2.0</t>
  </si>
  <si>
    <t>GP6[5]</t>
  </si>
  <si>
    <t>P6.5</t>
  </si>
  <si>
    <t>GP6[4]</t>
  </si>
  <si>
    <t>P6.4</t>
  </si>
  <si>
    <t>NDMOD</t>
  </si>
  <si>
    <t>TEST</t>
  </si>
  <si>
    <t>GP6[3]</t>
  </si>
  <si>
    <t>P6.3</t>
  </si>
  <si>
    <t>GP6[2]</t>
  </si>
  <si>
    <t>P6.2</t>
  </si>
  <si>
    <t>GP6[1]</t>
  </si>
  <si>
    <t>P6.1</t>
  </si>
  <si>
    <t>GP6[0]</t>
  </si>
  <si>
    <t>P6.0</t>
  </si>
  <si>
    <t>GP5[5]</t>
  </si>
  <si>
    <t>P5.5</t>
  </si>
  <si>
    <t>GP5[4]</t>
  </si>
  <si>
    <t>P5.4</t>
  </si>
  <si>
    <t>GP5[3]</t>
  </si>
  <si>
    <t>P5.3</t>
  </si>
  <si>
    <t>GP5[2]</t>
  </si>
  <si>
    <t>P5.2</t>
  </si>
  <si>
    <t>GP5[1]</t>
  </si>
  <si>
    <t>P5.1</t>
  </si>
  <si>
    <t>GP5[0]</t>
  </si>
  <si>
    <t>P5.0</t>
  </si>
  <si>
    <t>GP4[7]</t>
  </si>
  <si>
    <t>P4.7</t>
  </si>
  <si>
    <t>GP4[6]</t>
  </si>
  <si>
    <t>P4.6</t>
  </si>
  <si>
    <t>GP4[5]</t>
  </si>
  <si>
    <t>P4.5</t>
  </si>
  <si>
    <t>GP4[4]</t>
  </si>
  <si>
    <t>P4.4</t>
  </si>
  <si>
    <t>GP4[3]</t>
  </si>
  <si>
    <t>P4.3</t>
  </si>
  <si>
    <t>GP4[2]</t>
  </si>
  <si>
    <t>P4.2</t>
  </si>
  <si>
    <t>GP4[1]</t>
  </si>
  <si>
    <t>P4.1</t>
  </si>
  <si>
    <t>GP4[0]</t>
  </si>
  <si>
    <t>P4.0</t>
  </si>
  <si>
    <t>GP8[2]</t>
  </si>
  <si>
    <t>P8.2</t>
  </si>
  <si>
    <t>GP8[1]</t>
  </si>
  <si>
    <t>P8.1</t>
  </si>
  <si>
    <t>GP8[0]</t>
  </si>
  <si>
    <t>P8.0</t>
  </si>
  <si>
    <t>GP1[1]</t>
  </si>
  <si>
    <t>P1.1</t>
  </si>
  <si>
    <t>GP1[0]</t>
  </si>
  <si>
    <t>P1.0</t>
  </si>
  <si>
    <t>Part No.</t>
  </si>
  <si>
    <t>LQFP100</t>
    <phoneticPr fontId="4" type="noConversion"/>
  </si>
  <si>
    <t>TQFP80</t>
    <phoneticPr fontId="4" type="noConversion"/>
  </si>
  <si>
    <t>TQFP64</t>
    <phoneticPr fontId="4" type="noConversion"/>
  </si>
  <si>
    <t>TQFP48</t>
    <phoneticPr fontId="4" type="noConversion"/>
  </si>
  <si>
    <t>KM1M4BF0</t>
  </si>
  <si>
    <t>KM1M4BF02K/G</t>
    <phoneticPr fontId="4" type="noConversion"/>
  </si>
  <si>
    <t>LQFP100_B0x</t>
    <phoneticPr fontId="4" type="noConversion"/>
  </si>
  <si>
    <t>KM1M4BF03K/G</t>
    <phoneticPr fontId="4" type="noConversion"/>
  </si>
  <si>
    <t>TQFP80_B0x</t>
    <phoneticPr fontId="4" type="noConversion"/>
  </si>
  <si>
    <t>KM1M4BF04K/G</t>
  </si>
  <si>
    <t>TQFP64_B0x</t>
  </si>
  <si>
    <t>KM1M4BF05G</t>
  </si>
  <si>
    <t>TQFP48_B0x</t>
  </si>
  <si>
    <t>KM1M4BF5</t>
  </si>
  <si>
    <t>KM1M4BF52K/G</t>
    <phoneticPr fontId="4" type="noConversion"/>
  </si>
  <si>
    <t>LQFP100_B5x</t>
  </si>
  <si>
    <t>KM1M4BF53K/G</t>
  </si>
  <si>
    <t>TQFP80_B5x</t>
  </si>
  <si>
    <t>KM1M4BF54K/G</t>
  </si>
  <si>
    <t>TQFP64_B5x</t>
  </si>
  <si>
    <t>-</t>
    <phoneticPr fontId="4" type="noConversion"/>
  </si>
  <si>
    <t>TQFP80_B0x(12*12)</t>
    <phoneticPr fontId="4" type="noConversion"/>
  </si>
  <si>
    <t>TQFP64_B0x(10*10)</t>
    <phoneticPr fontId="4" type="noConversion"/>
  </si>
  <si>
    <t>TQFP48_B0x(7*7)</t>
    <phoneticPr fontId="4" type="noConversion"/>
  </si>
  <si>
    <t>LQFP100_B5x(14*14)</t>
    <phoneticPr fontId="4" type="noConversion"/>
  </si>
  <si>
    <t>TQFP80_B5x(12*12)</t>
    <phoneticPr fontId="4" type="noConversion"/>
  </si>
  <si>
    <t>TQFP64_B5x(10*10)</t>
    <phoneticPr fontId="4" type="noConversion"/>
  </si>
  <si>
    <t>LQFP100_B0x</t>
  </si>
  <si>
    <t>TQFP80_B0x</t>
  </si>
  <si>
    <t>no specific power domin</t>
    <phoneticPr fontId="4" type="noConversion"/>
  </si>
  <si>
    <t>MFP</t>
    <phoneticPr fontId="4" type="noConversion"/>
  </si>
  <si>
    <t>MFP</t>
  </si>
  <si>
    <t>KM1M4BF02K/G</t>
  </si>
  <si>
    <t>KM1M4BF03K/G</t>
  </si>
  <si>
    <t>KM1M4BF52K/G</t>
  </si>
  <si>
    <t xml:space="preserve">All </t>
    <phoneticPr fontId="4" type="noConversion"/>
  </si>
  <si>
    <t>LQFP100_B0x(14*14)</t>
  </si>
  <si>
    <t>TQFP80_B0x(12*12)</t>
  </si>
  <si>
    <t>TQFP64_B0x(10*10)</t>
  </si>
  <si>
    <t>TQFP48_B0x(7*7)</t>
  </si>
  <si>
    <t>LQFP100_B5x(14*14)</t>
  </si>
  <si>
    <t>TQFP80_B5x(12*12)</t>
  </si>
  <si>
    <t>TQFP64_B5x(10*10)</t>
  </si>
  <si>
    <t>Serial Interface</t>
    <phoneticPr fontId="4" type="noConversion"/>
  </si>
  <si>
    <t>SIF0</t>
  </si>
  <si>
    <t>SIF4</t>
  </si>
  <si>
    <t>SIF5</t>
  </si>
  <si>
    <t>Group Name</t>
    <phoneticPr fontId="4" type="noConversion"/>
  </si>
  <si>
    <t xml:space="preserve">MFP Function </t>
    <phoneticPr fontId="4" type="noConversion"/>
  </si>
  <si>
    <t>CKM</t>
  </si>
  <si>
    <t>CKMREF</t>
  </si>
  <si>
    <t>NMI</t>
  </si>
  <si>
    <t>IRQ</t>
  </si>
  <si>
    <t>IRQ00</t>
  </si>
  <si>
    <t>IRQ01</t>
  </si>
  <si>
    <t>IRQ02</t>
  </si>
  <si>
    <t>IRQ03</t>
  </si>
  <si>
    <t>IRQ04</t>
  </si>
  <si>
    <t>IRQ05</t>
  </si>
  <si>
    <t>IRQ06</t>
  </si>
  <si>
    <t>IRQ07</t>
  </si>
  <si>
    <t>IRQ10</t>
  </si>
  <si>
    <t>IRQ11</t>
  </si>
  <si>
    <t>IRQ12</t>
  </si>
  <si>
    <t>IRQ13</t>
  </si>
  <si>
    <t>IRQ14</t>
  </si>
  <si>
    <t>IRQ15</t>
  </si>
  <si>
    <t>IRQ20</t>
  </si>
  <si>
    <t>IRQ21</t>
  </si>
  <si>
    <t>IRQ22</t>
  </si>
  <si>
    <t>IRQ30</t>
  </si>
  <si>
    <t>IRQ31</t>
  </si>
  <si>
    <t>IRQ32</t>
  </si>
  <si>
    <t>IRQ33</t>
  </si>
  <si>
    <t>IRQ34</t>
  </si>
  <si>
    <t>IRQ35</t>
  </si>
  <si>
    <t>IRQ36</t>
  </si>
  <si>
    <t>IRQ37</t>
  </si>
  <si>
    <t>TM00</t>
  </si>
  <si>
    <t>TM00A</t>
  </si>
  <si>
    <t>TM00B</t>
  </si>
  <si>
    <t>TM01</t>
  </si>
  <si>
    <t>TM01A</t>
  </si>
  <si>
    <t>TM01B</t>
  </si>
  <si>
    <t>TM02</t>
  </si>
  <si>
    <t>TM02A</t>
  </si>
  <si>
    <t>TM02B</t>
  </si>
  <si>
    <t>TM03</t>
  </si>
  <si>
    <t>TM03A</t>
  </si>
  <si>
    <t>TM03B</t>
  </si>
  <si>
    <t>TM04</t>
  </si>
  <si>
    <t>TM04A</t>
  </si>
  <si>
    <t>TM04B</t>
  </si>
  <si>
    <t>TM05</t>
  </si>
  <si>
    <t>TM05A</t>
  </si>
  <si>
    <t>TM05B</t>
  </si>
  <si>
    <t>TM06</t>
  </si>
  <si>
    <t>TM06A</t>
  </si>
  <si>
    <t>TM06B</t>
  </si>
  <si>
    <t>TM07</t>
  </si>
  <si>
    <t>TM07A</t>
  </si>
  <si>
    <t>TM07B</t>
  </si>
  <si>
    <t>TM10</t>
  </si>
  <si>
    <t>TM10A</t>
  </si>
  <si>
    <t>TM10B</t>
  </si>
  <si>
    <t>TM11</t>
  </si>
  <si>
    <t>TM11A</t>
  </si>
  <si>
    <t>TM11B</t>
  </si>
  <si>
    <t>TM12</t>
  </si>
  <si>
    <t>TM12A</t>
  </si>
  <si>
    <t>TM12B</t>
  </si>
  <si>
    <t>TM13</t>
  </si>
  <si>
    <t>TM13A</t>
  </si>
  <si>
    <t>TM13B</t>
  </si>
  <si>
    <t>TM14</t>
  </si>
  <si>
    <t>TM14A</t>
  </si>
  <si>
    <t>TM14B</t>
  </si>
  <si>
    <t>TM15</t>
  </si>
  <si>
    <t>TM15A</t>
  </si>
  <si>
    <t>TM15B</t>
  </si>
  <si>
    <t>ADIN00</t>
  </si>
  <si>
    <t>ADIN01</t>
  </si>
  <si>
    <t>ADIN02</t>
  </si>
  <si>
    <t>ADIN03</t>
  </si>
  <si>
    <t>ADIN04</t>
  </si>
  <si>
    <t>ADIN05</t>
  </si>
  <si>
    <t>ADIN06</t>
  </si>
  <si>
    <t>ADIN07</t>
  </si>
  <si>
    <t>ADIN08</t>
  </si>
  <si>
    <t>ADIN09</t>
  </si>
  <si>
    <t>ADIN10</t>
  </si>
  <si>
    <t>ADIN11</t>
  </si>
  <si>
    <t>ADIN12</t>
  </si>
  <si>
    <t>ADIN13</t>
  </si>
  <si>
    <t>ADIN14</t>
  </si>
  <si>
    <t>ADIN15</t>
  </si>
  <si>
    <t>ADIN16</t>
  </si>
  <si>
    <t>ADIN17</t>
  </si>
  <si>
    <t>ADIN18</t>
  </si>
  <si>
    <t>ADIN19</t>
  </si>
  <si>
    <t>ADIN20</t>
  </si>
  <si>
    <t>ADIN21</t>
  </si>
  <si>
    <t>ADIN22</t>
  </si>
  <si>
    <t>ADST0</t>
  </si>
  <si>
    <t>ADST1</t>
  </si>
  <si>
    <t>ADST2</t>
  </si>
  <si>
    <t>ADIN25</t>
  </si>
  <si>
    <t>ADSTATE0</t>
  </si>
  <si>
    <t>ADSTATE1</t>
  </si>
  <si>
    <t>ADSTATE2</t>
  </si>
  <si>
    <t>Port Control Register</t>
    <phoneticPr fontId="4" type="noConversion"/>
  </si>
  <si>
    <t>Address</t>
    <phoneticPr fontId="4" type="noConversion"/>
  </si>
  <si>
    <t>Default value</t>
    <phoneticPr fontId="4" type="noConversion"/>
  </si>
  <si>
    <t>GPIO_MD0 -&gt; IOPnMD</t>
  </si>
  <si>
    <t>0x40060080</t>
  </si>
  <si>
    <t>0x00000000</t>
    <phoneticPr fontId="4" type="noConversion"/>
  </si>
  <si>
    <t>GPIO_MD1 -&gt; IOPnMD</t>
  </si>
  <si>
    <t>0x40060084</t>
  </si>
  <si>
    <t>GPIO_MD2 -&gt; IOPnMD</t>
  </si>
  <si>
    <t>0x40060088</t>
  </si>
  <si>
    <t>GPIO_MD3 -&gt; IOPnMD</t>
  </si>
  <si>
    <t>0x4006008C</t>
  </si>
  <si>
    <t>GPIO_MD4 -&gt; IOPnMD</t>
  </si>
  <si>
    <t>0x40060090</t>
  </si>
  <si>
    <t>GPIO_MD5 -&gt; IOPnMD</t>
  </si>
  <si>
    <t>0x40060094</t>
  </si>
  <si>
    <t>GPIO_MD6 -&gt; IOPnMD</t>
  </si>
  <si>
    <t>0x40060098</t>
  </si>
  <si>
    <t>GPIO_MD7 -&gt; IOPnMD</t>
  </si>
  <si>
    <t>0x4006009C</t>
  </si>
  <si>
    <t>GPIO_MD8 -&gt; IOPnMD</t>
  </si>
  <si>
    <t>0x400600A0</t>
  </si>
  <si>
    <t>GPIO_MD9 -&gt; IOPnMD</t>
  </si>
  <si>
    <t>0x400600A4</t>
  </si>
  <si>
    <t>GPIO_MDA -&gt; IOPnMD</t>
  </si>
  <si>
    <t>0x400600A8</t>
  </si>
  <si>
    <t>GPIO_MDB -&gt; IOPnMD</t>
  </si>
  <si>
    <t>0x400600AC</t>
  </si>
  <si>
    <t>GPIO_MDD -&gt; IOPnMD</t>
  </si>
  <si>
    <t>0x400600B4</t>
  </si>
  <si>
    <t>0x00101000</t>
    <phoneticPr fontId="4" type="noConversion"/>
  </si>
  <si>
    <t>for KM1M4BF0 series</t>
    <phoneticPr fontId="4" type="noConversion"/>
  </si>
  <si>
    <t>for KM1M4BF5 series</t>
    <phoneticPr fontId="4" type="noConversion"/>
  </si>
  <si>
    <t>GPIO_MDE -&gt; IOPnMD</t>
  </si>
  <si>
    <t>0x400600B8</t>
  </si>
  <si>
    <t>0x00000000</t>
  </si>
  <si>
    <t>GPIO_MDF -&gt; IOPnMD</t>
  </si>
  <si>
    <t>0x400600BC</t>
  </si>
  <si>
    <t>DBG-&gt;SELSWD</t>
  </si>
  <si>
    <t>0x400600F2</t>
  </si>
  <si>
    <t>0x00000001</t>
    <phoneticPr fontId="4" type="noConversion"/>
  </si>
  <si>
    <t>for KM1M4BF5 series</t>
  </si>
  <si>
    <t>SBCS1</t>
  </si>
  <si>
    <t>SBI4</t>
  </si>
  <si>
    <t>SBO4</t>
  </si>
  <si>
    <t>GPWMST6</t>
  </si>
  <si>
    <t>SBT4</t>
  </si>
  <si>
    <t>SBCS4</t>
  </si>
  <si>
    <t>SBCS0</t>
  </si>
  <si>
    <t>GPWM70</t>
  </si>
  <si>
    <t>SBCS3</t>
  </si>
  <si>
    <t>GPWM71</t>
  </si>
  <si>
    <t>SWDCLK</t>
    <phoneticPr fontId="47"/>
  </si>
  <si>
    <t>SBI1</t>
  </si>
  <si>
    <t>SBO1</t>
  </si>
  <si>
    <t>SBT1</t>
  </si>
  <si>
    <t>SWDD</t>
  </si>
  <si>
    <t>SBI3</t>
  </si>
  <si>
    <t>SBO3</t>
  </si>
  <si>
    <t>SBT0</t>
  </si>
  <si>
    <t>SBT3</t>
  </si>
  <si>
    <t>SBI0</t>
  </si>
  <si>
    <t>SBO0</t>
  </si>
  <si>
    <t>GPWM61</t>
  </si>
  <si>
    <t>GPWM60</t>
  </si>
  <si>
    <t>SBT2</t>
  </si>
  <si>
    <t>SBI2</t>
  </si>
  <si>
    <t>SBO2</t>
  </si>
  <si>
    <t>SBCS5</t>
  </si>
  <si>
    <t>SBCS2</t>
  </si>
  <si>
    <t>GPWM30</t>
  </si>
  <si>
    <t>GPWM40</t>
  </si>
  <si>
    <t>SBT5</t>
  </si>
  <si>
    <t>GPWMST7</t>
  </si>
  <si>
    <t>SBI5</t>
  </si>
  <si>
    <t>SBO5</t>
  </si>
  <si>
    <t>GPWM50</t>
  </si>
  <si>
    <t>SBCS6</t>
  </si>
  <si>
    <t>GPWM31</t>
  </si>
  <si>
    <t>SBT6</t>
  </si>
  <si>
    <t>GPWM41</t>
  </si>
  <si>
    <t>SBI6</t>
  </si>
  <si>
    <t>SBO6</t>
  </si>
  <si>
    <t>GPWM51</t>
  </si>
  <si>
    <t>GPWM21</t>
  </si>
  <si>
    <t>GPWM11</t>
  </si>
  <si>
    <t>GPWM01</t>
  </si>
  <si>
    <t>GPWM20</t>
  </si>
  <si>
    <t>GPWM10</t>
  </si>
  <si>
    <t>GPWM00</t>
  </si>
  <si>
    <t>TRCCLK</t>
  </si>
  <si>
    <t>GPWMST0</t>
  </si>
  <si>
    <t>GPWMST3</t>
  </si>
  <si>
    <t>CMPOT10</t>
  </si>
  <si>
    <t>CMPOT11</t>
  </si>
  <si>
    <t>TRCSWO</t>
  </si>
  <si>
    <t>GPWMST1</t>
  </si>
  <si>
    <t>GPWMST4</t>
  </si>
  <si>
    <t>CMPOT00</t>
  </si>
  <si>
    <t>CMPOT01</t>
  </si>
  <si>
    <t>DAOT0</t>
  </si>
  <si>
    <t>TRCD0</t>
  </si>
  <si>
    <t>GPWMST2</t>
  </si>
  <si>
    <t>GPWMST5</t>
  </si>
  <si>
    <t>TRCD1</t>
  </si>
  <si>
    <t>TRCD2</t>
  </si>
  <si>
    <t>Analog601</t>
  </si>
  <si>
    <t>TRCD3</t>
  </si>
  <si>
    <t>Analog601</t>
    <phoneticPr fontId="47"/>
  </si>
  <si>
    <t>CMPREF11</t>
  </si>
  <si>
    <t>Analog602</t>
  </si>
  <si>
    <t>CMPREF01</t>
  </si>
  <si>
    <t>Analog101</t>
    <phoneticPr fontId="47"/>
  </si>
  <si>
    <t>Analog102</t>
  </si>
  <si>
    <t>Analog201</t>
    <phoneticPr fontId="47"/>
  </si>
  <si>
    <t>Analog202</t>
  </si>
  <si>
    <t>Analog203</t>
  </si>
  <si>
    <t>Analog204</t>
  </si>
  <si>
    <t>Analog205</t>
  </si>
  <si>
    <t>Analog206</t>
  </si>
  <si>
    <t>Analog207</t>
  </si>
  <si>
    <t>Analog208</t>
  </si>
  <si>
    <t>Analog209</t>
  </si>
  <si>
    <t>Analog103</t>
  </si>
  <si>
    <t>VGAN1</t>
  </si>
  <si>
    <t>CMPIN10</t>
  </si>
  <si>
    <t>CMPREF10</t>
  </si>
  <si>
    <t>Analog104</t>
  </si>
  <si>
    <t>Analog105</t>
  </si>
  <si>
    <t>VGAP10</t>
  </si>
  <si>
    <t>CMPIN11</t>
  </si>
  <si>
    <t>Analog106</t>
  </si>
  <si>
    <t>VGAP11</t>
  </si>
  <si>
    <t>CMPIN00</t>
  </si>
  <si>
    <t>CMPIN01</t>
  </si>
  <si>
    <t>Analog107</t>
  </si>
  <si>
    <t>VGAP12</t>
  </si>
  <si>
    <t>Analog108</t>
  </si>
  <si>
    <t>Analog109</t>
  </si>
  <si>
    <t>VGAP02</t>
  </si>
  <si>
    <t>Analog110</t>
  </si>
  <si>
    <t>VGAP01</t>
  </si>
  <si>
    <t>Analog111</t>
  </si>
  <si>
    <t>VGAP00</t>
  </si>
  <si>
    <t>Analog112</t>
  </si>
  <si>
    <t>VGAN0</t>
  </si>
  <si>
    <t>CMPREF00</t>
  </si>
  <si>
    <t>Function</t>
    <phoneticPr fontId="49"/>
  </si>
  <si>
    <t>Group</t>
    <phoneticPr fontId="47"/>
  </si>
  <si>
    <t>Pins</t>
    <phoneticPr fontId="49"/>
  </si>
  <si>
    <t>1：XXX_AAA</t>
    <phoneticPr fontId="47"/>
  </si>
  <si>
    <t>Group</t>
    <phoneticPr fontId="49"/>
  </si>
  <si>
    <t>MFP</t>
    <phoneticPr fontId="49"/>
  </si>
  <si>
    <t>2：Special Group Name</t>
    <phoneticPr fontId="47"/>
  </si>
  <si>
    <t>Debugger</t>
    <phoneticPr fontId="47"/>
  </si>
  <si>
    <t>DBG</t>
  </si>
  <si>
    <t>SWDCLK</t>
  </si>
  <si>
    <t>Clock Monitoring</t>
    <phoneticPr fontId="47"/>
  </si>
  <si>
    <t>CKM</t>
    <phoneticPr fontId="47"/>
  </si>
  <si>
    <t>External interrupt</t>
    <phoneticPr fontId="47"/>
  </si>
  <si>
    <t>NMI</t>
    <phoneticPr fontId="47"/>
  </si>
  <si>
    <t>IRQ</t>
    <phoneticPr fontId="47"/>
  </si>
  <si>
    <t>16-bit timer</t>
    <phoneticPr fontId="49"/>
  </si>
  <si>
    <t>TM10</t>
    <phoneticPr fontId="47"/>
  </si>
  <si>
    <t>Power control PWM output</t>
    <phoneticPr fontId="47"/>
  </si>
  <si>
    <t>GPWM0</t>
  </si>
  <si>
    <t>GPWM1</t>
  </si>
  <si>
    <t>GPWM2</t>
  </si>
  <si>
    <t>GPWM3</t>
  </si>
  <si>
    <t>GPWM4</t>
  </si>
  <si>
    <t>GPWM5</t>
  </si>
  <si>
    <t>GPWM6</t>
  </si>
  <si>
    <t>GPWM7</t>
  </si>
  <si>
    <t>Power control PWM monitor</t>
    <phoneticPr fontId="55"/>
  </si>
  <si>
    <t>GPWM0</t>
    <phoneticPr fontId="47"/>
  </si>
  <si>
    <t>Serial Interface</t>
    <phoneticPr fontId="47"/>
  </si>
  <si>
    <t>SIF1</t>
  </si>
  <si>
    <t>SIF2</t>
  </si>
  <si>
    <t>SIF3</t>
  </si>
  <si>
    <t>SBI3</t>
    <phoneticPr fontId="47"/>
  </si>
  <si>
    <t>SIF6</t>
  </si>
  <si>
    <t>A/D Input</t>
    <phoneticPr fontId="47"/>
  </si>
  <si>
    <t>AD</t>
    <phoneticPr fontId="47"/>
  </si>
  <si>
    <t>A/D monitor</t>
    <phoneticPr fontId="55"/>
  </si>
  <si>
    <t>VGA input</t>
    <phoneticPr fontId="47"/>
  </si>
  <si>
    <t>VGA0</t>
    <phoneticPr fontId="47"/>
  </si>
  <si>
    <t>VGA1</t>
    <phoneticPr fontId="47"/>
  </si>
  <si>
    <t>Comarator input</t>
    <phoneticPr fontId="47"/>
  </si>
  <si>
    <t>CMP0</t>
    <phoneticPr fontId="47"/>
  </si>
  <si>
    <t>CMP1</t>
    <phoneticPr fontId="47"/>
  </si>
  <si>
    <t>Comparator output</t>
    <phoneticPr fontId="47"/>
  </si>
  <si>
    <t>D/A Output</t>
  </si>
  <si>
    <t>DAC</t>
    <phoneticPr fontId="47"/>
  </si>
  <si>
    <t>GPIO</t>
    <phoneticPr fontId="47"/>
  </si>
  <si>
    <t>P0</t>
  </si>
  <si>
    <t>P1</t>
  </si>
  <si>
    <t>P2</t>
  </si>
  <si>
    <t>P3</t>
  </si>
  <si>
    <t>P4</t>
  </si>
  <si>
    <t>P5</t>
  </si>
  <si>
    <t>P6</t>
  </si>
  <si>
    <t>P7</t>
  </si>
  <si>
    <t>P8</t>
  </si>
  <si>
    <t>P9</t>
  </si>
  <si>
    <t>PA</t>
  </si>
  <si>
    <t>PB</t>
  </si>
  <si>
    <t>PD</t>
  </si>
  <si>
    <t>PE</t>
  </si>
  <si>
    <t>PF</t>
  </si>
  <si>
    <t>表示名案</t>
    <phoneticPr fontId="49"/>
  </si>
  <si>
    <t>説明文案</t>
    <rPh sb="0" eb="2">
      <t>セツメイ</t>
    </rPh>
    <rPh sb="2" eb="3">
      <t>ブン</t>
    </rPh>
    <phoneticPr fontId="49"/>
  </si>
  <si>
    <t>Pin Component List記載</t>
    <rPh sb="18" eb="20">
      <t>キサイ</t>
    </rPh>
    <phoneticPr fontId="47"/>
  </si>
  <si>
    <t>グループ名</t>
    <phoneticPr fontId="49"/>
  </si>
  <si>
    <t>端子機能名</t>
    <rPh sb="0" eb="2">
      <t>タンシ</t>
    </rPh>
    <rPh sb="2" eb="4">
      <t>キノウ</t>
    </rPh>
    <rPh sb="4" eb="5">
      <t>メイ</t>
    </rPh>
    <phoneticPr fontId="49"/>
  </si>
  <si>
    <t>説明(L説)</t>
    <rPh sb="0" eb="2">
      <t>セツメイ</t>
    </rPh>
    <rPh sb="4" eb="5">
      <t>セツ</t>
    </rPh>
    <phoneticPr fontId="49"/>
  </si>
  <si>
    <t>参考箇所</t>
    <rPh sb="0" eb="2">
      <t>サンコウ</t>
    </rPh>
    <rPh sb="2" eb="4">
      <t>カショ</t>
    </rPh>
    <phoneticPr fontId="47"/>
  </si>
  <si>
    <t>入出力</t>
    <rPh sb="0" eb="3">
      <t>ニュウシュツリョク</t>
    </rPh>
    <phoneticPr fontId="47"/>
  </si>
  <si>
    <t>説明形式(pinconfig)</t>
    <rPh sb="0" eb="2">
      <t>セツメイ</t>
    </rPh>
    <rPh sb="2" eb="4">
      <t>ケイシキ</t>
    </rPh>
    <phoneticPr fontId="49"/>
  </si>
  <si>
    <t>Pin Name</t>
    <phoneticPr fontId="49"/>
  </si>
  <si>
    <t>Description (  '*', '$' are wildcard characters)</t>
    <phoneticPr fontId="49"/>
  </si>
  <si>
    <t>Type</t>
    <phoneticPr fontId="49"/>
  </si>
  <si>
    <t>Debug clock pin</t>
  </si>
  <si>
    <t>Table 24.1-2 List of Debug Interface Pins</t>
  </si>
  <si>
    <t>I</t>
  </si>
  <si>
    <t>Debug clock input pin</t>
  </si>
  <si>
    <t>DBG_SWDCLK</t>
  </si>
  <si>
    <t>Debug data pin</t>
  </si>
  <si>
    <t>I/O</t>
  </si>
  <si>
    <t>Debug data input/output pin</t>
  </si>
  <si>
    <t>DBG_SWDD</t>
  </si>
  <si>
    <t>Trace clock pin</t>
  </si>
  <si>
    <t>O</t>
  </si>
  <si>
    <t>ETM Trace clock output pin</t>
  </si>
  <si>
    <t>DBG_TRCCLK</t>
  </si>
  <si>
    <t>Serial wire output pin</t>
  </si>
  <si>
    <t>DBG_TRCSWO</t>
  </si>
  <si>
    <t>Trace data 0 pin</t>
  </si>
  <si>
    <t>ETM Trace data 0 output pin</t>
  </si>
  <si>
    <t>DBG_TRCD*</t>
  </si>
  <si>
    <t>ETM Trace data * output pin</t>
  </si>
  <si>
    <t>Trace data 1 pin</t>
  </si>
  <si>
    <t>ETM Trace data 1 output pin</t>
  </si>
  <si>
    <t>Trace data 2 pin</t>
  </si>
  <si>
    <t>ETM Trace data 2 output pin</t>
  </si>
  <si>
    <t>Trace data 3 pin</t>
  </si>
  <si>
    <t>ETM Trace data 3 output pin</t>
  </si>
  <si>
    <t>Reference clock</t>
    <phoneticPr fontId="47"/>
  </si>
  <si>
    <t>Table 22.1-1 Outline Specification of Clock Monitoring Function</t>
  </si>
  <si>
    <r>
      <t xml:space="preserve">Clock </t>
    </r>
    <r>
      <rPr>
        <sz val="11"/>
        <color theme="1"/>
        <rFont val="ＭＳ Ｐゴシック"/>
        <family val="2"/>
        <charset val="128"/>
        <scheme val="minor"/>
      </rPr>
      <t>m</t>
    </r>
    <r>
      <rPr>
        <sz val="11"/>
        <color theme="1"/>
        <rFont val="ＭＳ Ｐゴシック"/>
        <family val="2"/>
        <charset val="128"/>
        <scheme val="minor"/>
      </rPr>
      <t>onitoring</t>
    </r>
    <r>
      <rPr>
        <sz val="11"/>
        <color theme="1"/>
        <rFont val="ＭＳ Ｐゴシック"/>
        <family val="2"/>
        <charset val="128"/>
        <scheme val="minor"/>
      </rPr>
      <t xml:space="preserve"> reference input pin</t>
    </r>
    <phoneticPr fontId="47"/>
  </si>
  <si>
    <t>Clock monitoring reference input pin</t>
  </si>
  <si>
    <t>Non-maskable External Interrupt</t>
  </si>
  <si>
    <t>7.4 The List of the Interrupt Factors</t>
  </si>
  <si>
    <t>External interrupt 0</t>
    <phoneticPr fontId="47"/>
  </si>
  <si>
    <t>IRQ00</t>
    <phoneticPr fontId="47"/>
  </si>
  <si>
    <t>External interrupt 0</t>
  </si>
  <si>
    <t>External interrupt 1</t>
  </si>
  <si>
    <t>External interrupt 2</t>
  </si>
  <si>
    <t>External interrupt 3</t>
  </si>
  <si>
    <t>External interrupt 4</t>
  </si>
  <si>
    <t>External interrupt 5</t>
  </si>
  <si>
    <t>External interrupt 6</t>
  </si>
  <si>
    <t>External interrupt 7</t>
  </si>
  <si>
    <t>External interrupt 10</t>
    <phoneticPr fontId="47"/>
  </si>
  <si>
    <t>External interrupt 10</t>
  </si>
  <si>
    <t>External interrupt 11</t>
  </si>
  <si>
    <t>External interrupt 12</t>
  </si>
  <si>
    <t>External interrupt 13</t>
  </si>
  <si>
    <t>External interrupt 14</t>
  </si>
  <si>
    <t>External interrupt 15</t>
  </si>
  <si>
    <t>External interrupt 20</t>
    <phoneticPr fontId="47"/>
  </si>
  <si>
    <t>External interrupt 20</t>
  </si>
  <si>
    <t>External interrupt 21</t>
  </si>
  <si>
    <t>External interrupt 22</t>
  </si>
  <si>
    <t>External interrupt 30</t>
    <phoneticPr fontId="47"/>
  </si>
  <si>
    <t>External interrupt 30</t>
  </si>
  <si>
    <t>External interrupt 31</t>
  </si>
  <si>
    <t>External interrupt 32</t>
  </si>
  <si>
    <t>External interrupt 33</t>
  </si>
  <si>
    <t>External interrupt 34</t>
  </si>
  <si>
    <t>External interrupt 35</t>
  </si>
  <si>
    <t>External interrupt 36</t>
  </si>
  <si>
    <t>External interrupt 37</t>
  </si>
  <si>
    <t>Timer pin A</t>
    <phoneticPr fontId="47"/>
  </si>
  <si>
    <t>11.1.4 List of 16-bit Timer Ports</t>
  </si>
  <si>
    <t>Timer 0 input/output pin A</t>
  </si>
  <si>
    <t>Timer pin B</t>
    <phoneticPr fontId="47"/>
  </si>
  <si>
    <t>Timer 0 input/output pin B</t>
  </si>
  <si>
    <t>Timer 1 input/output pin A</t>
  </si>
  <si>
    <t>Timer 1 input/output pin B</t>
  </si>
  <si>
    <t>Timer 2 input/output pin A</t>
  </si>
  <si>
    <t>Timer 2 input/output pin B</t>
  </si>
  <si>
    <t>Timer 3 input/output pin A</t>
  </si>
  <si>
    <t>Timer 3 input/output pin B</t>
  </si>
  <si>
    <t>Timer 4 input/output pin A</t>
  </si>
  <si>
    <t>Timer 4 input/output pin B</t>
  </si>
  <si>
    <t>Timer 5 input/output pin A</t>
  </si>
  <si>
    <t>Timer 5 input/output pin B</t>
  </si>
  <si>
    <t>Timer 6 input/output pin A</t>
  </si>
  <si>
    <t>Timer 6 input/output pin B</t>
  </si>
  <si>
    <t>Timer 7 input/output pin A</t>
  </si>
  <si>
    <t>Timer 7 input/output pin B</t>
  </si>
  <si>
    <r>
      <t xml:space="preserve">Timer </t>
    </r>
    <r>
      <rPr>
        <sz val="11"/>
        <color theme="1"/>
        <rFont val="ＭＳ Ｐゴシック"/>
        <family val="2"/>
        <charset val="128"/>
        <scheme val="minor"/>
      </rPr>
      <t>10</t>
    </r>
    <r>
      <rPr>
        <sz val="11"/>
        <color theme="1"/>
        <rFont val="ＭＳ Ｐゴシック"/>
        <family val="2"/>
        <charset val="128"/>
        <scheme val="minor"/>
      </rPr>
      <t xml:space="preserve"> input/output pin A</t>
    </r>
    <phoneticPr fontId="47"/>
  </si>
  <si>
    <r>
      <t xml:space="preserve">Timer </t>
    </r>
    <r>
      <rPr>
        <sz val="11"/>
        <color theme="1"/>
        <rFont val="ＭＳ Ｐゴシック"/>
        <family val="2"/>
        <charset val="128"/>
        <scheme val="minor"/>
      </rPr>
      <t>10</t>
    </r>
    <r>
      <rPr>
        <sz val="11"/>
        <color theme="1"/>
        <rFont val="ＭＳ Ｐゴシック"/>
        <family val="2"/>
        <charset val="128"/>
        <scheme val="minor"/>
      </rPr>
      <t xml:space="preserve"> input/output pin B</t>
    </r>
    <phoneticPr fontId="47"/>
  </si>
  <si>
    <r>
      <t xml:space="preserve">Timer </t>
    </r>
    <r>
      <rPr>
        <sz val="11"/>
        <color theme="1"/>
        <rFont val="ＭＳ Ｐゴシック"/>
        <family val="2"/>
        <charset val="128"/>
        <scheme val="minor"/>
      </rPr>
      <t>11 input/output pin A</t>
    </r>
    <r>
      <rPr>
        <sz val="11"/>
        <color theme="1"/>
        <rFont val="ＭＳ Ｐゴシック"/>
        <family val="2"/>
        <charset val="128"/>
        <scheme val="minor"/>
      </rPr>
      <t/>
    </r>
  </si>
  <si>
    <r>
      <t xml:space="preserve">Timer </t>
    </r>
    <r>
      <rPr>
        <sz val="11"/>
        <color theme="1"/>
        <rFont val="ＭＳ Ｐゴシック"/>
        <family val="2"/>
        <charset val="128"/>
        <scheme val="minor"/>
      </rPr>
      <t>11 input/output pin B</t>
    </r>
    <r>
      <rPr>
        <sz val="11"/>
        <color theme="1"/>
        <rFont val="ＭＳ Ｐゴシック"/>
        <family val="2"/>
        <charset val="128"/>
        <scheme val="minor"/>
      </rPr>
      <t/>
    </r>
  </si>
  <si>
    <r>
      <t xml:space="preserve">Timer </t>
    </r>
    <r>
      <rPr>
        <sz val="11"/>
        <color theme="1"/>
        <rFont val="ＭＳ Ｐゴシック"/>
        <family val="2"/>
        <charset val="128"/>
        <scheme val="minor"/>
      </rPr>
      <t>12 input/output pin A</t>
    </r>
    <r>
      <rPr>
        <sz val="11"/>
        <color theme="1"/>
        <rFont val="ＭＳ Ｐゴシック"/>
        <family val="2"/>
        <charset val="128"/>
        <scheme val="minor"/>
      </rPr>
      <t/>
    </r>
  </si>
  <si>
    <r>
      <t xml:space="preserve">Timer </t>
    </r>
    <r>
      <rPr>
        <sz val="11"/>
        <color theme="1"/>
        <rFont val="ＭＳ Ｐゴシック"/>
        <family val="2"/>
        <charset val="128"/>
        <scheme val="minor"/>
      </rPr>
      <t>12 input/output pin B</t>
    </r>
    <r>
      <rPr>
        <sz val="11"/>
        <color theme="1"/>
        <rFont val="ＭＳ Ｐゴシック"/>
        <family val="2"/>
        <charset val="128"/>
        <scheme val="minor"/>
      </rPr>
      <t/>
    </r>
  </si>
  <si>
    <r>
      <t xml:space="preserve">Timer </t>
    </r>
    <r>
      <rPr>
        <sz val="11"/>
        <color theme="1"/>
        <rFont val="ＭＳ Ｐゴシック"/>
        <family val="2"/>
        <charset val="128"/>
        <scheme val="minor"/>
      </rPr>
      <t>13 input/output pin A</t>
    </r>
    <r>
      <rPr>
        <sz val="11"/>
        <color theme="1"/>
        <rFont val="ＭＳ Ｐゴシック"/>
        <family val="2"/>
        <charset val="128"/>
        <scheme val="minor"/>
      </rPr>
      <t/>
    </r>
  </si>
  <si>
    <r>
      <t xml:space="preserve">Timer </t>
    </r>
    <r>
      <rPr>
        <sz val="11"/>
        <color theme="1"/>
        <rFont val="ＭＳ Ｐゴシック"/>
        <family val="2"/>
        <charset val="128"/>
        <scheme val="minor"/>
      </rPr>
      <t>13 input/output pin B</t>
    </r>
    <r>
      <rPr>
        <sz val="11"/>
        <color theme="1"/>
        <rFont val="ＭＳ Ｐゴシック"/>
        <family val="2"/>
        <charset val="128"/>
        <scheme val="minor"/>
      </rPr>
      <t/>
    </r>
  </si>
  <si>
    <r>
      <t xml:space="preserve">Timer </t>
    </r>
    <r>
      <rPr>
        <sz val="11"/>
        <color theme="1"/>
        <rFont val="ＭＳ Ｐゴシック"/>
        <family val="2"/>
        <charset val="128"/>
        <scheme val="minor"/>
      </rPr>
      <t>14 input/output pin A</t>
    </r>
    <r>
      <rPr>
        <sz val="11"/>
        <color theme="1"/>
        <rFont val="ＭＳ Ｐゴシック"/>
        <family val="2"/>
        <charset val="128"/>
        <scheme val="minor"/>
      </rPr>
      <t/>
    </r>
  </si>
  <si>
    <r>
      <t xml:space="preserve">Timer </t>
    </r>
    <r>
      <rPr>
        <sz val="11"/>
        <color theme="1"/>
        <rFont val="ＭＳ Ｐゴシック"/>
        <family val="2"/>
        <charset val="128"/>
        <scheme val="minor"/>
      </rPr>
      <t>14 input/output pin B</t>
    </r>
    <r>
      <rPr>
        <sz val="11"/>
        <color theme="1"/>
        <rFont val="ＭＳ Ｐゴシック"/>
        <family val="2"/>
        <charset val="128"/>
        <scheme val="minor"/>
      </rPr>
      <t/>
    </r>
  </si>
  <si>
    <r>
      <t xml:space="preserve">Timer </t>
    </r>
    <r>
      <rPr>
        <sz val="11"/>
        <color theme="1"/>
        <rFont val="ＭＳ Ｐゴシック"/>
        <family val="2"/>
        <charset val="128"/>
        <scheme val="minor"/>
      </rPr>
      <t>15 input/output pin A</t>
    </r>
    <r>
      <rPr>
        <sz val="11"/>
        <color theme="1"/>
        <rFont val="ＭＳ Ｐゴシック"/>
        <family val="2"/>
        <charset val="128"/>
        <scheme val="minor"/>
      </rPr>
      <t/>
    </r>
  </si>
  <si>
    <r>
      <t xml:space="preserve">Timer </t>
    </r>
    <r>
      <rPr>
        <sz val="11"/>
        <color theme="1"/>
        <rFont val="ＭＳ Ｐゴシック"/>
        <family val="2"/>
        <charset val="128"/>
        <scheme val="minor"/>
      </rPr>
      <t>15 input/output pin B</t>
    </r>
    <r>
      <rPr>
        <sz val="11"/>
        <color theme="1"/>
        <rFont val="ＭＳ Ｐゴシック"/>
        <family val="2"/>
        <charset val="128"/>
        <scheme val="minor"/>
      </rPr>
      <t/>
    </r>
  </si>
  <si>
    <t>GPWM output pin</t>
    <phoneticPr fontId="47"/>
  </si>
  <si>
    <t>12.1.4 List of Power Control PWM Ports</t>
  </si>
  <si>
    <t>GPWM00 output pin</t>
    <phoneticPr fontId="47"/>
  </si>
  <si>
    <r>
      <t>GPWM*_GPWM*</t>
    </r>
    <r>
      <rPr>
        <sz val="11"/>
        <color theme="1"/>
        <rFont val="ＭＳ Ｐゴシック"/>
        <family val="2"/>
        <charset val="128"/>
        <scheme val="minor"/>
      </rPr>
      <t>0</t>
    </r>
    <phoneticPr fontId="47"/>
  </si>
  <si>
    <r>
      <t>GPWM*</t>
    </r>
    <r>
      <rPr>
        <sz val="11"/>
        <color theme="1"/>
        <rFont val="ＭＳ Ｐゴシック"/>
        <family val="2"/>
        <charset val="128"/>
        <scheme val="minor"/>
      </rPr>
      <t>0</t>
    </r>
    <r>
      <rPr>
        <sz val="11"/>
        <color theme="1"/>
        <rFont val="ＭＳ Ｐゴシック"/>
        <family val="2"/>
        <charset val="128"/>
        <scheme val="minor"/>
      </rPr>
      <t xml:space="preserve"> output pin</t>
    </r>
    <phoneticPr fontId="47"/>
  </si>
  <si>
    <t>GPWM01 output pin</t>
    <phoneticPr fontId="47"/>
  </si>
  <si>
    <t>GPWM*_GPWM*1</t>
  </si>
  <si>
    <t>GPWM*1 output pin</t>
  </si>
  <si>
    <t>GPWM10 output pin</t>
    <phoneticPr fontId="47"/>
  </si>
  <si>
    <t>GPWM11 output pin</t>
    <phoneticPr fontId="47"/>
  </si>
  <si>
    <t>GPWM20 output pin</t>
    <phoneticPr fontId="47"/>
  </si>
  <si>
    <t>GPWM21 output pin</t>
    <phoneticPr fontId="47"/>
  </si>
  <si>
    <t>GPWM30 output pin</t>
    <phoneticPr fontId="47"/>
  </si>
  <si>
    <t>GPWM31 output pin</t>
    <phoneticPr fontId="47"/>
  </si>
  <si>
    <t>GPWM40 output pin</t>
    <phoneticPr fontId="47"/>
  </si>
  <si>
    <t>GPWM41 output pin</t>
    <phoneticPr fontId="47"/>
  </si>
  <si>
    <t>GPWM50 output pin</t>
    <phoneticPr fontId="47"/>
  </si>
  <si>
    <t>GPWM51 output pin</t>
    <phoneticPr fontId="47"/>
  </si>
  <si>
    <t>GPWM60 output pin</t>
    <phoneticPr fontId="47"/>
  </si>
  <si>
    <t>GPWM61 output pin</t>
    <phoneticPr fontId="47"/>
  </si>
  <si>
    <t>GPWM70 output pin</t>
    <phoneticPr fontId="47"/>
  </si>
  <si>
    <t>GPWM71 output pin</t>
    <phoneticPr fontId="47"/>
  </si>
  <si>
    <r>
      <t xml:space="preserve">Count </t>
    </r>
    <r>
      <rPr>
        <sz val="11"/>
        <color theme="1"/>
        <rFont val="ＭＳ Ｐゴシック"/>
        <family val="2"/>
        <charset val="128"/>
        <scheme val="minor"/>
      </rPr>
      <t>s</t>
    </r>
    <r>
      <rPr>
        <sz val="11"/>
        <color theme="1"/>
        <rFont val="ＭＳ Ｐゴシック"/>
        <family val="2"/>
        <charset val="128"/>
        <scheme val="minor"/>
      </rPr>
      <t xml:space="preserve">tate </t>
    </r>
    <r>
      <rPr>
        <sz val="11"/>
        <color theme="1"/>
        <rFont val="ＭＳ Ｐゴシック"/>
        <family val="2"/>
        <charset val="128"/>
        <scheme val="minor"/>
      </rPr>
      <t>o</t>
    </r>
    <r>
      <rPr>
        <sz val="11"/>
        <color theme="1"/>
        <rFont val="ＭＳ Ｐゴシック"/>
        <family val="2"/>
        <charset val="128"/>
        <scheme val="minor"/>
      </rPr>
      <t xml:space="preserve">utput </t>
    </r>
    <r>
      <rPr>
        <sz val="11"/>
        <color theme="1"/>
        <rFont val="ＭＳ Ｐゴシック"/>
        <family val="2"/>
        <charset val="128"/>
        <scheme val="minor"/>
      </rPr>
      <t>p</t>
    </r>
    <r>
      <rPr>
        <sz val="11"/>
        <color theme="1"/>
        <rFont val="ＭＳ Ｐゴシック"/>
        <family val="2"/>
        <charset val="128"/>
        <scheme val="minor"/>
      </rPr>
      <t>in</t>
    </r>
    <phoneticPr fontId="47"/>
  </si>
  <si>
    <t>Table 12.10-1 List of Ports Assigned to Count State Output Function</t>
    <phoneticPr fontId="47"/>
  </si>
  <si>
    <t>GPWM0 count state output pin</t>
    <phoneticPr fontId="47"/>
  </si>
  <si>
    <t>GPWM*_GPWMST*</t>
    <phoneticPr fontId="47"/>
  </si>
  <si>
    <t>GPWM* count state output pin</t>
  </si>
  <si>
    <t>Table 12.10-1 List of Ports Assigned to Count State Output Function</t>
  </si>
  <si>
    <r>
      <t>G</t>
    </r>
    <r>
      <rPr>
        <sz val="11"/>
        <color theme="1"/>
        <rFont val="ＭＳ Ｐゴシック"/>
        <family val="2"/>
        <charset val="128"/>
        <scheme val="minor"/>
      </rPr>
      <t>PWM1 count state output pin</t>
    </r>
    <r>
      <rPr>
        <sz val="11"/>
        <color theme="1"/>
        <rFont val="ＭＳ Ｐゴシック"/>
        <family val="2"/>
        <charset val="128"/>
        <scheme val="minor"/>
      </rPr>
      <t/>
    </r>
  </si>
  <si>
    <r>
      <t>G</t>
    </r>
    <r>
      <rPr>
        <sz val="11"/>
        <color theme="1"/>
        <rFont val="ＭＳ Ｐゴシック"/>
        <family val="2"/>
        <charset val="128"/>
        <scheme val="minor"/>
      </rPr>
      <t>PWM2 count state output pin</t>
    </r>
    <r>
      <rPr>
        <sz val="11"/>
        <color theme="1"/>
        <rFont val="ＭＳ Ｐゴシック"/>
        <family val="2"/>
        <charset val="128"/>
        <scheme val="minor"/>
      </rPr>
      <t/>
    </r>
  </si>
  <si>
    <r>
      <t>G</t>
    </r>
    <r>
      <rPr>
        <sz val="11"/>
        <color theme="1"/>
        <rFont val="ＭＳ Ｐゴシック"/>
        <family val="2"/>
        <charset val="128"/>
        <scheme val="minor"/>
      </rPr>
      <t>PWM3 count state output pin</t>
    </r>
    <r>
      <rPr>
        <sz val="11"/>
        <color theme="1"/>
        <rFont val="ＭＳ Ｐゴシック"/>
        <family val="2"/>
        <charset val="128"/>
        <scheme val="minor"/>
      </rPr>
      <t/>
    </r>
  </si>
  <si>
    <r>
      <t>G</t>
    </r>
    <r>
      <rPr>
        <sz val="11"/>
        <color theme="1"/>
        <rFont val="ＭＳ Ｐゴシック"/>
        <family val="2"/>
        <charset val="128"/>
        <scheme val="minor"/>
      </rPr>
      <t>PWM4 count state output pin</t>
    </r>
    <r>
      <rPr>
        <sz val="11"/>
        <color theme="1"/>
        <rFont val="ＭＳ Ｐゴシック"/>
        <family val="2"/>
        <charset val="128"/>
        <scheme val="minor"/>
      </rPr>
      <t/>
    </r>
  </si>
  <si>
    <r>
      <t>G</t>
    </r>
    <r>
      <rPr>
        <sz val="11"/>
        <color theme="1"/>
        <rFont val="ＭＳ Ｐゴシック"/>
        <family val="2"/>
        <charset val="128"/>
        <scheme val="minor"/>
      </rPr>
      <t>PWM5 count state output pin</t>
    </r>
    <r>
      <rPr>
        <sz val="11"/>
        <color theme="1"/>
        <rFont val="ＭＳ Ｐゴシック"/>
        <family val="2"/>
        <charset val="128"/>
        <scheme val="minor"/>
      </rPr>
      <t/>
    </r>
  </si>
  <si>
    <r>
      <t>G</t>
    </r>
    <r>
      <rPr>
        <sz val="11"/>
        <color theme="1"/>
        <rFont val="ＭＳ Ｐゴシック"/>
        <family val="2"/>
        <charset val="128"/>
        <scheme val="minor"/>
      </rPr>
      <t>PWM6 count state output pin</t>
    </r>
    <r>
      <rPr>
        <sz val="11"/>
        <color theme="1"/>
        <rFont val="ＭＳ Ｐゴシック"/>
        <family val="2"/>
        <charset val="128"/>
        <scheme val="minor"/>
      </rPr>
      <t/>
    </r>
  </si>
  <si>
    <r>
      <t>G</t>
    </r>
    <r>
      <rPr>
        <sz val="11"/>
        <color theme="1"/>
        <rFont val="ＭＳ Ｐゴシック"/>
        <family val="2"/>
        <charset val="128"/>
        <scheme val="minor"/>
      </rPr>
      <t>PWM7 count state output pin</t>
    </r>
    <r>
      <rPr>
        <sz val="11"/>
        <color theme="1"/>
        <rFont val="ＭＳ Ｐゴシック"/>
        <family val="2"/>
        <charset val="128"/>
        <scheme val="minor"/>
      </rPr>
      <t/>
    </r>
  </si>
  <si>
    <t>Chip select pin</t>
  </si>
  <si>
    <t>Table 13.4-2 The Pins used for Communication Type</t>
    <phoneticPr fontId="47"/>
  </si>
  <si>
    <t>SIF0 chip select input/output pin</t>
  </si>
  <si>
    <t>SIF*_SBCS*</t>
  </si>
  <si>
    <t>SIF* chip select input/output pin</t>
  </si>
  <si>
    <t>Data pin</t>
  </si>
  <si>
    <t>SIF0 data input pin</t>
  </si>
  <si>
    <t>SIF*_SBI*</t>
  </si>
  <si>
    <t>SIF* data input pin</t>
  </si>
  <si>
    <t>SIF0 data input/output pin</t>
  </si>
  <si>
    <t>SIF*_SBO*</t>
  </si>
  <si>
    <t>SIF* data input/output pin</t>
  </si>
  <si>
    <t>Clock pin</t>
  </si>
  <si>
    <t>SIF0 clock input/output pin</t>
  </si>
  <si>
    <t>SIF*_SBT*</t>
  </si>
  <si>
    <t>SIF* clock input/output pin</t>
  </si>
  <si>
    <t>SIF1 chip select input/output pin</t>
  </si>
  <si>
    <t>SIF1 data input pin</t>
  </si>
  <si>
    <t>SIF1 data input/output pin</t>
  </si>
  <si>
    <t>SIF1 clock input/output pin</t>
  </si>
  <si>
    <t>SIF2 chip select input/output pin</t>
  </si>
  <si>
    <t>SIF2 data input pin</t>
  </si>
  <si>
    <t>SIF2 data input/output pin</t>
  </si>
  <si>
    <t>SIF2 clock input/output pin</t>
  </si>
  <si>
    <t>SIF3 chip select input/output pin</t>
  </si>
  <si>
    <t>SIF3 data input pin</t>
  </si>
  <si>
    <t>SIF3 data input/output pin</t>
  </si>
  <si>
    <t>SIF3 clock input/output pin</t>
  </si>
  <si>
    <t>SIF4 chip select input/output pin</t>
  </si>
  <si>
    <t>SIF4 data input pin</t>
  </si>
  <si>
    <t>SIF4 data input/output pin</t>
  </si>
  <si>
    <t>SIF4 clock input/output pin</t>
  </si>
  <si>
    <t>SIF5 chip select input/output pin</t>
  </si>
  <si>
    <t>SIF5 data input pin</t>
  </si>
  <si>
    <t>SIF5 data input/output pin</t>
  </si>
  <si>
    <t>SIF5 clock input/output pin</t>
  </si>
  <si>
    <t>SIF6 chip select input/output pin</t>
  </si>
  <si>
    <t>SIF6 data input pin</t>
  </si>
  <si>
    <t>SIF6 data input/output pin</t>
  </si>
  <si>
    <t>SIF6 clock input/output pin</t>
  </si>
  <si>
    <r>
      <t xml:space="preserve">Analog input </t>
    </r>
    <r>
      <rPr>
        <sz val="11"/>
        <color theme="1"/>
        <rFont val="ＭＳ Ｐゴシック"/>
        <family val="2"/>
        <charset val="128"/>
        <scheme val="minor"/>
      </rPr>
      <t>p</t>
    </r>
    <r>
      <rPr>
        <sz val="11"/>
        <color theme="1"/>
        <rFont val="ＭＳ Ｐゴシック"/>
        <family val="2"/>
        <charset val="128"/>
        <scheme val="minor"/>
      </rPr>
      <t>in</t>
    </r>
    <phoneticPr fontId="47"/>
  </si>
  <si>
    <t>14.1.4 List of A/D Converter Ports</t>
  </si>
  <si>
    <t>A</t>
    <phoneticPr fontId="47"/>
  </si>
  <si>
    <t>A/D converter analog input 00 pin</t>
    <phoneticPr fontId="47"/>
  </si>
  <si>
    <t>ADIN*</t>
  </si>
  <si>
    <t>A/D converter analog input * pin</t>
  </si>
  <si>
    <t>A/D converter analog input 01 pin</t>
  </si>
  <si>
    <t>A/D converter analog input 02 pin</t>
  </si>
  <si>
    <t>A/D converter analog input 03 pin</t>
  </si>
  <si>
    <t>A/D converter analog input 04 pin</t>
  </si>
  <si>
    <t>A/D converter analog input 05 pin</t>
  </si>
  <si>
    <t>A/D converter analog input 06 pin</t>
  </si>
  <si>
    <t>A/D converter analog input 07 pin</t>
  </si>
  <si>
    <t>A/D converter analog input 08 pin</t>
  </si>
  <si>
    <t>A/D converter analog input 09 pin</t>
  </si>
  <si>
    <t>A/D converter analog input 10 pin</t>
  </si>
  <si>
    <t>A/D converter analog input 11 pin</t>
  </si>
  <si>
    <t>A/D converter analog input 12 pin</t>
  </si>
  <si>
    <t>A/D converter analog input 13 pin</t>
  </si>
  <si>
    <t>A/D converter analog input 14 pin</t>
  </si>
  <si>
    <t>A/D converter analog input 15 pin</t>
  </si>
  <si>
    <t>A/D converter analog input 16 pin</t>
  </si>
  <si>
    <t>A/D converter analog input 17 pin</t>
  </si>
  <si>
    <t>A/D converter analog input 18 pin</t>
  </si>
  <si>
    <t>A/D converter analog input 19 pin</t>
  </si>
  <si>
    <t>A/D converter analog input 20 pin</t>
  </si>
  <si>
    <t>A/D converter analog input 21 pin</t>
  </si>
  <si>
    <t>14.1.4 List of A/D Converter Ports</t>
    <phoneticPr fontId="47"/>
  </si>
  <si>
    <t>A/D converter analog input 22 pin</t>
  </si>
  <si>
    <t>A/D monitor</t>
    <phoneticPr fontId="47"/>
  </si>
  <si>
    <t>Table 1.4-2 Pin Functions (for each function)</t>
  </si>
  <si>
    <r>
      <t>A/D0</t>
    </r>
    <r>
      <rPr>
        <sz val="11"/>
        <color theme="1"/>
        <rFont val="ＭＳ Ｐゴシック"/>
        <family val="2"/>
        <charset val="128"/>
        <scheme val="minor"/>
      </rPr>
      <t xml:space="preserve"> monitor output pin</t>
    </r>
    <phoneticPr fontId="47"/>
  </si>
  <si>
    <t>ADST*</t>
    <phoneticPr fontId="47"/>
  </si>
  <si>
    <r>
      <t>A/D*</t>
    </r>
    <r>
      <rPr>
        <sz val="11"/>
        <color theme="1"/>
        <rFont val="ＭＳ Ｐゴシック"/>
        <family val="2"/>
        <charset val="128"/>
        <scheme val="minor"/>
      </rPr>
      <t xml:space="preserve"> </t>
    </r>
    <r>
      <rPr>
        <sz val="11"/>
        <color theme="1"/>
        <rFont val="ＭＳ Ｐゴシック"/>
        <family val="2"/>
        <charset val="128"/>
        <scheme val="minor"/>
      </rPr>
      <t>monitor</t>
    </r>
    <r>
      <rPr>
        <sz val="11"/>
        <color theme="1"/>
        <rFont val="ＭＳ Ｐゴシック"/>
        <family val="2"/>
        <charset val="128"/>
        <scheme val="minor"/>
      </rPr>
      <t xml:space="preserve"> output pin</t>
    </r>
    <phoneticPr fontId="47"/>
  </si>
  <si>
    <t>A/D monitor</t>
  </si>
  <si>
    <t>A/D1 monitor output pin</t>
  </si>
  <si>
    <t>A/D2 monitor output pin</t>
  </si>
  <si>
    <t>VGA positive pin</t>
  </si>
  <si>
    <t>Figure 17.1-1 VGA Block Diagram</t>
  </si>
  <si>
    <t>VGA0 positive 0 input pin</t>
    <phoneticPr fontId="47"/>
  </si>
  <si>
    <t>VGA*_VGAP*0</t>
    <phoneticPr fontId="47"/>
  </si>
  <si>
    <r>
      <t>VGA* positive 0</t>
    </r>
    <r>
      <rPr>
        <sz val="11"/>
        <color theme="1"/>
        <rFont val="ＭＳ Ｐゴシック"/>
        <family val="2"/>
        <charset val="128"/>
        <scheme val="minor"/>
      </rPr>
      <t xml:space="preserve"> input pin</t>
    </r>
    <phoneticPr fontId="47"/>
  </si>
  <si>
    <t>VGA0 positive 1 input pin</t>
  </si>
  <si>
    <t>VGA*_VGAP*1</t>
  </si>
  <si>
    <r>
      <t>VGA* positive 1 input pin</t>
    </r>
    <r>
      <rPr>
        <sz val="11"/>
        <color theme="1"/>
        <rFont val="ＭＳ Ｐゴシック"/>
        <family val="2"/>
        <charset val="128"/>
        <scheme val="minor"/>
      </rPr>
      <t/>
    </r>
  </si>
  <si>
    <t>VGA0 positive 2 input pin</t>
  </si>
  <si>
    <t>VGA*_VGAP*2</t>
  </si>
  <si>
    <r>
      <t>VGA* positive 2 input pin</t>
    </r>
    <r>
      <rPr>
        <sz val="11"/>
        <color theme="1"/>
        <rFont val="ＭＳ Ｐゴシック"/>
        <family val="2"/>
        <charset val="128"/>
        <scheme val="minor"/>
      </rPr>
      <t/>
    </r>
  </si>
  <si>
    <t>VGA negative pin</t>
  </si>
  <si>
    <t>VGA0 negative input pin</t>
  </si>
  <si>
    <r>
      <t>VGA*_VGA</t>
    </r>
    <r>
      <rPr>
        <sz val="11"/>
        <color theme="1"/>
        <rFont val="ＭＳ Ｐゴシック"/>
        <family val="2"/>
        <charset val="128"/>
        <scheme val="minor"/>
      </rPr>
      <t>N*</t>
    </r>
    <phoneticPr fontId="47"/>
  </si>
  <si>
    <t>VGA* negative input pin</t>
    <phoneticPr fontId="47"/>
  </si>
  <si>
    <t>VGA1 positive 0 input pin</t>
  </si>
  <si>
    <t>VGA1 positive 1 input pin</t>
  </si>
  <si>
    <t>VGA1 positive 2 input pin</t>
  </si>
  <si>
    <t>VGA*_VGAP*2</t>
    <phoneticPr fontId="47"/>
  </si>
  <si>
    <t>Table 1.4-4 Pin Functions (for each function)</t>
  </si>
  <si>
    <t>Comparator 00 input pin</t>
    <phoneticPr fontId="47"/>
  </si>
  <si>
    <t>CMP*_CMPIN*0</t>
    <phoneticPr fontId="47"/>
  </si>
  <si>
    <t>Comparator *0 input pin</t>
    <phoneticPr fontId="47"/>
  </si>
  <si>
    <t>Comparator 01 input pin</t>
  </si>
  <si>
    <t>CMP*_CMPIN*1</t>
    <phoneticPr fontId="47"/>
  </si>
  <si>
    <t>Comparator *1 input pin</t>
    <phoneticPr fontId="47"/>
  </si>
  <si>
    <t>Comparator reference input</t>
    <phoneticPr fontId="47"/>
  </si>
  <si>
    <t>Table 16.1-1 List of Comparator Functions</t>
    <phoneticPr fontId="47"/>
  </si>
  <si>
    <t>Comparator 00  reference input pin</t>
    <phoneticPr fontId="47"/>
  </si>
  <si>
    <t>CMP*_CMPREF*0</t>
    <phoneticPr fontId="47"/>
  </si>
  <si>
    <t>Comparator *0  reference input pin</t>
    <phoneticPr fontId="47"/>
  </si>
  <si>
    <t>Comparator 01  reference input pin</t>
    <phoneticPr fontId="47"/>
  </si>
  <si>
    <t>CMP*_CMPREF*1</t>
  </si>
  <si>
    <t>Comparator *1  reference input pin</t>
  </si>
  <si>
    <t>Comparator 10 input pin</t>
    <phoneticPr fontId="47"/>
  </si>
  <si>
    <t>Comparator 11 input pin</t>
    <phoneticPr fontId="47"/>
  </si>
  <si>
    <t>Comparator 10  reference input pin</t>
    <phoneticPr fontId="47"/>
  </si>
  <si>
    <t>Comparator 11  reference input pin</t>
    <phoneticPr fontId="47"/>
  </si>
  <si>
    <r>
      <t>Comparator</t>
    </r>
    <r>
      <rPr>
        <sz val="11"/>
        <color theme="1"/>
        <rFont val="ＭＳ Ｐゴシック"/>
        <family val="2"/>
        <charset val="128"/>
        <scheme val="minor"/>
      </rPr>
      <t xml:space="preserve"> </t>
    </r>
    <r>
      <rPr>
        <sz val="11"/>
        <color theme="1"/>
        <rFont val="ＭＳ Ｐゴシック"/>
        <family val="2"/>
        <charset val="128"/>
        <scheme val="minor"/>
      </rPr>
      <t>Output</t>
    </r>
    <phoneticPr fontId="47"/>
  </si>
  <si>
    <t>Comparator 00 output pin</t>
    <phoneticPr fontId="47"/>
  </si>
  <si>
    <t>CMP*_CMPOT*0</t>
  </si>
  <si>
    <t>Comparator *0 output pin</t>
  </si>
  <si>
    <t>Comparator 01 output pin</t>
  </si>
  <si>
    <t>CMP*_CMPOT*1</t>
  </si>
  <si>
    <t>Comparator *1 output pin</t>
  </si>
  <si>
    <r>
      <t xml:space="preserve">Comparator </t>
    </r>
    <r>
      <rPr>
        <sz val="11"/>
        <color theme="1"/>
        <rFont val="ＭＳ Ｐゴシック"/>
        <family val="2"/>
        <charset val="128"/>
        <scheme val="minor"/>
      </rPr>
      <t>1</t>
    </r>
    <r>
      <rPr>
        <sz val="11"/>
        <color theme="1"/>
        <rFont val="ＭＳ Ｐゴシック"/>
        <family val="2"/>
        <charset val="128"/>
        <scheme val="minor"/>
      </rPr>
      <t>0 output pin</t>
    </r>
    <phoneticPr fontId="47"/>
  </si>
  <si>
    <r>
      <t xml:space="preserve">Comparator </t>
    </r>
    <r>
      <rPr>
        <sz val="11"/>
        <color theme="1"/>
        <rFont val="ＭＳ Ｐゴシック"/>
        <family val="2"/>
        <charset val="128"/>
        <scheme val="minor"/>
      </rPr>
      <t>1</t>
    </r>
    <r>
      <rPr>
        <sz val="11"/>
        <color theme="1"/>
        <rFont val="ＭＳ Ｐゴシック"/>
        <family val="2"/>
        <charset val="128"/>
        <scheme val="minor"/>
      </rPr>
      <t>1 output pin</t>
    </r>
    <phoneticPr fontId="47"/>
  </si>
  <si>
    <t>D/A output</t>
  </si>
  <si>
    <t>D/A converter 0 output pin</t>
    <phoneticPr fontId="47"/>
  </si>
  <si>
    <t>DAC_DAOT0</t>
  </si>
  <si>
    <t>D/A converter 0 output pin</t>
  </si>
  <si>
    <t>General-Purpose I/O Port</t>
  </si>
  <si>
    <t>Table 9.1-2 The List of I/O Ports</t>
  </si>
  <si>
    <t>General-purpose input/output pin</t>
  </si>
  <si>
    <r>
      <t>P0.</t>
    </r>
    <r>
      <rPr>
        <sz val="11"/>
        <color theme="1"/>
        <rFont val="ＭＳ Ｐゴシック"/>
        <family val="2"/>
        <charset val="128"/>
        <scheme val="minor"/>
      </rPr>
      <t>*</t>
    </r>
    <phoneticPr fontId="47"/>
  </si>
  <si>
    <t>P0.*</t>
  </si>
  <si>
    <t>P1.*</t>
    <phoneticPr fontId="47"/>
  </si>
  <si>
    <t>Table 9.1-2 The List of I/O Ports</t>
    <phoneticPr fontId="47"/>
  </si>
  <si>
    <t>P2.*</t>
    <phoneticPr fontId="47"/>
  </si>
  <si>
    <t>P3.*</t>
  </si>
  <si>
    <t>General-purpose input pin</t>
    <phoneticPr fontId="47"/>
  </si>
  <si>
    <t>General-purpose input pin</t>
  </si>
  <si>
    <t>P6.*</t>
    <phoneticPr fontId="47"/>
  </si>
  <si>
    <t>P7.*</t>
  </si>
  <si>
    <t>P8.*</t>
  </si>
  <si>
    <t>P9.*</t>
  </si>
  <si>
    <t>PA.*</t>
    <phoneticPr fontId="47"/>
  </si>
  <si>
    <t>PB.*</t>
    <phoneticPr fontId="47"/>
  </si>
  <si>
    <t>PD.*</t>
    <phoneticPr fontId="47"/>
  </si>
  <si>
    <t>PE.*</t>
    <phoneticPr fontId="4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</si>
</sst>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indexed="8"/>
      <name val="新細明體"/>
      <family val="1"/>
      <charset val="136"/>
    </font>
    <font>
      <sz val="11"/>
      <color theme="1"/>
      <name val="ＭＳ Ｐゴシック"/>
      <family val="2"/>
      <charset val="128"/>
      <scheme val="minor"/>
    </font>
    <font>
      <sz val="11"/>
      <color theme="1"/>
      <name val="ＭＳ Ｐゴシック"/>
      <family val="2"/>
      <charset val="128"/>
      <scheme val="minor"/>
    </font>
    <font>
      <sz val="11"/>
      <color indexed="8"/>
      <name val="新細明體"/>
      <family val="1"/>
      <charset val="136"/>
    </font>
    <font>
      <sz val="9"/>
      <name val="新細明體"/>
      <family val="1"/>
      <charset val="136"/>
    </font>
    <font>
      <sz val="10"/>
      <name val="Arial"/>
      <family val="2"/>
    </font>
    <font>
      <sz val="12"/>
      <name val="新細明體"/>
      <family val="1"/>
      <charset val="136"/>
    </font>
    <font>
      <sz val="10"/>
      <name val="Verdana"/>
      <family val="2"/>
    </font>
    <font>
      <sz val="11"/>
      <color indexed="8"/>
      <name val="Arial Unicode MS"/>
      <family val="2"/>
      <charset val="136"/>
    </font>
    <font>
      <sz val="12"/>
      <color indexed="8"/>
      <name val="Arial Unicode MS"/>
      <family val="2"/>
      <charset val="136"/>
    </font>
    <font>
      <sz val="12"/>
      <name val="Arial Unicode MS"/>
      <family val="2"/>
      <charset val="136"/>
    </font>
    <font>
      <sz val="11"/>
      <color indexed="8"/>
      <name val="新細明體"/>
      <family val="1"/>
      <charset val="136"/>
    </font>
    <font>
      <sz val="11"/>
      <name val="Arial Unicode MS"/>
      <family val="2"/>
      <charset val="136"/>
    </font>
    <font>
      <strike/>
      <sz val="12"/>
      <name val="Arial Unicode MS"/>
      <family val="2"/>
      <charset val="136"/>
    </font>
    <font>
      <b/>
      <sz val="10"/>
      <name val="Calibri"/>
      <family val="2"/>
    </font>
    <font>
      <b/>
      <sz val="11"/>
      <color indexed="8"/>
      <name val="新細明體"/>
      <family val="1"/>
      <charset val="136"/>
    </font>
    <font>
      <sz val="11"/>
      <color theme="1"/>
      <name val="ＭＳ Ｐゴシック"/>
      <family val="1"/>
      <charset val="136"/>
      <scheme val="minor"/>
    </font>
    <font>
      <sz val="11"/>
      <color theme="0"/>
      <name val="ＭＳ Ｐゴシック"/>
      <family val="1"/>
      <charset val="136"/>
      <scheme val="minor"/>
    </font>
    <font>
      <sz val="11"/>
      <color rgb="FF9C0006"/>
      <name val="ＭＳ Ｐゴシック"/>
      <family val="1"/>
      <charset val="136"/>
      <scheme val="minor"/>
    </font>
    <font>
      <b/>
      <sz val="11"/>
      <color rgb="FFFA7D00"/>
      <name val="ＭＳ Ｐゴシック"/>
      <family val="1"/>
      <charset val="136"/>
      <scheme val="minor"/>
    </font>
    <font>
      <b/>
      <sz val="11"/>
      <color theme="0"/>
      <name val="ＭＳ Ｐゴシック"/>
      <family val="1"/>
      <charset val="136"/>
      <scheme val="minor"/>
    </font>
    <font>
      <i/>
      <sz val="11"/>
      <color rgb="FF7F7F7F"/>
      <name val="ＭＳ Ｐゴシック"/>
      <family val="1"/>
      <charset val="136"/>
      <scheme val="minor"/>
    </font>
    <font>
      <sz val="11"/>
      <color rgb="FF006100"/>
      <name val="ＭＳ Ｐゴシック"/>
      <family val="1"/>
      <charset val="136"/>
      <scheme val="minor"/>
    </font>
    <font>
      <b/>
      <sz val="15"/>
      <color theme="3"/>
      <name val="ＭＳ Ｐゴシック"/>
      <family val="1"/>
      <charset val="136"/>
      <scheme val="minor"/>
    </font>
    <font>
      <b/>
      <sz val="13"/>
      <color theme="3"/>
      <name val="ＭＳ Ｐゴシック"/>
      <family val="1"/>
      <charset val="136"/>
      <scheme val="minor"/>
    </font>
    <font>
      <b/>
      <sz val="11"/>
      <color theme="3"/>
      <name val="ＭＳ Ｐゴシック"/>
      <family val="1"/>
      <charset val="136"/>
      <scheme val="minor"/>
    </font>
    <font>
      <sz val="11"/>
      <color rgb="FF3F3F76"/>
      <name val="ＭＳ Ｐゴシック"/>
      <family val="1"/>
      <charset val="136"/>
      <scheme val="minor"/>
    </font>
    <font>
      <sz val="11"/>
      <color rgb="FFFA7D00"/>
      <name val="ＭＳ Ｐゴシック"/>
      <family val="1"/>
      <charset val="136"/>
      <scheme val="minor"/>
    </font>
    <font>
      <sz val="11"/>
      <color rgb="FF9C6500"/>
      <name val="ＭＳ Ｐゴシック"/>
      <family val="1"/>
      <charset val="136"/>
      <scheme val="minor"/>
    </font>
    <font>
      <sz val="12"/>
      <color theme="1"/>
      <name val="新細明體"/>
      <family val="1"/>
      <charset val="136"/>
    </font>
    <font>
      <b/>
      <sz val="11"/>
      <color rgb="FF3F3F3F"/>
      <name val="ＭＳ Ｐゴシック"/>
      <family val="1"/>
      <charset val="136"/>
      <scheme val="minor"/>
    </font>
    <font>
      <b/>
      <sz val="18"/>
      <color theme="3"/>
      <name val="ＭＳ Ｐゴシック"/>
      <family val="1"/>
      <charset val="136"/>
      <scheme val="major"/>
    </font>
    <font>
      <b/>
      <sz val="11"/>
      <color theme="1"/>
      <name val="ＭＳ Ｐゴシック"/>
      <family val="1"/>
      <charset val="136"/>
      <scheme val="minor"/>
    </font>
    <font>
      <sz val="11"/>
      <color rgb="FFFF0000"/>
      <name val="ＭＳ Ｐゴシック"/>
      <family val="1"/>
      <charset val="136"/>
      <scheme val="minor"/>
    </font>
    <font>
      <sz val="11"/>
      <color theme="1"/>
      <name val="Arial Unicode MS"/>
      <family val="2"/>
      <charset val="136"/>
    </font>
    <font>
      <sz val="8"/>
      <color rgb="FF000000"/>
      <name val="Arial"/>
      <family val="2"/>
    </font>
    <font>
      <sz val="8"/>
      <color theme="1"/>
      <name val="Arial"/>
      <family val="2"/>
    </font>
    <font>
      <b/>
      <sz val="11"/>
      <color theme="1"/>
      <name val="Calibri"/>
      <family val="2"/>
    </font>
    <font>
      <sz val="9"/>
      <color indexed="81"/>
      <name val="Tahoma"/>
      <family val="2"/>
    </font>
    <font>
      <b/>
      <sz val="12"/>
      <name val="Calibri"/>
      <family val="2"/>
    </font>
    <font>
      <sz val="12"/>
      <color indexed="8"/>
      <name val="新細明體"/>
      <family val="1"/>
      <charset val="136"/>
    </font>
    <font>
      <b/>
      <sz val="12"/>
      <color theme="1"/>
      <name val="Arial Unicode MS"/>
      <family val="2"/>
      <charset val="136"/>
    </font>
    <font>
      <sz val="12"/>
      <color theme="1"/>
      <name val="Arial Unicode MS"/>
      <family val="2"/>
      <charset val="136"/>
    </font>
    <font>
      <sz val="9"/>
      <color indexed="81"/>
      <name val="細明體"/>
      <family val="3"/>
      <charset val="136"/>
    </font>
    <font>
      <b/>
      <sz val="10"/>
      <color rgb="FF000000"/>
      <name val="Arial"/>
      <family val="2"/>
    </font>
    <font>
      <b/>
      <sz val="12"/>
      <color theme="1"/>
      <name val="Consolas"/>
      <family val="3"/>
    </font>
    <font>
      <b/>
      <sz val="9"/>
      <name val="Arial"/>
      <family val="2"/>
    </font>
    <font>
      <sz val="6"/>
      <name val="ＭＳ Ｐ明朝"/>
      <family val="1"/>
      <charset val="128"/>
    </font>
    <font>
      <b/>
      <sz val="8"/>
      <color indexed="8"/>
      <name val="Arial"/>
      <family val="2"/>
    </font>
    <font>
      <sz val="6"/>
      <name val="ＭＳ Ｐゴシック"/>
      <family val="2"/>
      <charset val="128"/>
      <scheme val="minor"/>
    </font>
    <font>
      <sz val="8"/>
      <name val="Arial"/>
      <family val="2"/>
    </font>
    <font>
      <sz val="11"/>
      <name val="新細明體"/>
      <family val="1"/>
      <charset val="136"/>
    </font>
    <font>
      <sz val="11"/>
      <color theme="1"/>
      <name val="ＭＳ Ｐゴシック"/>
      <family val="3"/>
      <charset val="128"/>
      <scheme val="minor"/>
    </font>
    <font>
      <sz val="11"/>
      <name val="ＭＳ Ｐゴシック"/>
      <family val="3"/>
      <charset val="128"/>
      <scheme val="minor"/>
    </font>
    <font>
      <sz val="6"/>
      <name val="ＭＳ Ｐゴシック"/>
      <family val="3"/>
      <charset val="128"/>
      <scheme val="minor"/>
    </font>
    <font>
      <sz val="6"/>
      <name val="ＭＳ Ｐゴシック"/>
      <family val="3"/>
      <charset val="128"/>
    </font>
    <font>
      <sz val="11"/>
      <color theme="1"/>
      <name val="ＭＳ Ｐゴシック"/>
      <family val="3"/>
      <charset val="128"/>
      <scheme val="major"/>
    </font>
    <font>
      <b/>
      <sz val="11"/>
      <color theme="1"/>
      <name val="ＭＳ Ｐゴシック"/>
      <family val="3"/>
      <charset val="128"/>
      <scheme val="major"/>
    </font>
    <font>
      <sz val="11"/>
      <color indexed="8"/>
      <name val="ＭＳ Ｐゴシック"/>
      <family val="3"/>
      <charset val="128"/>
      <scheme val="major"/>
    </font>
    <font>
      <b/>
      <sz val="9"/>
      <color indexed="81"/>
      <name val="MS P ゴシック"/>
      <family val="3"/>
      <charset val="128"/>
    </font>
  </fonts>
  <fills count="4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6D9F1"/>
        <bgColor indexed="64"/>
      </patternFill>
    </fill>
    <fill>
      <patternFill patternType="solid">
        <fgColor indexed="4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C000"/>
        <bgColor indexed="64"/>
      </patternFill>
    </fill>
    <fill>
      <patternFill patternType="solid">
        <fgColor indexed="17"/>
        <bgColor indexed="64"/>
      </patternFill>
    </fill>
    <fill>
      <patternFill patternType="solid">
        <fgColor indexed="50"/>
        <bgColor indexed="64"/>
      </patternFill>
    </fill>
    <fill>
      <patternFill patternType="solid">
        <fgColor theme="8" tint="0.59999389629810485"/>
        <bgColor indexed="64"/>
      </patternFill>
    </fill>
    <fill>
      <patternFill patternType="solid">
        <fgColor rgb="FFFFFFCC"/>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s>
  <cellStyleXfs count="56">
    <xf numFmtId="0" fontId="0" fillId="0" borderId="0">
      <alignment vertical="center"/>
    </xf>
    <xf numFmtId="0" fontId="16" fillId="2" borderId="0" applyNumberFormat="0" applyBorder="0" applyAlignment="0" applyProtection="0">
      <alignment vertical="center"/>
    </xf>
    <xf numFmtId="0" fontId="16" fillId="3" borderId="0" applyNumberFormat="0" applyBorder="0" applyAlignment="0" applyProtection="0">
      <alignment vertical="center"/>
    </xf>
    <xf numFmtId="0" fontId="16" fillId="4" borderId="0" applyNumberFormat="0" applyBorder="0" applyAlignment="0" applyProtection="0">
      <alignment vertical="center"/>
    </xf>
    <xf numFmtId="0" fontId="16" fillId="5" borderId="0" applyNumberFormat="0" applyBorder="0" applyAlignment="0" applyProtection="0">
      <alignment vertical="center"/>
    </xf>
    <xf numFmtId="0" fontId="16" fillId="6" borderId="0" applyNumberFormat="0" applyBorder="0" applyAlignment="0" applyProtection="0">
      <alignment vertical="center"/>
    </xf>
    <xf numFmtId="0" fontId="16" fillId="7" borderId="0" applyNumberFormat="0" applyBorder="0" applyAlignment="0" applyProtection="0">
      <alignment vertical="center"/>
    </xf>
    <xf numFmtId="0" fontId="16" fillId="8"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5" applyNumberFormat="0" applyAlignment="0" applyProtection="0">
      <alignment vertical="center"/>
    </xf>
    <xf numFmtId="0" fontId="20" fillId="28" borderId="6" applyNumberFormat="0" applyAlignment="0" applyProtection="0">
      <alignment vertical="center"/>
    </xf>
    <xf numFmtId="0" fontId="21" fillId="0" borderId="0" applyNumberFormat="0" applyFill="0" applyBorder="0" applyAlignment="0" applyProtection="0">
      <alignment vertical="center"/>
    </xf>
    <xf numFmtId="0" fontId="22" fillId="29"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30" borderId="5" applyNumberFormat="0" applyAlignment="0" applyProtection="0">
      <alignment vertical="center"/>
    </xf>
    <xf numFmtId="0" fontId="27" fillId="0" borderId="10" applyNumberFormat="0" applyFill="0" applyAlignment="0" applyProtection="0">
      <alignment vertical="center"/>
    </xf>
    <xf numFmtId="0" fontId="28" fillId="31" borderId="0" applyNumberFormat="0" applyBorder="0" applyAlignment="0" applyProtection="0">
      <alignment vertical="center"/>
    </xf>
    <xf numFmtId="0" fontId="6" fillId="0" borderId="0">
      <alignment vertical="center"/>
    </xf>
    <xf numFmtId="0" fontId="3" fillId="0" borderId="0">
      <alignment vertical="center"/>
    </xf>
    <xf numFmtId="0" fontId="6" fillId="0" borderId="0">
      <alignment vertical="center"/>
    </xf>
    <xf numFmtId="0" fontId="5" fillId="0" borderId="0" applyNumberFormat="0" applyFont="0" applyFill="0" applyBorder="0" applyAlignment="0" applyProtection="0"/>
    <xf numFmtId="0" fontId="29" fillId="0" borderId="0">
      <alignment vertical="center"/>
    </xf>
    <xf numFmtId="0" fontId="5" fillId="0" borderId="0" applyNumberFormat="0" applyFont="0" applyFill="0" applyBorder="0" applyAlignment="0" applyProtection="0"/>
    <xf numFmtId="0" fontId="5" fillId="0" borderId="0" applyNumberFormat="0" applyFont="0" applyFill="0" applyBorder="0" applyAlignment="0" applyProtection="0"/>
    <xf numFmtId="0" fontId="16" fillId="0" borderId="0">
      <alignment vertical="center"/>
    </xf>
    <xf numFmtId="0" fontId="16" fillId="0" borderId="0">
      <alignment vertical="center"/>
    </xf>
    <xf numFmtId="0" fontId="11" fillId="32" borderId="11" applyNumberFormat="0" applyFont="0" applyAlignment="0" applyProtection="0">
      <alignment vertical="center"/>
    </xf>
    <xf numFmtId="0" fontId="30" fillId="27" borderId="12" applyNumberFormat="0" applyAlignment="0" applyProtection="0">
      <alignment vertical="center"/>
    </xf>
    <xf numFmtId="0" fontId="31" fillId="0" borderId="0" applyNumberFormat="0" applyFill="0" applyBorder="0" applyAlignment="0" applyProtection="0">
      <alignment vertical="center"/>
    </xf>
    <xf numFmtId="0" fontId="32" fillId="0" borderId="13" applyNumberFormat="0" applyFill="0" applyAlignment="0" applyProtection="0">
      <alignment vertical="center"/>
    </xf>
    <xf numFmtId="0" fontId="33" fillId="0" borderId="0" applyNumberFormat="0" applyFill="0" applyBorder="0" applyAlignment="0" applyProtection="0">
      <alignment vertical="center"/>
    </xf>
    <xf numFmtId="0" fontId="16" fillId="0" borderId="0"/>
    <xf numFmtId="0" fontId="16" fillId="0" borderId="0">
      <alignment vertical="center"/>
    </xf>
    <xf numFmtId="0" fontId="6" fillId="0" borderId="0">
      <alignment vertical="center"/>
    </xf>
    <xf numFmtId="0" fontId="2" fillId="0" borderId="0">
      <alignment vertical="center"/>
    </xf>
    <xf numFmtId="0" fontId="3" fillId="0" borderId="0">
      <alignment vertical="center"/>
    </xf>
  </cellStyleXfs>
  <cellXfs count="183">
    <xf numFmtId="0" fontId="0" fillId="0" borderId="0" xfId="0">
      <alignment vertical="center"/>
    </xf>
    <xf numFmtId="0" fontId="10" fillId="33" borderId="1" xfId="0" applyFont="1" applyFill="1" applyBorder="1">
      <alignment vertical="center"/>
    </xf>
    <xf numFmtId="0" fontId="12" fillId="33" borderId="1" xfId="0" applyFont="1" applyFill="1" applyBorder="1">
      <alignment vertical="center"/>
    </xf>
    <xf numFmtId="0" fontId="8" fillId="0" borderId="1" xfId="0" applyFont="1" applyBorder="1">
      <alignment vertical="center"/>
    </xf>
    <xf numFmtId="0" fontId="8" fillId="33" borderId="1" xfId="0" applyFont="1" applyFill="1" applyBorder="1">
      <alignment vertical="center"/>
    </xf>
    <xf numFmtId="0" fontId="7" fillId="33" borderId="1" xfId="0" applyFont="1" applyFill="1" applyBorder="1">
      <alignment vertical="center"/>
    </xf>
    <xf numFmtId="0" fontId="10" fillId="33" borderId="3" xfId="0" applyFont="1" applyFill="1" applyBorder="1">
      <alignment vertical="center"/>
    </xf>
    <xf numFmtId="0" fontId="10" fillId="33" borderId="1" xfId="0" applyFont="1" applyFill="1" applyBorder="1" applyAlignment="1">
      <alignment horizontal="center" vertical="center"/>
    </xf>
    <xf numFmtId="0" fontId="10" fillId="33" borderId="3" xfId="0" applyFont="1" applyFill="1" applyBorder="1" applyAlignment="1">
      <alignment horizontal="center" vertical="center"/>
    </xf>
    <xf numFmtId="0" fontId="14" fillId="0" borderId="1" xfId="40" applyFont="1" applyBorder="1" applyAlignment="1">
      <alignment horizontal="center"/>
    </xf>
    <xf numFmtId="0" fontId="13" fillId="33" borderId="1" xfId="0" applyFont="1" applyFill="1" applyBorder="1" applyAlignment="1">
      <alignment horizontal="center" vertical="center"/>
    </xf>
    <xf numFmtId="0" fontId="40" fillId="0" borderId="0" xfId="0" applyFont="1">
      <alignment vertical="center"/>
    </xf>
    <xf numFmtId="0" fontId="42" fillId="33" borderId="1" xfId="0" applyFont="1" applyFill="1" applyBorder="1">
      <alignment vertical="center"/>
    </xf>
    <xf numFmtId="0" fontId="42" fillId="33" borderId="2" xfId="0" applyFont="1" applyFill="1" applyBorder="1">
      <alignment vertical="center"/>
    </xf>
    <xf numFmtId="0" fontId="42" fillId="33" borderId="4" xfId="0" applyFont="1" applyFill="1" applyBorder="1">
      <alignment vertical="center"/>
    </xf>
    <xf numFmtId="0" fontId="34" fillId="33" borderId="2" xfId="0" applyFont="1" applyFill="1" applyBorder="1">
      <alignment vertical="center"/>
    </xf>
    <xf numFmtId="0" fontId="42" fillId="33" borderId="0" xfId="0" applyFont="1" applyFill="1">
      <alignment vertical="center"/>
    </xf>
    <xf numFmtId="0" fontId="34" fillId="0" borderId="2" xfId="0" applyFont="1" applyBorder="1">
      <alignment vertical="center"/>
    </xf>
    <xf numFmtId="0" fontId="10" fillId="0" borderId="1" xfId="0" applyFont="1" applyBorder="1">
      <alignment vertical="center"/>
    </xf>
    <xf numFmtId="0" fontId="12" fillId="0" borderId="1" xfId="0" applyFont="1" applyBorder="1">
      <alignment vertical="center"/>
    </xf>
    <xf numFmtId="0" fontId="44" fillId="37" borderId="15" xfId="51" applyFont="1" applyFill="1" applyBorder="1" applyAlignment="1">
      <alignment vertical="center" wrapText="1"/>
    </xf>
    <xf numFmtId="0" fontId="44" fillId="37" borderId="18" xfId="51" applyFont="1" applyFill="1" applyBorder="1" applyAlignment="1">
      <alignment vertical="center" wrapText="1"/>
    </xf>
    <xf numFmtId="0" fontId="35" fillId="0" borderId="19" xfId="51" applyFont="1" applyBorder="1" applyAlignment="1">
      <alignment vertical="center" wrapText="1"/>
    </xf>
    <xf numFmtId="0" fontId="44" fillId="37" borderId="20" xfId="51" applyFont="1" applyFill="1" applyBorder="1" applyAlignment="1">
      <alignment vertical="center" wrapText="1"/>
    </xf>
    <xf numFmtId="0" fontId="35" fillId="0" borderId="21" xfId="51" applyFont="1" applyBorder="1" applyAlignment="1">
      <alignment vertical="center" wrapText="1"/>
    </xf>
    <xf numFmtId="0" fontId="35" fillId="0" borderId="22" xfId="51" applyFont="1" applyBorder="1" applyAlignment="1">
      <alignment vertical="center" wrapText="1"/>
    </xf>
    <xf numFmtId="0" fontId="35" fillId="0" borderId="20" xfId="51" applyFont="1" applyBorder="1" applyAlignment="1">
      <alignment vertical="center" wrapText="1"/>
    </xf>
    <xf numFmtId="0" fontId="37" fillId="0" borderId="23" xfId="51" applyFont="1" applyBorder="1" applyAlignment="1">
      <alignment horizontal="center" vertical="center" wrapText="1"/>
    </xf>
    <xf numFmtId="0" fontId="37" fillId="37" borderId="24" xfId="51" applyFont="1" applyFill="1" applyBorder="1" applyAlignment="1">
      <alignment horizontal="center" vertical="center" wrapText="1"/>
    </xf>
    <xf numFmtId="0" fontId="37" fillId="37" borderId="25" xfId="51" applyFont="1" applyFill="1" applyBorder="1" applyAlignment="1">
      <alignment horizontal="center" vertical="center" wrapText="1"/>
    </xf>
    <xf numFmtId="0" fontId="37" fillId="40" borderId="17" xfId="51" applyFont="1" applyFill="1" applyBorder="1" applyAlignment="1">
      <alignment horizontal="center" vertical="center" wrapText="1"/>
    </xf>
    <xf numFmtId="0" fontId="37" fillId="41" borderId="1" xfId="51" applyFont="1" applyFill="1" applyBorder="1" applyAlignment="1">
      <alignment horizontal="center" vertical="center" wrapText="1"/>
    </xf>
    <xf numFmtId="0" fontId="37" fillId="39" borderId="1" xfId="51" applyFont="1" applyFill="1" applyBorder="1" applyAlignment="1">
      <alignment horizontal="center" vertical="center" wrapText="1"/>
    </xf>
    <xf numFmtId="0" fontId="37" fillId="0" borderId="15" xfId="51" applyFont="1" applyBorder="1" applyAlignment="1">
      <alignment horizontal="center" vertical="center" wrapText="1"/>
    </xf>
    <xf numFmtId="0" fontId="37" fillId="40" borderId="16" xfId="51" applyFont="1" applyFill="1" applyBorder="1" applyAlignment="1">
      <alignment horizontal="center" vertical="center" wrapText="1"/>
    </xf>
    <xf numFmtId="0" fontId="37" fillId="0" borderId="18" xfId="51" applyFont="1" applyBorder="1" applyAlignment="1">
      <alignment horizontal="center" vertical="center" wrapText="1"/>
    </xf>
    <xf numFmtId="0" fontId="37" fillId="41" borderId="19" xfId="51" applyFont="1" applyFill="1" applyBorder="1" applyAlignment="1">
      <alignment horizontal="center" vertical="center" wrapText="1"/>
    </xf>
    <xf numFmtId="0" fontId="37" fillId="39" borderId="19" xfId="51" applyFont="1" applyFill="1" applyBorder="1" applyAlignment="1">
      <alignment horizontal="center" vertical="center" wrapText="1"/>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45" fillId="38" borderId="15" xfId="53" applyFont="1" applyFill="1" applyBorder="1" applyAlignment="1">
      <alignment horizontal="center" vertical="center" wrapText="1"/>
    </xf>
    <xf numFmtId="0" fontId="45" fillId="38" borderId="16" xfId="53" applyFont="1" applyFill="1" applyBorder="1" applyAlignment="1">
      <alignment horizontal="center" vertical="center" wrapText="1"/>
    </xf>
    <xf numFmtId="0" fontId="45" fillId="38" borderId="17" xfId="53" applyFont="1" applyFill="1" applyBorder="1" applyAlignment="1">
      <alignment horizontal="center" vertical="center" wrapText="1"/>
    </xf>
    <xf numFmtId="0" fontId="10" fillId="33" borderId="26" xfId="0" applyFont="1" applyFill="1" applyBorder="1">
      <alignment vertical="center"/>
    </xf>
    <xf numFmtId="0" fontId="8" fillId="0" borderId="26" xfId="0" applyFont="1" applyBorder="1">
      <alignment vertical="center"/>
    </xf>
    <xf numFmtId="0" fontId="42" fillId="33" borderId="26" xfId="0" applyFont="1" applyFill="1" applyBorder="1">
      <alignment vertical="center"/>
    </xf>
    <xf numFmtId="0" fontId="10" fillId="33" borderId="4" xfId="0" applyFont="1" applyFill="1" applyBorder="1">
      <alignment vertical="center"/>
    </xf>
    <xf numFmtId="0" fontId="12" fillId="0" borderId="26" xfId="0" applyFont="1" applyBorder="1">
      <alignment vertical="center"/>
    </xf>
    <xf numFmtId="0" fontId="14" fillId="0" borderId="26" xfId="40" applyFont="1" applyBorder="1" applyAlignment="1">
      <alignment horizontal="center"/>
    </xf>
    <xf numFmtId="0" fontId="39" fillId="39" borderId="23" xfId="40" applyFont="1" applyFill="1" applyBorder="1" applyAlignment="1">
      <alignment horizontal="center" vertical="center" wrapText="1"/>
    </xf>
    <xf numFmtId="0" fontId="39" fillId="39" borderId="24" xfId="40" applyFont="1" applyFill="1" applyBorder="1" applyAlignment="1">
      <alignment horizontal="center" vertical="center" wrapText="1"/>
    </xf>
    <xf numFmtId="0" fontId="41" fillId="34" borderId="24" xfId="0" applyFont="1" applyFill="1" applyBorder="1" applyAlignment="1">
      <alignment horizontal="center" vertical="center"/>
    </xf>
    <xf numFmtId="0" fontId="9" fillId="40" borderId="24" xfId="0" applyFont="1" applyFill="1" applyBorder="1">
      <alignment vertical="center"/>
    </xf>
    <xf numFmtId="0" fontId="10" fillId="40" borderId="24" xfId="0" applyFont="1" applyFill="1" applyBorder="1">
      <alignment vertical="center"/>
    </xf>
    <xf numFmtId="0" fontId="9" fillId="0" borderId="24" xfId="0" applyFont="1" applyBorder="1">
      <alignment vertical="center"/>
    </xf>
    <xf numFmtId="0" fontId="10" fillId="33" borderId="24" xfId="0" applyFont="1" applyFill="1" applyBorder="1">
      <alignment vertical="center"/>
    </xf>
    <xf numFmtId="0" fontId="10" fillId="36" borderId="24" xfId="0" applyFont="1" applyFill="1" applyBorder="1">
      <alignment vertical="center"/>
    </xf>
    <xf numFmtId="0" fontId="10" fillId="36" borderId="25" xfId="0" applyFont="1" applyFill="1" applyBorder="1">
      <alignment vertical="center"/>
    </xf>
    <xf numFmtId="0" fontId="46" fillId="42" borderId="1" xfId="40" applyNumberFormat="1" applyFont="1" applyFill="1" applyBorder="1" applyAlignment="1">
      <alignment horizontal="center"/>
    </xf>
    <xf numFmtId="0" fontId="46" fillId="43" borderId="1" xfId="40" applyNumberFormat="1" applyFont="1" applyFill="1" applyBorder="1" applyAlignment="1">
      <alignment horizontal="center"/>
    </xf>
    <xf numFmtId="0" fontId="9" fillId="40" borderId="27" xfId="0" applyFont="1" applyFill="1" applyBorder="1">
      <alignment vertical="center"/>
    </xf>
    <xf numFmtId="0" fontId="10" fillId="33" borderId="26" xfId="0" applyFont="1" applyFill="1" applyBorder="1" applyAlignment="1">
      <alignment horizontal="center" vertical="center"/>
    </xf>
    <xf numFmtId="0" fontId="0" fillId="0" borderId="1" xfId="0" applyBorder="1">
      <alignment vertical="center"/>
    </xf>
    <xf numFmtId="0" fontId="0" fillId="0" borderId="28" xfId="0" applyBorder="1">
      <alignment vertical="center"/>
    </xf>
    <xf numFmtId="0" fontId="0" fillId="0" borderId="29" xfId="0" applyBorder="1">
      <alignment vertical="center"/>
    </xf>
    <xf numFmtId="0" fontId="15" fillId="35" borderId="23" xfId="0" applyFont="1" applyFill="1" applyBorder="1">
      <alignment vertical="center"/>
    </xf>
    <xf numFmtId="0" fontId="15" fillId="44" borderId="25" xfId="0" applyFont="1" applyFill="1" applyBorder="1">
      <alignment vertical="center"/>
    </xf>
    <xf numFmtId="0" fontId="10" fillId="33" borderId="1" xfId="0" applyFont="1" applyFill="1" applyBorder="1" applyAlignment="1">
      <alignment horizontal="left" vertical="center"/>
    </xf>
    <xf numFmtId="0" fontId="37" fillId="37" borderId="24" xfId="51" applyFont="1" applyFill="1" applyBorder="1" applyAlignment="1">
      <alignment horizontal="left" vertical="center"/>
    </xf>
    <xf numFmtId="0" fontId="9" fillId="41" borderId="24" xfId="0" applyFont="1" applyFill="1" applyBorder="1">
      <alignment vertical="center"/>
    </xf>
    <xf numFmtId="0" fontId="10" fillId="0" borderId="26" xfId="0" applyFont="1" applyBorder="1">
      <alignment vertical="center"/>
    </xf>
    <xf numFmtId="0" fontId="48" fillId="0" borderId="0" xfId="51" applyFont="1" applyAlignment="1">
      <alignment vertical="center" wrapText="1"/>
    </xf>
    <xf numFmtId="0" fontId="2" fillId="0" borderId="0" xfId="54">
      <alignment vertical="center"/>
    </xf>
    <xf numFmtId="0" fontId="2" fillId="0" borderId="26" xfId="54" applyBorder="1">
      <alignment vertical="center"/>
    </xf>
    <xf numFmtId="0" fontId="2" fillId="0" borderId="28" xfId="54" applyBorder="1">
      <alignment vertical="center"/>
    </xf>
    <xf numFmtId="0" fontId="2" fillId="0" borderId="21" xfId="54" applyBorder="1">
      <alignment vertical="center"/>
    </xf>
    <xf numFmtId="0" fontId="2" fillId="0" borderId="22" xfId="54" applyBorder="1">
      <alignment vertical="center"/>
    </xf>
    <xf numFmtId="0" fontId="2" fillId="0" borderId="20" xfId="54" applyBorder="1">
      <alignment vertical="center"/>
    </xf>
    <xf numFmtId="0" fontId="2" fillId="0" borderId="19" xfId="54" applyBorder="1">
      <alignment vertical="center"/>
    </xf>
    <xf numFmtId="0" fontId="50" fillId="34" borderId="1" xfId="51" applyFont="1" applyFill="1" applyBorder="1" applyAlignment="1">
      <alignment vertical="center" wrapText="1"/>
    </xf>
    <xf numFmtId="0" fontId="50" fillId="0" borderId="1" xfId="51" applyFont="1" applyBorder="1" applyAlignment="1">
      <alignment vertical="center" wrapText="1"/>
    </xf>
    <xf numFmtId="0" fontId="50" fillId="34" borderId="21" xfId="51" applyFont="1" applyFill="1" applyBorder="1" applyAlignment="1">
      <alignment vertical="center" wrapText="1"/>
    </xf>
    <xf numFmtId="0" fontId="50" fillId="0" borderId="21" xfId="51" applyFont="1" applyBorder="1" applyAlignment="1">
      <alignment vertical="center" wrapText="1"/>
    </xf>
    <xf numFmtId="0" fontId="10" fillId="0" borderId="26" xfId="0" applyFont="1" applyBorder="1" applyAlignment="1">
      <alignment horizontal="center" vertical="center"/>
    </xf>
    <xf numFmtId="0" fontId="51" fillId="0" borderId="0" xfId="0" applyFont="1">
      <alignment vertical="center"/>
    </xf>
    <xf numFmtId="0" fontId="10" fillId="0" borderId="1" xfId="0" applyFont="1" applyBorder="1" applyAlignment="1">
      <alignment horizontal="center" vertical="center"/>
    </xf>
    <xf numFmtId="0" fontId="15" fillId="35" borderId="39" xfId="0" applyFont="1" applyFill="1" applyBorder="1">
      <alignment vertical="center"/>
    </xf>
    <xf numFmtId="0" fontId="15" fillId="36" borderId="40" xfId="0" applyFont="1" applyFill="1" applyBorder="1">
      <alignment vertical="center"/>
    </xf>
    <xf numFmtId="0" fontId="15" fillId="44" borderId="24" xfId="0" applyFont="1" applyFill="1" applyBorder="1">
      <alignment vertical="center"/>
    </xf>
    <xf numFmtId="0" fontId="0" fillId="0" borderId="26" xfId="0" applyBorder="1">
      <alignment vertical="center"/>
    </xf>
    <xf numFmtId="0" fontId="53" fillId="0" borderId="29" xfId="54" applyFont="1" applyBorder="1">
      <alignment vertical="center"/>
    </xf>
    <xf numFmtId="0" fontId="53" fillId="0" borderId="28" xfId="54" applyFont="1" applyBorder="1">
      <alignment vertical="center"/>
    </xf>
    <xf numFmtId="0" fontId="53" fillId="0" borderId="26" xfId="54" applyFont="1" applyBorder="1">
      <alignment vertical="center"/>
    </xf>
    <xf numFmtId="0" fontId="52" fillId="0" borderId="29" xfId="54" applyFont="1" applyBorder="1">
      <alignment vertical="center"/>
    </xf>
    <xf numFmtId="0" fontId="53" fillId="0" borderId="17" xfId="54" applyFont="1" applyBorder="1">
      <alignment vertical="center"/>
    </xf>
    <xf numFmtId="0" fontId="3" fillId="0" borderId="0" xfId="55">
      <alignment vertical="center"/>
    </xf>
    <xf numFmtId="0" fontId="36" fillId="0" borderId="35" xfId="55" applyFont="1" applyBorder="1" applyAlignment="1">
      <alignment horizontal="justify" vertical="center" wrapText="1"/>
    </xf>
    <xf numFmtId="0" fontId="36" fillId="0" borderId="22" xfId="55" applyFont="1" applyBorder="1" applyAlignment="1">
      <alignment horizontal="justify" vertical="center" wrapText="1"/>
    </xf>
    <xf numFmtId="0" fontId="56" fillId="0" borderId="0" xfId="54" applyFont="1">
      <alignment vertical="center"/>
    </xf>
    <xf numFmtId="20" fontId="56" fillId="0" borderId="0" xfId="54" applyNumberFormat="1" applyFont="1">
      <alignment vertical="center"/>
    </xf>
    <xf numFmtId="0" fontId="56" fillId="0" borderId="26" xfId="54" applyFont="1" applyBorder="1">
      <alignment vertical="center"/>
    </xf>
    <xf numFmtId="0" fontId="56" fillId="0" borderId="29" xfId="54" applyFont="1" applyBorder="1">
      <alignment vertical="center"/>
    </xf>
    <xf numFmtId="0" fontId="56" fillId="0" borderId="28" xfId="54" applyFont="1" applyBorder="1">
      <alignment vertical="center"/>
    </xf>
    <xf numFmtId="0" fontId="56" fillId="0" borderId="19" xfId="54" applyFont="1" applyBorder="1">
      <alignment vertical="center"/>
    </xf>
    <xf numFmtId="0" fontId="56" fillId="0" borderId="18" xfId="54" applyFont="1" applyBorder="1">
      <alignment vertical="center"/>
    </xf>
    <xf numFmtId="0" fontId="56" fillId="0" borderId="1" xfId="54" applyFont="1" applyBorder="1">
      <alignment vertical="center"/>
    </xf>
    <xf numFmtId="0" fontId="56" fillId="0" borderId="21" xfId="54" applyFont="1" applyBorder="1">
      <alignment vertical="center"/>
    </xf>
    <xf numFmtId="0" fontId="58" fillId="0" borderId="19" xfId="0" applyFont="1" applyBorder="1" applyAlignment="1"/>
    <xf numFmtId="0" fontId="58" fillId="0" borderId="22" xfId="0" applyFont="1" applyBorder="1" applyAlignment="1"/>
    <xf numFmtId="0" fontId="0" fillId="0" borderId="15" xfId="0" applyBorder="1">
      <alignment vertical="center"/>
    </xf>
    <xf numFmtId="0" fontId="0" fillId="0" borderId="17" xfId="0" applyBorder="1">
      <alignment vertical="center"/>
    </xf>
    <xf numFmtId="0" fontId="53" fillId="0" borderId="19" xfId="54" applyFont="1" applyBorder="1">
      <alignment vertical="center"/>
    </xf>
    <xf numFmtId="0" fontId="53" fillId="0" borderId="29" xfId="54" applyFont="1" applyBorder="1" applyAlignment="1">
      <alignment vertical="center" wrapText="1"/>
    </xf>
    <xf numFmtId="0" fontId="2" fillId="0" borderId="1" xfId="54" applyBorder="1">
      <alignment vertical="center"/>
    </xf>
    <xf numFmtId="0" fontId="10" fillId="34" borderId="1" xfId="0" applyFont="1" applyFill="1" applyBorder="1" applyAlignment="1">
      <alignment horizontal="left" vertical="center"/>
    </xf>
    <xf numFmtId="0" fontId="10" fillId="35" borderId="1" xfId="0" applyFont="1" applyFill="1" applyBorder="1" applyAlignment="1">
      <alignment horizontal="left" vertical="center"/>
    </xf>
    <xf numFmtId="0" fontId="10" fillId="35" borderId="1" xfId="0" applyFont="1" applyFill="1" applyBorder="1" applyAlignment="1">
      <alignment horizontal="left" vertical="center" wrapText="1"/>
    </xf>
    <xf numFmtId="0" fontId="56" fillId="0" borderId="20" xfId="54" applyFont="1" applyBorder="1">
      <alignment vertical="center"/>
    </xf>
    <xf numFmtId="0" fontId="56" fillId="0" borderId="48" xfId="54" applyFont="1" applyBorder="1">
      <alignment vertical="center"/>
    </xf>
    <xf numFmtId="0" fontId="9" fillId="41" borderId="49" xfId="0" applyFont="1" applyFill="1" applyBorder="1">
      <alignment vertical="center"/>
    </xf>
    <xf numFmtId="0" fontId="50" fillId="0" borderId="34" xfId="0" applyFont="1" applyBorder="1" applyAlignment="1">
      <alignment horizontal="justify" vertical="center" wrapText="1"/>
    </xf>
    <xf numFmtId="0" fontId="36" fillId="0" borderId="34" xfId="0" applyFont="1" applyBorder="1" applyAlignment="1">
      <alignment horizontal="justify" vertical="center" wrapText="1"/>
    </xf>
    <xf numFmtId="0" fontId="2" fillId="0" borderId="46" xfId="54" applyBorder="1">
      <alignment vertical="center"/>
    </xf>
    <xf numFmtId="0" fontId="1" fillId="0" borderId="26" xfId="54" applyFont="1" applyBorder="1">
      <alignment vertical="center"/>
    </xf>
    <xf numFmtId="0" fontId="36" fillId="0" borderId="21" xfId="0" applyFont="1" applyBorder="1" applyAlignment="1">
      <alignment horizontal="justify" vertical="center" wrapText="1"/>
    </xf>
    <xf numFmtId="0" fontId="1" fillId="0" borderId="28" xfId="54" applyFont="1" applyBorder="1">
      <alignment vertical="center"/>
    </xf>
    <xf numFmtId="0" fontId="0" fillId="0" borderId="50" xfId="0" applyBorder="1">
      <alignment vertical="center"/>
    </xf>
    <xf numFmtId="0" fontId="44" fillId="37" borderId="31" xfId="51" applyFont="1" applyFill="1" applyBorder="1" applyAlignment="1">
      <alignment horizontal="center" vertical="center" wrapText="1"/>
    </xf>
    <xf numFmtId="0" fontId="44" fillId="37" borderId="32" xfId="51" applyFont="1" applyFill="1" applyBorder="1" applyAlignment="1">
      <alignment horizontal="center" vertical="center" wrapText="1"/>
    </xf>
    <xf numFmtId="0" fontId="44" fillId="37" borderId="16" xfId="51" applyFont="1" applyFill="1" applyBorder="1" applyAlignment="1">
      <alignment horizontal="center" vertical="center" wrapText="1"/>
    </xf>
    <xf numFmtId="0" fontId="44" fillId="37" borderId="17" xfId="51" applyFont="1" applyFill="1" applyBorder="1" applyAlignment="1">
      <alignment horizontal="center" vertical="center" wrapText="1"/>
    </xf>
    <xf numFmtId="0" fontId="37" fillId="0" borderId="33" xfId="51" applyFont="1" applyBorder="1" applyAlignment="1">
      <alignment horizontal="center" vertical="center" wrapText="1"/>
    </xf>
    <xf numFmtId="0" fontId="37" fillId="0" borderId="36" xfId="51" applyFont="1" applyBorder="1" applyAlignment="1">
      <alignment horizontal="center" vertical="center" wrapText="1"/>
    </xf>
    <xf numFmtId="0" fontId="37" fillId="0" borderId="47" xfId="51" applyFont="1" applyBorder="1" applyAlignment="1">
      <alignment horizontal="center" vertical="center" wrapText="1"/>
    </xf>
    <xf numFmtId="0" fontId="56" fillId="0" borderId="33" xfId="54" applyFont="1" applyBorder="1" applyAlignment="1">
      <alignment vertical="center" wrapText="1"/>
    </xf>
    <xf numFmtId="0" fontId="56" fillId="0" borderId="36" xfId="54" applyFont="1" applyBorder="1" applyAlignment="1">
      <alignment vertical="center" wrapText="1"/>
    </xf>
    <xf numFmtId="0" fontId="58" fillId="33" borderId="18" xfId="0" applyFont="1" applyFill="1" applyBorder="1" applyAlignment="1">
      <alignment horizontal="left" vertical="center"/>
    </xf>
    <xf numFmtId="0" fontId="56" fillId="0" borderId="18" xfId="54" applyFont="1" applyBorder="1" applyAlignment="1">
      <alignment vertical="center" wrapText="1"/>
    </xf>
    <xf numFmtId="0" fontId="56" fillId="0" borderId="33" xfId="54" applyFont="1" applyBorder="1" applyAlignment="1">
      <alignment horizontal="left" vertical="center" wrapText="1"/>
    </xf>
    <xf numFmtId="0" fontId="56" fillId="0" borderId="36" xfId="54" applyFont="1" applyBorder="1" applyAlignment="1">
      <alignment horizontal="left" vertical="center" wrapText="1"/>
    </xf>
    <xf numFmtId="0" fontId="56" fillId="0" borderId="28" xfId="54" applyFont="1" applyBorder="1" applyAlignment="1">
      <alignment horizontal="left" vertical="center" wrapText="1"/>
    </xf>
    <xf numFmtId="0" fontId="9" fillId="41" borderId="49" xfId="0" applyFont="1" applyFill="1" applyBorder="1" applyAlignment="1">
      <alignment vertical="center"/>
    </xf>
    <xf numFmtId="0" fontId="9" fillId="41" borderId="27" xfId="0" applyFont="1" applyFill="1" applyBorder="1" applyAlignment="1">
      <alignment vertical="center"/>
    </xf>
    <xf numFmtId="0" fontId="57" fillId="45" borderId="15" xfId="54" applyFont="1" applyFill="1" applyBorder="1" applyAlignment="1">
      <alignment vertical="center"/>
    </xf>
    <xf numFmtId="0" fontId="57" fillId="45" borderId="16" xfId="54" applyFont="1" applyFill="1" applyBorder="1" applyAlignment="1">
      <alignment vertical="center"/>
    </xf>
    <xf numFmtId="0" fontId="57" fillId="45" borderId="17" xfId="54" applyFont="1" applyFill="1" applyBorder="1" applyAlignment="1">
      <alignment vertical="center"/>
    </xf>
    <xf numFmtId="0" fontId="57" fillId="45" borderId="38" xfId="54" applyFont="1" applyFill="1" applyBorder="1" applyAlignment="1">
      <alignment vertical="center"/>
    </xf>
    <xf numFmtId="0" fontId="57" fillId="45" borderId="20" xfId="54" applyFont="1" applyFill="1" applyBorder="1" applyAlignment="1">
      <alignment vertical="center"/>
    </xf>
    <xf numFmtId="0" fontId="57" fillId="45" borderId="21" xfId="54" applyFont="1" applyFill="1" applyBorder="1" applyAlignment="1">
      <alignment vertical="center"/>
    </xf>
    <xf numFmtId="0" fontId="57" fillId="45" borderId="22" xfId="54" applyFont="1" applyFill="1" applyBorder="1" applyAlignment="1">
      <alignment vertical="center"/>
    </xf>
    <xf numFmtId="0" fontId="57" fillId="45" borderId="37" xfId="54" applyFont="1" applyFill="1" applyBorder="1" applyAlignment="1">
      <alignment vertical="center"/>
    </xf>
    <xf numFmtId="0" fontId="56" fillId="0" borderId="28" xfId="54" applyFont="1" applyBorder="1" applyAlignment="1">
      <alignment vertical="center"/>
    </xf>
    <xf numFmtId="0" fontId="56" fillId="0" borderId="18" xfId="54" applyFont="1" applyBorder="1" applyAlignment="1">
      <alignment vertical="center"/>
    </xf>
    <xf numFmtId="0" fontId="56" fillId="0" borderId="33" xfId="54" applyFont="1" applyBorder="1" applyAlignment="1">
      <alignment vertical="center"/>
    </xf>
    <xf numFmtId="0" fontId="56" fillId="0" borderId="36" xfId="54" applyFont="1" applyBorder="1" applyAlignment="1">
      <alignment vertical="center"/>
    </xf>
    <xf numFmtId="0" fontId="56" fillId="0" borderId="47" xfId="54" applyFont="1" applyBorder="1" applyAlignment="1">
      <alignment vertical="center"/>
    </xf>
    <xf numFmtId="0" fontId="2" fillId="0" borderId="14" xfId="54" applyBorder="1" applyAlignment="1">
      <alignment vertical="center"/>
    </xf>
    <xf numFmtId="0" fontId="1" fillId="0" borderId="42" xfId="54" applyFont="1" applyBorder="1" applyAlignment="1">
      <alignment vertical="center"/>
    </xf>
    <xf numFmtId="0" fontId="1" fillId="0" borderId="30" xfId="54" applyFont="1" applyBorder="1" applyAlignment="1">
      <alignment vertical="center"/>
    </xf>
    <xf numFmtId="0" fontId="2" fillId="0" borderId="30" xfId="54" applyBorder="1" applyAlignment="1">
      <alignment vertical="center"/>
    </xf>
    <xf numFmtId="0" fontId="2" fillId="0" borderId="41" xfId="54" applyBorder="1" applyAlignment="1">
      <alignment vertical="center"/>
    </xf>
    <xf numFmtId="0" fontId="1" fillId="0" borderId="14" xfId="54" applyFont="1" applyBorder="1">
      <alignment vertical="center"/>
    </xf>
    <xf numFmtId="0" fontId="1" fillId="0" borderId="15" xfId="54" applyFont="1" applyBorder="1">
      <alignment vertical="center"/>
    </xf>
    <xf numFmtId="0" fontId="1" fillId="0" borderId="32" xfId="54" applyFont="1" applyBorder="1">
      <alignment vertical="center"/>
    </xf>
    <xf numFmtId="0" fontId="1" fillId="0" borderId="16" xfId="54" applyFont="1" applyBorder="1">
      <alignment vertical="center"/>
    </xf>
    <xf numFmtId="0" fontId="1" fillId="0" borderId="17" xfId="54" applyFont="1" applyBorder="1">
      <alignment vertical="center"/>
    </xf>
    <xf numFmtId="0" fontId="1" fillId="0" borderId="43" xfId="54" applyFont="1" applyBorder="1">
      <alignment vertical="center"/>
    </xf>
    <xf numFmtId="0" fontId="1" fillId="0" borderId="29" xfId="54" applyFont="1" applyBorder="1">
      <alignment vertical="center"/>
    </xf>
    <xf numFmtId="0" fontId="1" fillId="0" borderId="1" xfId="54" applyFont="1" applyBorder="1">
      <alignment vertical="center"/>
    </xf>
    <xf numFmtId="0" fontId="1" fillId="0" borderId="19" xfId="54" applyFont="1" applyBorder="1">
      <alignment vertical="center"/>
    </xf>
    <xf numFmtId="0" fontId="1" fillId="0" borderId="43" xfId="54" applyFont="1" applyBorder="1" applyAlignment="1">
      <alignment vertical="center" wrapText="1"/>
    </xf>
    <xf numFmtId="0" fontId="1" fillId="0" borderId="45" xfId="54" applyFont="1" applyBorder="1">
      <alignment vertical="center"/>
    </xf>
    <xf numFmtId="0" fontId="1" fillId="0" borderId="28" xfId="54" applyFont="1" applyBorder="1" applyAlignment="1">
      <alignment vertical="center" wrapText="1"/>
    </xf>
    <xf numFmtId="0" fontId="1" fillId="0" borderId="29" xfId="54" applyFont="1" applyBorder="1" applyAlignment="1">
      <alignment vertical="center" wrapText="1"/>
    </xf>
    <xf numFmtId="0" fontId="1" fillId="0" borderId="26" xfId="54" applyFont="1" applyBorder="1" applyAlignment="1">
      <alignment vertical="center" wrapText="1"/>
    </xf>
    <xf numFmtId="0" fontId="1" fillId="0" borderId="18" xfId="54" applyFont="1" applyBorder="1" applyAlignment="1">
      <alignment vertical="center" wrapText="1"/>
    </xf>
    <xf numFmtId="0" fontId="1" fillId="0" borderId="18" xfId="54" applyFont="1" applyBorder="1">
      <alignment vertical="center"/>
    </xf>
    <xf numFmtId="0" fontId="1" fillId="0" borderId="20" xfId="54" applyFont="1" applyBorder="1">
      <alignment vertical="center"/>
    </xf>
    <xf numFmtId="0" fontId="1" fillId="0" borderId="44" xfId="54" applyFont="1" applyBorder="1">
      <alignment vertical="center"/>
    </xf>
    <xf numFmtId="0" fontId="1" fillId="0" borderId="21" xfId="54" applyFont="1" applyBorder="1">
      <alignment vertical="center"/>
    </xf>
    <xf numFmtId="0" fontId="1" fillId="0" borderId="22" xfId="54" applyFont="1" applyBorder="1">
      <alignment vertical="center"/>
    </xf>
  </cellXfs>
  <cellStyles count="5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Input 2" xfId="34" xr:uid="{00000000-0005-0000-0000-000021000000}"/>
    <cellStyle name="Linked Cell 2" xfId="35" xr:uid="{00000000-0005-0000-0000-000022000000}"/>
    <cellStyle name="Neutral 2" xfId="36" xr:uid="{00000000-0005-0000-0000-000023000000}"/>
    <cellStyle name="Normal" xfId="0" builtinId="0"/>
    <cellStyle name="Normal 17" xfId="51" xr:uid="{00000000-0005-0000-0000-000024000000}"/>
    <cellStyle name="Normal 19" xfId="53" xr:uid="{00000000-0005-0000-0000-000025000000}"/>
    <cellStyle name="Normal 2" xfId="37" xr:uid="{00000000-0005-0000-0000-000026000000}"/>
    <cellStyle name="Normal 2 2" xfId="38" xr:uid="{00000000-0005-0000-0000-000027000000}"/>
    <cellStyle name="Normal 2 2 2" xfId="39" xr:uid="{00000000-0005-0000-0000-000028000000}"/>
    <cellStyle name="Normal 25" xfId="52" xr:uid="{00000000-0005-0000-0000-000029000000}"/>
    <cellStyle name="Normal 3" xfId="40" xr:uid="{00000000-0005-0000-0000-00002A000000}"/>
    <cellStyle name="Normal 3 2" xfId="41" xr:uid="{00000000-0005-0000-0000-00002B000000}"/>
    <cellStyle name="Normal 4" xfId="42" xr:uid="{00000000-0005-0000-0000-00002C000000}"/>
    <cellStyle name="Normal 4 2" xfId="43" xr:uid="{00000000-0005-0000-0000-00002D000000}"/>
    <cellStyle name="Normal 5" xfId="44" xr:uid="{00000000-0005-0000-0000-00002E000000}"/>
    <cellStyle name="Normal 6" xfId="45" xr:uid="{00000000-0005-0000-0000-00002F000000}"/>
    <cellStyle name="Note 2" xfId="46" xr:uid="{00000000-0005-0000-0000-000030000000}"/>
    <cellStyle name="Output 2" xfId="47" xr:uid="{00000000-0005-0000-0000-000031000000}"/>
    <cellStyle name="Title 2" xfId="48" xr:uid="{00000000-0005-0000-0000-000032000000}"/>
    <cellStyle name="Total 2" xfId="49" xr:uid="{00000000-0005-0000-0000-000033000000}"/>
    <cellStyle name="Warning Text 2" xfId="50" xr:uid="{00000000-0005-0000-0000-000034000000}"/>
    <cellStyle name="標準 2" xfId="54" xr:uid="{00000000-0005-0000-0000-000036000000}"/>
    <cellStyle name="標準 2 2" xfId="55" xr:uid="{00000000-0005-0000-0000-000037000000}"/>
  </cellStyles>
  <dxfs count="0"/>
  <tableStyles count="0" defaultTableStyle="TableStyleMedium2" defaultPivotStyle="PivotStyleLight16"/>
  <colors>
    <mruColors>
      <color rgb="FFFF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1:AA129"/>
  <sheetViews>
    <sheetView zoomScale="85" zoomScaleNormal="85" workbookViewId="0"/>
  </sheetViews>
  <sheetFormatPr defaultRowHeight="15"/>
  <cols>
    <col min="1" max="4" width="18.85546875" customWidth="1"/>
    <col min="5" max="5" width="21" bestFit="1" customWidth="1"/>
    <col min="6" max="6" width="20" bestFit="1" customWidth="1"/>
    <col min="7" max="7" width="10.28515625" bestFit="1" customWidth="1"/>
    <col min="8" max="8" width="12.85546875" bestFit="1" customWidth="1"/>
    <col min="9" max="10" width="22.28515625" bestFit="1" customWidth="1"/>
    <col min="11" max="11" width="29" bestFit="1" customWidth="1"/>
    <col min="12" max="12" width="15.5703125" bestFit="1" customWidth="1"/>
    <col min="13" max="13" width="6.7109375" bestFit="1" customWidth="1"/>
    <col min="14" max="14" width="17" bestFit="1" customWidth="1"/>
    <col min="15" max="15" width="18.28515625" bestFit="1" customWidth="1"/>
    <col min="16" max="16" width="19.5703125" bestFit="1" customWidth="1"/>
    <col min="17" max="17" width="10.28515625" bestFit="1" customWidth="1"/>
    <col min="19" max="19" width="10.28515625" bestFit="1" customWidth="1"/>
    <col min="20" max="20" width="12.85546875" bestFit="1" customWidth="1"/>
    <col min="21" max="22" width="11.5703125" bestFit="1" customWidth="1"/>
    <col min="24" max="27" width="9" bestFit="1" customWidth="1"/>
  </cols>
  <sheetData>
    <row r="1" spans="1:27" s="11" customFormat="1" ht="31.9" thickBot="1">
      <c r="A1" s="51" t="s">
        <v>0</v>
      </c>
      <c r="B1" s="52" t="s">
        <v>1</v>
      </c>
      <c r="C1" s="52" t="s">
        <v>2</v>
      </c>
      <c r="D1" s="52" t="s">
        <v>3</v>
      </c>
      <c r="E1" s="53" t="s">
        <v>4</v>
      </c>
      <c r="F1" s="53" t="s">
        <v>5</v>
      </c>
      <c r="G1" s="54" t="s">
        <v>6</v>
      </c>
      <c r="H1" s="54" t="s">
        <v>7</v>
      </c>
      <c r="I1" s="54" t="s">
        <v>8</v>
      </c>
      <c r="J1" s="55" t="s">
        <v>9</v>
      </c>
      <c r="K1" s="54" t="s">
        <v>10</v>
      </c>
      <c r="L1" s="54" t="s">
        <v>11</v>
      </c>
      <c r="M1" s="54" t="s">
        <v>12</v>
      </c>
      <c r="N1" s="54" t="s">
        <v>13</v>
      </c>
      <c r="O1" s="54" t="s">
        <v>14</v>
      </c>
      <c r="P1" s="54" t="s">
        <v>15</v>
      </c>
      <c r="Q1" s="54" t="s">
        <v>16</v>
      </c>
      <c r="R1" s="56"/>
      <c r="S1" s="54" t="s">
        <v>17</v>
      </c>
      <c r="T1" s="54" t="s">
        <v>18</v>
      </c>
      <c r="U1" s="54" t="s">
        <v>19</v>
      </c>
      <c r="V1" s="54" t="s">
        <v>20</v>
      </c>
      <c r="W1" s="57"/>
      <c r="X1" s="58" t="s">
        <v>21</v>
      </c>
      <c r="Y1" s="58" t="s">
        <v>22</v>
      </c>
      <c r="Z1" s="58" t="s">
        <v>23</v>
      </c>
      <c r="AA1" s="59" t="s">
        <v>24</v>
      </c>
    </row>
    <row r="2" spans="1:27" ht="16.149999999999999">
      <c r="A2" s="45"/>
      <c r="B2" s="45"/>
      <c r="C2" s="46">
        <v>1</v>
      </c>
      <c r="D2" s="46">
        <v>1</v>
      </c>
      <c r="E2" s="47" t="s">
        <v>25</v>
      </c>
      <c r="F2" s="47" t="s">
        <v>26</v>
      </c>
      <c r="G2" s="45" t="s">
        <v>27</v>
      </c>
      <c r="H2" s="45" t="s">
        <v>28</v>
      </c>
      <c r="I2" s="48" t="s">
        <v>29</v>
      </c>
      <c r="J2" s="45" t="s">
        <v>30</v>
      </c>
      <c r="K2" s="45"/>
      <c r="L2" s="45"/>
      <c r="M2" s="45"/>
      <c r="N2" s="49"/>
      <c r="O2" s="49"/>
      <c r="P2" s="49" t="s">
        <v>31</v>
      </c>
      <c r="Q2" s="45"/>
      <c r="R2" s="45"/>
      <c r="S2" s="45" t="s">
        <v>27</v>
      </c>
      <c r="T2" s="45" t="s">
        <v>32</v>
      </c>
      <c r="U2" s="45"/>
      <c r="V2" s="45" t="s">
        <v>33</v>
      </c>
      <c r="W2" s="45"/>
      <c r="X2" s="50" t="s">
        <v>34</v>
      </c>
      <c r="Y2" s="50" t="s">
        <v>35</v>
      </c>
      <c r="Z2" s="50" t="s">
        <v>36</v>
      </c>
      <c r="AA2" s="50" t="s">
        <v>37</v>
      </c>
    </row>
    <row r="3" spans="1:27" ht="16.149999999999999">
      <c r="A3" s="1">
        <v>1</v>
      </c>
      <c r="B3" s="1">
        <v>1</v>
      </c>
      <c r="C3" s="3">
        <v>2</v>
      </c>
      <c r="D3" s="3">
        <v>2</v>
      </c>
      <c r="E3" s="12" t="s">
        <v>38</v>
      </c>
      <c r="F3" s="13" t="s">
        <v>39</v>
      </c>
      <c r="G3" s="1" t="s">
        <v>40</v>
      </c>
      <c r="H3" s="1" t="s">
        <v>41</v>
      </c>
      <c r="I3" s="6" t="s">
        <v>42</v>
      </c>
      <c r="J3" s="1" t="s">
        <v>43</v>
      </c>
      <c r="K3" s="1"/>
      <c r="L3" s="1"/>
      <c r="M3" s="1"/>
      <c r="N3" s="19"/>
      <c r="O3" s="19"/>
      <c r="P3" s="19" t="s">
        <v>44</v>
      </c>
      <c r="Q3" s="1"/>
      <c r="R3" s="1"/>
      <c r="S3" s="1" t="s">
        <v>40</v>
      </c>
      <c r="T3" s="1" t="s">
        <v>45</v>
      </c>
      <c r="U3" s="1"/>
      <c r="V3" s="1" t="s">
        <v>46</v>
      </c>
      <c r="W3" s="1"/>
      <c r="X3" s="3"/>
      <c r="Y3" s="9"/>
      <c r="Z3" s="9" t="s">
        <v>47</v>
      </c>
      <c r="AA3" s="9" t="s">
        <v>48</v>
      </c>
    </row>
    <row r="4" spans="1:27" ht="16.149999999999999">
      <c r="A4" s="1">
        <v>2</v>
      </c>
      <c r="B4" s="1">
        <v>2</v>
      </c>
      <c r="C4" s="3">
        <v>3</v>
      </c>
      <c r="D4" s="3">
        <v>3</v>
      </c>
      <c r="E4" s="12" t="s">
        <v>49</v>
      </c>
      <c r="F4" s="13" t="s">
        <v>50</v>
      </c>
      <c r="G4" s="1" t="s">
        <v>51</v>
      </c>
      <c r="H4" s="1" t="s">
        <v>52</v>
      </c>
      <c r="I4" s="6" t="s">
        <v>53</v>
      </c>
      <c r="J4" s="1" t="s">
        <v>54</v>
      </c>
      <c r="K4" s="18" t="s">
        <v>55</v>
      </c>
      <c r="L4" s="1"/>
      <c r="M4" s="1"/>
      <c r="N4" s="19"/>
      <c r="O4" s="19"/>
      <c r="P4" s="19" t="s">
        <v>56</v>
      </c>
      <c r="Q4" s="1"/>
      <c r="R4" s="1"/>
      <c r="S4" s="1" t="s">
        <v>51</v>
      </c>
      <c r="T4" s="1" t="s">
        <v>57</v>
      </c>
      <c r="U4" s="1" t="s">
        <v>58</v>
      </c>
      <c r="V4" s="1"/>
      <c r="W4" s="1"/>
      <c r="X4" s="3"/>
      <c r="Y4" s="9"/>
      <c r="Z4" s="9"/>
      <c r="AA4" s="9" t="s">
        <v>59</v>
      </c>
    </row>
    <row r="5" spans="1:27" ht="16.149999999999999">
      <c r="A5" s="1">
        <v>3</v>
      </c>
      <c r="B5" s="1">
        <v>3</v>
      </c>
      <c r="C5" s="3">
        <v>4</v>
      </c>
      <c r="D5" s="3">
        <v>4</v>
      </c>
      <c r="E5" s="12" t="s">
        <v>60</v>
      </c>
      <c r="F5" s="13" t="s">
        <v>61</v>
      </c>
      <c r="G5" s="1" t="s">
        <v>62</v>
      </c>
      <c r="H5" s="1" t="s">
        <v>63</v>
      </c>
      <c r="I5" s="6" t="s">
        <v>64</v>
      </c>
      <c r="J5" s="1" t="s">
        <v>65</v>
      </c>
      <c r="K5" s="1"/>
      <c r="L5" s="1"/>
      <c r="M5" s="1"/>
      <c r="N5" s="19"/>
      <c r="O5" s="19"/>
      <c r="P5" s="19" t="s">
        <v>66</v>
      </c>
      <c r="Q5" s="1"/>
      <c r="R5" s="1"/>
      <c r="S5" s="1" t="s">
        <v>62</v>
      </c>
      <c r="T5" s="1" t="s">
        <v>67</v>
      </c>
      <c r="U5" s="1" t="s">
        <v>68</v>
      </c>
      <c r="V5" s="1"/>
      <c r="W5" s="1"/>
      <c r="X5" s="3"/>
      <c r="Y5" s="3"/>
      <c r="Z5" s="3"/>
      <c r="AA5" s="3"/>
    </row>
    <row r="6" spans="1:27" ht="16.149999999999999">
      <c r="A6" s="1">
        <v>4</v>
      </c>
      <c r="B6" s="1">
        <v>4</v>
      </c>
      <c r="C6" s="3">
        <v>5</v>
      </c>
      <c r="D6" s="3">
        <v>5</v>
      </c>
      <c r="E6" s="14" t="s">
        <v>69</v>
      </c>
      <c r="F6" s="13" t="s">
        <v>70</v>
      </c>
      <c r="G6" s="1"/>
      <c r="H6" s="1" t="s">
        <v>71</v>
      </c>
      <c r="I6" s="6" t="s">
        <v>72</v>
      </c>
      <c r="J6" s="1" t="s">
        <v>73</v>
      </c>
      <c r="K6" s="1"/>
      <c r="L6" s="1"/>
      <c r="M6" s="1"/>
      <c r="N6" s="19"/>
      <c r="O6" s="19"/>
      <c r="P6" s="19" t="s">
        <v>74</v>
      </c>
      <c r="Q6" s="1"/>
      <c r="R6" s="1"/>
      <c r="S6" s="1"/>
      <c r="T6" s="1"/>
      <c r="U6" s="1"/>
      <c r="V6" s="1"/>
      <c r="W6" s="1"/>
      <c r="X6" s="3"/>
      <c r="Y6" s="3"/>
      <c r="Z6" s="3"/>
      <c r="AA6" s="3"/>
    </row>
    <row r="7" spans="1:27" ht="16.149999999999999">
      <c r="A7" s="1">
        <v>5</v>
      </c>
      <c r="B7" s="1">
        <v>5</v>
      </c>
      <c r="C7" s="3">
        <v>6</v>
      </c>
      <c r="D7" s="3">
        <v>6</v>
      </c>
      <c r="E7" s="13" t="s">
        <v>75</v>
      </c>
      <c r="F7" s="13" t="s">
        <v>76</v>
      </c>
      <c r="G7" s="1"/>
      <c r="H7" s="1" t="s">
        <v>77</v>
      </c>
      <c r="I7" s="6" t="s">
        <v>78</v>
      </c>
      <c r="J7" s="1" t="s">
        <v>79</v>
      </c>
      <c r="K7" s="1"/>
      <c r="L7" s="1"/>
      <c r="M7" s="1"/>
      <c r="N7" s="19"/>
      <c r="O7" s="19"/>
      <c r="P7" s="19" t="s">
        <v>80</v>
      </c>
      <c r="Q7" s="1"/>
      <c r="R7" s="1"/>
      <c r="S7" s="1"/>
      <c r="T7" s="1"/>
      <c r="U7" s="1"/>
      <c r="V7" s="1"/>
      <c r="W7" s="1"/>
      <c r="X7" s="3"/>
      <c r="Y7" s="3"/>
      <c r="Z7" s="3"/>
      <c r="AA7" s="3"/>
    </row>
    <row r="8" spans="1:27" ht="16.149999999999999">
      <c r="A8" s="3"/>
      <c r="B8" s="3"/>
      <c r="C8" s="3">
        <v>7</v>
      </c>
      <c r="D8" s="3">
        <v>7</v>
      </c>
      <c r="E8" s="13" t="s">
        <v>81</v>
      </c>
      <c r="F8" s="13" t="s">
        <v>82</v>
      </c>
      <c r="G8" s="1"/>
      <c r="H8" s="1" t="s">
        <v>83</v>
      </c>
      <c r="I8" s="6"/>
      <c r="J8" s="1"/>
      <c r="K8" s="1"/>
      <c r="L8" s="1"/>
      <c r="M8" s="1"/>
      <c r="N8" s="19"/>
      <c r="O8" s="19" t="s">
        <v>84</v>
      </c>
      <c r="P8" s="19" t="s">
        <v>85</v>
      </c>
      <c r="Q8" s="1"/>
      <c r="R8" s="1"/>
      <c r="S8" s="1"/>
      <c r="T8" s="1"/>
      <c r="U8" s="1"/>
      <c r="V8" s="1"/>
      <c r="W8" s="1"/>
      <c r="X8" s="3"/>
      <c r="Y8" s="3"/>
      <c r="Z8" s="3"/>
      <c r="AA8" s="3"/>
    </row>
    <row r="9" spans="1:27" ht="16.149999999999999">
      <c r="A9" s="3"/>
      <c r="B9" s="3"/>
      <c r="C9" s="3">
        <v>8</v>
      </c>
      <c r="D9" s="3">
        <v>8</v>
      </c>
      <c r="E9" s="13" t="s">
        <v>86</v>
      </c>
      <c r="F9" s="13" t="s">
        <v>87</v>
      </c>
      <c r="G9" s="1"/>
      <c r="H9" s="1" t="s">
        <v>88</v>
      </c>
      <c r="I9" s="6"/>
      <c r="J9" s="1"/>
      <c r="K9" s="1"/>
      <c r="L9" s="1"/>
      <c r="M9" s="1"/>
      <c r="N9" s="19"/>
      <c r="O9" s="19" t="s">
        <v>89</v>
      </c>
      <c r="P9" s="19" t="s">
        <v>90</v>
      </c>
      <c r="Q9" s="1"/>
      <c r="R9" s="1"/>
      <c r="S9" s="1"/>
      <c r="T9" s="1"/>
      <c r="U9" s="1"/>
      <c r="V9" s="1"/>
      <c r="W9" s="1"/>
      <c r="X9" s="5"/>
      <c r="Y9" s="3"/>
      <c r="Z9" s="3"/>
      <c r="AA9" s="3"/>
    </row>
    <row r="10" spans="1:27" ht="16.149999999999999">
      <c r="A10" s="3"/>
      <c r="B10" s="3"/>
      <c r="C10" s="3">
        <v>9</v>
      </c>
      <c r="D10" s="3">
        <v>9</v>
      </c>
      <c r="E10" s="13" t="s">
        <v>91</v>
      </c>
      <c r="F10" s="13" t="s">
        <v>92</v>
      </c>
      <c r="G10" s="1" t="s">
        <v>93</v>
      </c>
      <c r="H10" s="1" t="s">
        <v>94</v>
      </c>
      <c r="I10" s="6" t="s">
        <v>95</v>
      </c>
      <c r="J10" s="1" t="s">
        <v>96</v>
      </c>
      <c r="K10" s="1"/>
      <c r="L10" s="1"/>
      <c r="M10" s="1"/>
      <c r="N10" s="19"/>
      <c r="O10" s="19" t="s">
        <v>97</v>
      </c>
      <c r="P10" s="19" t="s">
        <v>98</v>
      </c>
      <c r="Q10" s="1"/>
      <c r="R10" s="1"/>
      <c r="S10" s="1" t="s">
        <v>93</v>
      </c>
      <c r="T10" s="1" t="s">
        <v>99</v>
      </c>
      <c r="U10" s="1"/>
      <c r="V10" s="1"/>
      <c r="W10" s="1"/>
      <c r="X10" s="5"/>
      <c r="Y10" s="3"/>
      <c r="Z10" s="3"/>
      <c r="AA10" s="3"/>
    </row>
    <row r="11" spans="1:27" ht="16.149999999999999">
      <c r="A11" s="3"/>
      <c r="B11" s="3"/>
      <c r="C11" s="3">
        <v>10</v>
      </c>
      <c r="D11" s="3">
        <v>10</v>
      </c>
      <c r="E11" s="13" t="s">
        <v>100</v>
      </c>
      <c r="F11" s="13" t="s">
        <v>101</v>
      </c>
      <c r="G11" s="1" t="s">
        <v>102</v>
      </c>
      <c r="H11" s="1" t="s">
        <v>103</v>
      </c>
      <c r="I11" s="6" t="s">
        <v>104</v>
      </c>
      <c r="J11" s="1"/>
      <c r="K11" s="1"/>
      <c r="M11" s="1"/>
      <c r="N11" s="19"/>
      <c r="O11" s="19" t="s">
        <v>105</v>
      </c>
      <c r="P11" s="19" t="s">
        <v>106</v>
      </c>
      <c r="Q11" s="1"/>
      <c r="R11" s="1"/>
      <c r="S11" s="1" t="s">
        <v>102</v>
      </c>
      <c r="T11" s="1" t="s">
        <v>107</v>
      </c>
      <c r="U11" s="1"/>
      <c r="V11" s="1"/>
      <c r="W11" s="1"/>
      <c r="X11" s="5"/>
      <c r="Y11" s="3"/>
      <c r="Z11" s="3"/>
      <c r="AA11" s="3"/>
    </row>
    <row r="12" spans="1:27" ht="16.149999999999999">
      <c r="A12" s="7"/>
      <c r="B12" s="7"/>
      <c r="C12" s="3">
        <v>11</v>
      </c>
      <c r="D12" s="3">
        <v>11</v>
      </c>
      <c r="E12" s="15" t="s">
        <v>108</v>
      </c>
      <c r="F12" s="15" t="s">
        <v>109</v>
      </c>
      <c r="G12" s="1"/>
      <c r="H12" s="1"/>
      <c r="I12" s="6"/>
      <c r="J12" s="1"/>
      <c r="K12" s="1"/>
      <c r="L12" s="1"/>
      <c r="M12" s="1"/>
      <c r="N12" s="19"/>
      <c r="O12" s="19"/>
      <c r="P12" s="19"/>
      <c r="Q12" s="1"/>
      <c r="R12" s="1"/>
      <c r="S12" s="1"/>
      <c r="T12" s="1"/>
      <c r="U12" s="1"/>
      <c r="V12" s="1"/>
      <c r="W12" s="1"/>
      <c r="X12" s="4"/>
      <c r="Y12" s="3"/>
      <c r="Z12" s="3"/>
      <c r="AA12" s="3"/>
    </row>
    <row r="13" spans="1:27" ht="16.149999999999999">
      <c r="A13" s="7"/>
      <c r="B13" s="7"/>
      <c r="C13" s="3">
        <v>12</v>
      </c>
      <c r="D13" s="3">
        <v>12</v>
      </c>
      <c r="E13" s="15" t="s">
        <v>110</v>
      </c>
      <c r="F13" s="15" t="s">
        <v>111</v>
      </c>
      <c r="G13" s="1"/>
      <c r="H13" s="1"/>
      <c r="I13" s="6"/>
      <c r="J13" s="1"/>
      <c r="K13" s="1"/>
      <c r="L13" s="1"/>
      <c r="M13" s="1"/>
      <c r="N13" s="19"/>
      <c r="O13" s="19"/>
      <c r="P13" s="19"/>
      <c r="Q13" s="1"/>
      <c r="R13" s="1"/>
      <c r="S13" s="1"/>
      <c r="T13" s="1"/>
      <c r="U13" s="1"/>
      <c r="V13" s="1"/>
      <c r="W13" s="1"/>
      <c r="X13" s="4"/>
      <c r="Y13" s="3"/>
      <c r="Z13" s="3"/>
      <c r="AA13" s="3"/>
    </row>
    <row r="14" spans="1:27" ht="16.149999999999999">
      <c r="A14" s="7"/>
      <c r="B14" s="7"/>
      <c r="C14" s="3">
        <v>13</v>
      </c>
      <c r="D14" s="3">
        <v>13</v>
      </c>
      <c r="E14" s="15" t="s">
        <v>112</v>
      </c>
      <c r="F14" s="15" t="s">
        <v>113</v>
      </c>
      <c r="G14" s="1" t="s">
        <v>114</v>
      </c>
      <c r="H14" s="1" t="s">
        <v>115</v>
      </c>
      <c r="I14" s="6" t="s">
        <v>116</v>
      </c>
      <c r="J14" s="1" t="s">
        <v>117</v>
      </c>
      <c r="K14" s="1"/>
      <c r="L14" s="1"/>
      <c r="M14" s="1"/>
      <c r="N14" s="19"/>
      <c r="O14" s="19"/>
      <c r="P14" s="19"/>
      <c r="Q14" s="1"/>
      <c r="R14" s="1"/>
      <c r="S14" s="1" t="s">
        <v>114</v>
      </c>
      <c r="T14" s="1"/>
      <c r="U14" s="1" t="s">
        <v>118</v>
      </c>
      <c r="V14" s="1"/>
      <c r="W14" s="1"/>
      <c r="X14" s="4"/>
      <c r="Y14" s="3"/>
      <c r="Z14" s="3"/>
      <c r="AA14" s="3"/>
    </row>
    <row r="15" spans="1:27" ht="16.149999999999999">
      <c r="A15" s="7"/>
      <c r="B15" s="7"/>
      <c r="C15" s="3">
        <v>14</v>
      </c>
      <c r="D15" s="3">
        <v>14</v>
      </c>
      <c r="E15" s="15" t="s">
        <v>119</v>
      </c>
      <c r="F15" s="15" t="s">
        <v>120</v>
      </c>
      <c r="G15" s="1" t="s">
        <v>121</v>
      </c>
      <c r="H15" s="1" t="s">
        <v>122</v>
      </c>
      <c r="I15" s="6" t="s">
        <v>123</v>
      </c>
      <c r="J15" s="1" t="s">
        <v>124</v>
      </c>
      <c r="K15" s="1"/>
      <c r="L15" s="1"/>
      <c r="M15" s="1"/>
      <c r="N15" s="19"/>
      <c r="O15" s="19"/>
      <c r="P15" s="19"/>
      <c r="Q15" s="1"/>
      <c r="R15" s="1"/>
      <c r="S15" s="1" t="s">
        <v>121</v>
      </c>
      <c r="T15" s="1"/>
      <c r="U15" s="1"/>
      <c r="V15" s="1" t="s">
        <v>125</v>
      </c>
      <c r="W15" s="1"/>
      <c r="X15" s="4"/>
      <c r="Y15" s="3"/>
      <c r="Z15" s="3"/>
      <c r="AA15" s="3"/>
    </row>
    <row r="16" spans="1:27" ht="16.149999999999999">
      <c r="A16" s="7"/>
      <c r="B16" s="7"/>
      <c r="C16" s="3">
        <v>15</v>
      </c>
      <c r="D16" s="3">
        <v>15</v>
      </c>
      <c r="E16" s="15" t="s">
        <v>126</v>
      </c>
      <c r="F16" s="15" t="s">
        <v>127</v>
      </c>
      <c r="G16" s="1"/>
      <c r="H16" s="1" t="s">
        <v>128</v>
      </c>
      <c r="I16" s="6" t="s">
        <v>129</v>
      </c>
      <c r="J16" s="1" t="s">
        <v>130</v>
      </c>
      <c r="K16" s="1"/>
      <c r="L16" s="1"/>
      <c r="M16" s="1"/>
      <c r="N16" s="19"/>
      <c r="O16" s="19"/>
      <c r="P16" s="19"/>
      <c r="Q16" s="1"/>
      <c r="R16" s="1"/>
      <c r="S16" s="1"/>
      <c r="T16" s="1"/>
      <c r="U16" s="1"/>
      <c r="V16" s="1"/>
      <c r="W16" s="1"/>
      <c r="X16" s="4"/>
      <c r="Y16" s="3"/>
      <c r="Z16" s="3"/>
      <c r="AA16" s="3"/>
    </row>
    <row r="17" spans="1:27" ht="16.149999999999999">
      <c r="A17" s="1">
        <v>6</v>
      </c>
      <c r="B17" s="1">
        <v>6</v>
      </c>
      <c r="C17" s="3">
        <v>16</v>
      </c>
      <c r="D17" s="3">
        <v>16</v>
      </c>
      <c r="E17" s="13" t="s">
        <v>131</v>
      </c>
      <c r="F17" s="15" t="s">
        <v>132</v>
      </c>
      <c r="G17" s="1"/>
      <c r="H17" s="1" t="s">
        <v>133</v>
      </c>
      <c r="I17" s="6" t="s">
        <v>134</v>
      </c>
      <c r="J17" s="1" t="s">
        <v>135</v>
      </c>
      <c r="K17" s="2"/>
      <c r="M17" s="1"/>
      <c r="N17" s="19" t="s">
        <v>136</v>
      </c>
      <c r="O17" s="19" t="s">
        <v>136</v>
      </c>
      <c r="P17" s="19" t="s">
        <v>84</v>
      </c>
      <c r="Q17" s="1"/>
      <c r="R17" s="1"/>
      <c r="S17" s="1"/>
      <c r="T17" s="1"/>
      <c r="U17" s="1"/>
      <c r="V17" s="1"/>
      <c r="W17" s="1"/>
      <c r="X17" s="5"/>
      <c r="Y17" s="3"/>
      <c r="Z17" s="3"/>
      <c r="AA17" s="3"/>
    </row>
    <row r="18" spans="1:27" ht="16.149999999999999">
      <c r="A18" s="1">
        <v>7</v>
      </c>
      <c r="B18" s="1">
        <v>7</v>
      </c>
      <c r="C18" s="3">
        <v>17</v>
      </c>
      <c r="D18" s="3">
        <v>17</v>
      </c>
      <c r="E18" s="13" t="s">
        <v>137</v>
      </c>
      <c r="F18" s="13" t="s">
        <v>138</v>
      </c>
      <c r="G18" s="1"/>
      <c r="H18" s="1" t="s">
        <v>139</v>
      </c>
      <c r="I18" s="6" t="s">
        <v>140</v>
      </c>
      <c r="J18" s="1" t="s">
        <v>141</v>
      </c>
      <c r="K18" s="1" t="s">
        <v>142</v>
      </c>
      <c r="L18" s="1"/>
      <c r="M18" s="1"/>
      <c r="N18" s="18" t="s">
        <v>143</v>
      </c>
      <c r="O18" s="18" t="s">
        <v>143</v>
      </c>
      <c r="P18" s="19" t="s">
        <v>89</v>
      </c>
      <c r="Q18" s="1"/>
      <c r="R18" s="1"/>
      <c r="S18" s="1"/>
      <c r="T18" s="1"/>
      <c r="U18" s="1"/>
      <c r="V18" s="1"/>
      <c r="W18" s="1"/>
      <c r="X18" s="4"/>
      <c r="Y18" s="3"/>
      <c r="Z18" s="3"/>
      <c r="AA18" s="3"/>
    </row>
    <row r="19" spans="1:27" ht="16.149999999999999">
      <c r="A19" s="1">
        <v>8</v>
      </c>
      <c r="B19" s="1">
        <v>8</v>
      </c>
      <c r="C19" s="3">
        <v>18</v>
      </c>
      <c r="D19" s="3">
        <v>18</v>
      </c>
      <c r="E19" s="13" t="s">
        <v>144</v>
      </c>
      <c r="F19" s="13" t="s">
        <v>145</v>
      </c>
      <c r="G19" s="1"/>
      <c r="H19" s="1" t="s">
        <v>146</v>
      </c>
      <c r="I19" s="6"/>
      <c r="J19" s="1"/>
      <c r="K19" s="1" t="s">
        <v>147</v>
      </c>
      <c r="L19" s="1"/>
      <c r="M19" s="1"/>
      <c r="N19" s="19" t="s">
        <v>148</v>
      </c>
      <c r="O19" s="19" t="s">
        <v>148</v>
      </c>
      <c r="P19" s="19" t="s">
        <v>97</v>
      </c>
      <c r="Q19" s="1"/>
      <c r="R19" s="1"/>
      <c r="S19" s="1"/>
      <c r="T19" s="1"/>
      <c r="U19" s="1"/>
      <c r="V19" s="1"/>
      <c r="W19" s="1"/>
      <c r="X19" s="4"/>
      <c r="Y19" s="3"/>
      <c r="Z19" s="3"/>
      <c r="AA19" s="3"/>
    </row>
    <row r="20" spans="1:27" ht="16.149999999999999">
      <c r="A20" s="1">
        <v>9</v>
      </c>
      <c r="B20" s="1">
        <v>9</v>
      </c>
      <c r="C20" s="3">
        <v>19</v>
      </c>
      <c r="D20" s="3">
        <v>19</v>
      </c>
      <c r="E20" s="13" t="s">
        <v>149</v>
      </c>
      <c r="F20" s="13" t="s">
        <v>150</v>
      </c>
      <c r="G20" s="1"/>
      <c r="H20" s="1" t="s">
        <v>151</v>
      </c>
      <c r="I20" s="6" t="s">
        <v>152</v>
      </c>
      <c r="J20" s="1" t="s">
        <v>153</v>
      </c>
      <c r="K20" s="1"/>
      <c r="L20" s="1"/>
      <c r="M20" s="1"/>
      <c r="N20" s="19" t="s">
        <v>154</v>
      </c>
      <c r="O20" s="19" t="s">
        <v>154</v>
      </c>
      <c r="P20" s="19" t="s">
        <v>105</v>
      </c>
      <c r="Q20" s="1"/>
      <c r="R20" s="1"/>
      <c r="S20" s="1"/>
      <c r="T20" s="1"/>
      <c r="U20" s="1"/>
      <c r="V20" s="1"/>
      <c r="W20" s="1"/>
      <c r="X20" s="4"/>
      <c r="Y20" s="3"/>
      <c r="Z20" s="3"/>
      <c r="AA20" s="3"/>
    </row>
    <row r="21" spans="1:27" ht="16.149999999999999">
      <c r="A21" s="1">
        <v>10</v>
      </c>
      <c r="B21" s="1">
        <v>10</v>
      </c>
      <c r="C21" s="3">
        <v>20</v>
      </c>
      <c r="D21" s="3">
        <v>20</v>
      </c>
      <c r="E21" s="13" t="s">
        <v>155</v>
      </c>
      <c r="F21" s="13" t="s">
        <v>156</v>
      </c>
      <c r="G21" s="1"/>
      <c r="H21" s="1" t="s">
        <v>157</v>
      </c>
      <c r="I21" s="6" t="s">
        <v>158</v>
      </c>
      <c r="J21" s="1" t="s">
        <v>159</v>
      </c>
      <c r="K21" s="1"/>
      <c r="L21" s="1"/>
      <c r="M21" s="1"/>
      <c r="N21" s="19" t="s">
        <v>160</v>
      </c>
      <c r="O21" s="19" t="s">
        <v>160</v>
      </c>
      <c r="P21" s="19" t="s">
        <v>136</v>
      </c>
      <c r="Q21" s="1"/>
      <c r="R21" s="1"/>
      <c r="S21" s="1"/>
      <c r="T21" s="1"/>
      <c r="U21" s="1"/>
      <c r="V21" s="1"/>
      <c r="W21" s="1"/>
      <c r="X21" s="4"/>
      <c r="Y21" s="3"/>
      <c r="Z21" s="3"/>
      <c r="AA21" s="3"/>
    </row>
    <row r="22" spans="1:27" ht="16.149999999999999">
      <c r="A22" s="1">
        <v>11</v>
      </c>
      <c r="B22" s="1">
        <v>11</v>
      </c>
      <c r="C22" s="3">
        <v>21</v>
      </c>
      <c r="D22" s="3">
        <v>21</v>
      </c>
      <c r="E22" s="13" t="s">
        <v>108</v>
      </c>
      <c r="F22" s="13" t="s">
        <v>109</v>
      </c>
      <c r="G22" s="1"/>
      <c r="H22" s="7"/>
      <c r="I22" s="6"/>
      <c r="J22" s="1"/>
      <c r="K22" s="1"/>
      <c r="L22" s="1" t="s">
        <v>161</v>
      </c>
      <c r="M22" s="1"/>
      <c r="N22" s="19" t="s">
        <v>162</v>
      </c>
      <c r="O22" s="19" t="s">
        <v>162</v>
      </c>
      <c r="P22" s="18" t="s">
        <v>143</v>
      </c>
      <c r="Q22" s="1"/>
      <c r="R22" s="1"/>
      <c r="S22" s="1"/>
      <c r="T22" s="1"/>
      <c r="U22" s="1"/>
      <c r="V22" s="1"/>
      <c r="W22" s="1"/>
      <c r="X22" s="5"/>
      <c r="Y22" s="3"/>
      <c r="Z22" s="3"/>
      <c r="AA22" s="3"/>
    </row>
    <row r="23" spans="1:27" ht="16.149999999999999">
      <c r="A23" s="1">
        <v>12</v>
      </c>
      <c r="B23" s="1">
        <v>12</v>
      </c>
      <c r="C23" s="3">
        <v>22</v>
      </c>
      <c r="D23" s="3">
        <v>22</v>
      </c>
      <c r="E23" s="13" t="s">
        <v>110</v>
      </c>
      <c r="F23" s="13" t="s">
        <v>111</v>
      </c>
      <c r="G23" s="1"/>
      <c r="H23" s="1"/>
      <c r="I23" s="6"/>
      <c r="J23" s="1"/>
      <c r="K23" s="1"/>
      <c r="L23" s="1"/>
      <c r="M23" s="1"/>
      <c r="N23" s="19" t="s">
        <v>163</v>
      </c>
      <c r="O23" s="19" t="s">
        <v>163</v>
      </c>
      <c r="P23" s="19" t="s">
        <v>148</v>
      </c>
      <c r="Q23" s="1"/>
      <c r="R23" s="1"/>
      <c r="S23" s="1"/>
      <c r="T23" s="1"/>
      <c r="U23" s="1"/>
      <c r="V23" s="1"/>
      <c r="W23" s="1"/>
      <c r="X23" s="4"/>
      <c r="Y23" s="3"/>
      <c r="Z23" s="3"/>
      <c r="AA23" s="3"/>
    </row>
    <row r="24" spans="1:27" ht="16.149999999999999">
      <c r="A24" s="1">
        <v>13</v>
      </c>
      <c r="B24" s="1">
        <v>13</v>
      </c>
      <c r="C24" s="3">
        <v>23</v>
      </c>
      <c r="D24" s="3">
        <v>23</v>
      </c>
      <c r="E24" s="13" t="s">
        <v>164</v>
      </c>
      <c r="F24" s="13" t="s">
        <v>165</v>
      </c>
      <c r="G24" s="1"/>
      <c r="H24" s="7" t="s">
        <v>94</v>
      </c>
      <c r="I24" s="8"/>
      <c r="J24" s="1" t="s">
        <v>73</v>
      </c>
      <c r="K24" s="1"/>
      <c r="L24" s="1"/>
      <c r="M24" s="1"/>
      <c r="N24" s="19" t="s">
        <v>166</v>
      </c>
      <c r="O24" s="19" t="s">
        <v>166</v>
      </c>
      <c r="P24" s="19" t="s">
        <v>154</v>
      </c>
      <c r="Q24" s="1"/>
      <c r="R24" s="1"/>
      <c r="S24" s="1"/>
      <c r="T24" s="1"/>
      <c r="U24" s="1"/>
      <c r="V24" s="1"/>
      <c r="W24" s="1"/>
      <c r="X24" s="5"/>
      <c r="Y24" s="3"/>
      <c r="Z24" s="3"/>
      <c r="AA24" s="3"/>
    </row>
    <row r="25" spans="1:27" ht="16.149999999999999">
      <c r="A25" s="1">
        <v>14</v>
      </c>
      <c r="B25" s="1">
        <v>14</v>
      </c>
      <c r="C25" s="3">
        <v>24</v>
      </c>
      <c r="D25" s="3">
        <v>24</v>
      </c>
      <c r="E25" s="13" t="s">
        <v>167</v>
      </c>
      <c r="F25" s="13" t="s">
        <v>168</v>
      </c>
      <c r="G25" s="1"/>
      <c r="H25" s="1" t="s">
        <v>103</v>
      </c>
      <c r="I25" s="6" t="s">
        <v>141</v>
      </c>
      <c r="J25" s="1" t="s">
        <v>79</v>
      </c>
      <c r="K25" s="1"/>
      <c r="L25" s="1"/>
      <c r="M25" s="1"/>
      <c r="N25" s="19" t="s">
        <v>169</v>
      </c>
      <c r="O25" s="19" t="s">
        <v>169</v>
      </c>
      <c r="P25" s="19" t="s">
        <v>160</v>
      </c>
      <c r="Q25" s="1"/>
      <c r="R25" s="1"/>
      <c r="S25" s="1"/>
      <c r="T25" s="1"/>
      <c r="U25" s="1"/>
      <c r="V25" s="1"/>
      <c r="W25" s="1"/>
      <c r="X25" s="3"/>
      <c r="Y25" s="3"/>
      <c r="Z25" s="3"/>
      <c r="AA25" s="3"/>
    </row>
    <row r="26" spans="1:27" ht="16.149999999999999">
      <c r="A26" s="1">
        <v>15</v>
      </c>
      <c r="B26" s="1">
        <v>15</v>
      </c>
      <c r="C26" s="3">
        <v>25</v>
      </c>
      <c r="D26" s="3">
        <v>25</v>
      </c>
      <c r="E26" s="13" t="s">
        <v>170</v>
      </c>
      <c r="F26" s="13" t="s">
        <v>171</v>
      </c>
      <c r="G26" s="1"/>
      <c r="H26" s="1" t="s">
        <v>172</v>
      </c>
      <c r="I26" s="6" t="s">
        <v>117</v>
      </c>
      <c r="J26" s="1" t="s">
        <v>173</v>
      </c>
      <c r="K26" s="1"/>
      <c r="L26" s="1"/>
      <c r="M26" s="1"/>
      <c r="N26" s="19" t="s">
        <v>174</v>
      </c>
      <c r="O26" s="19" t="s">
        <v>174</v>
      </c>
      <c r="P26" s="19" t="s">
        <v>162</v>
      </c>
      <c r="Q26" s="1"/>
      <c r="R26" s="1"/>
      <c r="S26" s="1"/>
      <c r="T26" s="1"/>
      <c r="U26" s="1"/>
      <c r="V26" s="1"/>
      <c r="W26" s="1"/>
      <c r="X26" s="3"/>
      <c r="Y26" s="3"/>
      <c r="Z26" s="3"/>
      <c r="AA26" s="3"/>
    </row>
    <row r="27" spans="1:27" ht="16.149999999999999">
      <c r="A27" s="1">
        <v>16</v>
      </c>
      <c r="B27" s="1">
        <v>16</v>
      </c>
      <c r="C27" s="3">
        <v>26</v>
      </c>
      <c r="D27" s="3">
        <v>26</v>
      </c>
      <c r="E27" s="13" t="s">
        <v>175</v>
      </c>
      <c r="F27" s="16" t="s">
        <v>176</v>
      </c>
      <c r="G27" s="1"/>
      <c r="H27" s="1" t="s">
        <v>177</v>
      </c>
      <c r="I27" s="6" t="s">
        <v>124</v>
      </c>
      <c r="J27" s="1" t="s">
        <v>178</v>
      </c>
      <c r="K27" s="1"/>
      <c r="L27" s="1"/>
      <c r="M27" s="1"/>
      <c r="N27" s="19" t="s">
        <v>179</v>
      </c>
      <c r="O27" s="19" t="s">
        <v>179</v>
      </c>
      <c r="P27" s="19" t="s">
        <v>163</v>
      </c>
      <c r="Q27" s="1"/>
      <c r="R27" s="1"/>
      <c r="S27" s="1"/>
      <c r="T27" s="1"/>
      <c r="U27" s="1"/>
      <c r="V27" s="1"/>
      <c r="W27" s="1"/>
      <c r="X27" s="3"/>
      <c r="Y27" s="3"/>
      <c r="Z27" s="3"/>
      <c r="AA27" s="3"/>
    </row>
    <row r="28" spans="1:27" ht="16.149999999999999">
      <c r="A28" s="1"/>
      <c r="B28" s="1"/>
      <c r="C28" s="3">
        <v>27</v>
      </c>
      <c r="D28" s="3">
        <v>27</v>
      </c>
      <c r="E28" s="13" t="s">
        <v>180</v>
      </c>
      <c r="F28" s="13" t="s">
        <v>181</v>
      </c>
      <c r="G28" s="1"/>
      <c r="H28" s="1" t="s">
        <v>182</v>
      </c>
      <c r="I28" s="6" t="s">
        <v>130</v>
      </c>
      <c r="J28" s="1"/>
      <c r="K28" s="1"/>
      <c r="L28" s="1"/>
      <c r="M28" s="1"/>
      <c r="N28" s="19"/>
      <c r="O28" s="19"/>
      <c r="P28" s="19"/>
      <c r="Q28" s="1"/>
      <c r="R28" s="1"/>
      <c r="S28" s="1"/>
      <c r="T28" s="1"/>
      <c r="U28" s="1"/>
      <c r="V28" s="1"/>
      <c r="W28" s="1"/>
      <c r="X28" s="3"/>
      <c r="Y28" s="3"/>
      <c r="Z28" s="3"/>
      <c r="AA28" s="3"/>
    </row>
    <row r="29" spans="1:27" ht="16.149999999999999">
      <c r="A29" s="1"/>
      <c r="B29" s="1"/>
      <c r="C29" s="3">
        <v>28</v>
      </c>
      <c r="D29" s="3">
        <v>28</v>
      </c>
      <c r="E29" s="13" t="s">
        <v>183</v>
      </c>
      <c r="F29" s="13" t="s">
        <v>184</v>
      </c>
      <c r="G29" s="1"/>
      <c r="H29" s="1" t="s">
        <v>185</v>
      </c>
      <c r="I29" s="6" t="s">
        <v>135</v>
      </c>
      <c r="J29" s="1"/>
      <c r="K29" s="1"/>
      <c r="L29" s="1"/>
      <c r="M29" s="1"/>
      <c r="N29" s="19"/>
      <c r="O29" s="19"/>
      <c r="P29" s="19"/>
      <c r="Q29" s="1"/>
      <c r="R29" s="1"/>
      <c r="S29" s="1"/>
      <c r="T29" s="1"/>
      <c r="U29" s="1"/>
      <c r="V29" s="1"/>
      <c r="W29" s="1"/>
      <c r="X29" s="3"/>
      <c r="Y29" s="3"/>
      <c r="Z29" s="3"/>
      <c r="AA29" s="3"/>
    </row>
    <row r="30" spans="1:27" ht="16.149999999999999">
      <c r="A30" s="1"/>
      <c r="B30" s="1"/>
      <c r="C30" s="3">
        <v>29</v>
      </c>
      <c r="D30" s="3">
        <v>29</v>
      </c>
      <c r="E30" s="13" t="s">
        <v>186</v>
      </c>
      <c r="F30" s="13" t="s">
        <v>187</v>
      </c>
      <c r="G30" s="1"/>
      <c r="H30" s="1" t="s">
        <v>188</v>
      </c>
      <c r="I30" s="6" t="s">
        <v>189</v>
      </c>
      <c r="J30" s="1" t="s">
        <v>190</v>
      </c>
      <c r="K30" s="1"/>
      <c r="L30" s="1"/>
      <c r="M30" s="1"/>
      <c r="N30" s="19"/>
      <c r="O30" s="19"/>
      <c r="P30" s="19"/>
      <c r="Q30" s="1"/>
      <c r="R30" s="1"/>
      <c r="S30" s="1"/>
      <c r="T30" s="1"/>
      <c r="U30" s="1"/>
      <c r="V30" s="1"/>
      <c r="W30" s="1"/>
      <c r="X30" s="3"/>
      <c r="Y30" s="3"/>
      <c r="Z30" s="3"/>
      <c r="AA30" s="3"/>
    </row>
    <row r="31" spans="1:27" ht="16.149999999999999">
      <c r="A31" s="1"/>
      <c r="B31" s="1"/>
      <c r="C31" s="3">
        <v>30</v>
      </c>
      <c r="D31" s="3">
        <v>30</v>
      </c>
      <c r="E31" s="13" t="s">
        <v>191</v>
      </c>
      <c r="F31" s="13" t="s">
        <v>192</v>
      </c>
      <c r="G31" s="1"/>
      <c r="H31" s="1" t="s">
        <v>193</v>
      </c>
      <c r="I31" s="6" t="s">
        <v>194</v>
      </c>
      <c r="J31" s="1" t="s">
        <v>195</v>
      </c>
      <c r="K31" s="1"/>
      <c r="L31" s="1"/>
      <c r="M31" s="1"/>
      <c r="N31" s="19"/>
      <c r="O31" s="19"/>
      <c r="P31" s="19"/>
      <c r="Q31" s="1"/>
      <c r="R31" s="1"/>
      <c r="S31" s="1"/>
      <c r="T31" s="1"/>
      <c r="U31" s="1"/>
      <c r="V31" s="1"/>
      <c r="W31" s="1"/>
      <c r="X31" s="3"/>
      <c r="Y31" s="3"/>
      <c r="Z31" s="3"/>
      <c r="AA31" s="3"/>
    </row>
    <row r="32" spans="1:27" ht="16.149999999999999">
      <c r="A32" s="1"/>
      <c r="B32" s="1"/>
      <c r="C32" s="3">
        <v>31</v>
      </c>
      <c r="D32" s="3">
        <v>31</v>
      </c>
      <c r="E32" s="13" t="s">
        <v>196</v>
      </c>
      <c r="F32" s="13" t="s">
        <v>197</v>
      </c>
      <c r="G32" s="1"/>
      <c r="H32" s="1" t="s">
        <v>198</v>
      </c>
      <c r="I32" s="6" t="s">
        <v>199</v>
      </c>
      <c r="J32" s="1" t="s">
        <v>200</v>
      </c>
      <c r="K32" s="1"/>
      <c r="L32" s="1"/>
      <c r="M32" s="1"/>
      <c r="N32" s="19"/>
      <c r="O32" s="19"/>
      <c r="P32" s="19"/>
      <c r="Q32" s="1"/>
      <c r="R32" s="1"/>
      <c r="S32" s="1"/>
      <c r="T32" s="1"/>
      <c r="U32" s="1"/>
      <c r="V32" s="1"/>
      <c r="W32" s="1"/>
      <c r="X32" s="3"/>
      <c r="Y32" s="3"/>
      <c r="Z32" s="3"/>
      <c r="AA32" s="3"/>
    </row>
    <row r="33" spans="1:27" ht="16.149999999999999">
      <c r="A33" s="1"/>
      <c r="B33" s="1"/>
      <c r="C33" s="3">
        <v>32</v>
      </c>
      <c r="D33" s="3">
        <v>32</v>
      </c>
      <c r="E33" s="13" t="s">
        <v>201</v>
      </c>
      <c r="F33" s="13" t="s">
        <v>202</v>
      </c>
      <c r="G33" s="1"/>
      <c r="H33" s="1" t="s">
        <v>203</v>
      </c>
      <c r="I33" s="6" t="s">
        <v>204</v>
      </c>
      <c r="J33" s="1" t="s">
        <v>205</v>
      </c>
      <c r="K33" s="1"/>
      <c r="L33" s="1"/>
      <c r="M33" s="1"/>
      <c r="N33" s="19"/>
      <c r="O33" s="19"/>
      <c r="P33" s="19"/>
      <c r="Q33" s="1"/>
      <c r="R33" s="1"/>
      <c r="S33" s="1"/>
      <c r="T33" s="1"/>
      <c r="U33" s="1"/>
      <c r="V33" s="1"/>
      <c r="W33" s="1"/>
      <c r="X33" s="3"/>
      <c r="Y33" s="3"/>
      <c r="Z33" s="3"/>
      <c r="AA33" s="3"/>
    </row>
    <row r="34" spans="1:27" ht="16.149999999999999">
      <c r="A34" s="7"/>
      <c r="B34" s="7"/>
      <c r="C34" s="3">
        <v>33</v>
      </c>
      <c r="D34" s="3">
        <v>33</v>
      </c>
      <c r="E34" s="15" t="s">
        <v>206</v>
      </c>
      <c r="F34" s="15" t="s">
        <v>207</v>
      </c>
      <c r="G34" s="1"/>
      <c r="H34" s="1" t="s">
        <v>208</v>
      </c>
      <c r="I34" s="6" t="s">
        <v>209</v>
      </c>
      <c r="J34" s="1" t="s">
        <v>210</v>
      </c>
      <c r="K34" s="1"/>
      <c r="L34" s="1"/>
      <c r="M34" s="1"/>
      <c r="N34" s="19"/>
      <c r="O34" s="19"/>
      <c r="P34" s="19"/>
      <c r="Q34" s="1"/>
      <c r="R34" s="1"/>
      <c r="S34" s="1"/>
      <c r="T34" s="1"/>
      <c r="U34" s="1"/>
      <c r="V34" s="1"/>
      <c r="W34" s="1"/>
      <c r="X34" s="3"/>
      <c r="Y34" s="3"/>
      <c r="Z34" s="3"/>
      <c r="AA34" s="3"/>
    </row>
    <row r="35" spans="1:27" ht="16.149999999999999">
      <c r="A35" s="7"/>
      <c r="B35" s="7"/>
      <c r="C35" s="3">
        <v>34</v>
      </c>
      <c r="D35" s="3">
        <v>34</v>
      </c>
      <c r="E35" s="15" t="s">
        <v>211</v>
      </c>
      <c r="F35" s="15" t="s">
        <v>111</v>
      </c>
      <c r="G35" s="1"/>
      <c r="H35" s="1"/>
      <c r="I35" s="6"/>
      <c r="J35" s="1"/>
      <c r="K35" s="1"/>
      <c r="L35" s="1"/>
      <c r="M35" s="1"/>
      <c r="N35" s="19"/>
      <c r="O35" s="19"/>
      <c r="P35" s="19"/>
      <c r="Q35" s="1"/>
      <c r="R35" s="1"/>
      <c r="S35" s="1"/>
      <c r="T35" s="1"/>
      <c r="U35" s="1"/>
      <c r="V35" s="1"/>
      <c r="W35" s="1"/>
      <c r="X35" s="3"/>
      <c r="Y35" s="3"/>
      <c r="Z35" s="3"/>
      <c r="AA35" s="3"/>
    </row>
    <row r="36" spans="1:27" ht="16.149999999999999">
      <c r="A36" s="7"/>
      <c r="B36" s="7"/>
      <c r="C36" s="3">
        <v>35</v>
      </c>
      <c r="D36" s="3">
        <v>35</v>
      </c>
      <c r="E36" s="15" t="s">
        <v>212</v>
      </c>
      <c r="F36" s="15" t="s">
        <v>213</v>
      </c>
      <c r="G36" s="1"/>
      <c r="H36" s="1" t="s">
        <v>214</v>
      </c>
      <c r="I36" s="6"/>
      <c r="J36" s="1" t="s">
        <v>215</v>
      </c>
      <c r="K36" s="1"/>
      <c r="L36" s="1"/>
      <c r="M36" s="1"/>
      <c r="N36" s="19"/>
      <c r="O36" s="19"/>
      <c r="P36" s="19"/>
      <c r="Q36" s="1"/>
      <c r="R36" s="1"/>
      <c r="S36" s="1"/>
      <c r="T36" s="1"/>
      <c r="U36" s="1"/>
      <c r="V36" s="1"/>
      <c r="W36" s="1"/>
      <c r="X36" s="3"/>
      <c r="Y36" s="3"/>
      <c r="Z36" s="3"/>
      <c r="AA36" s="3"/>
    </row>
    <row r="37" spans="1:27" ht="16.149999999999999">
      <c r="A37" s="7"/>
      <c r="B37" s="7"/>
      <c r="C37" s="3">
        <v>36</v>
      </c>
      <c r="D37" s="3">
        <v>36</v>
      </c>
      <c r="E37" s="15" t="s">
        <v>216</v>
      </c>
      <c r="F37" s="15" t="s">
        <v>217</v>
      </c>
      <c r="G37" s="1"/>
      <c r="H37" s="1" t="s">
        <v>218</v>
      </c>
      <c r="I37" s="6"/>
      <c r="J37" s="1" t="s">
        <v>219</v>
      </c>
      <c r="K37" s="1"/>
      <c r="L37" s="1"/>
      <c r="M37" s="1"/>
      <c r="N37" s="19"/>
      <c r="O37" s="19"/>
      <c r="P37" s="19"/>
      <c r="Q37" s="1"/>
      <c r="R37" s="1"/>
      <c r="S37" s="1"/>
      <c r="T37" s="1"/>
      <c r="U37" s="1"/>
      <c r="V37" s="1"/>
      <c r="W37" s="1"/>
      <c r="X37" s="3"/>
      <c r="Y37" s="3"/>
      <c r="Z37" s="3"/>
      <c r="AA37" s="3"/>
    </row>
    <row r="38" spans="1:27" ht="16.149999999999999">
      <c r="A38" s="7"/>
      <c r="B38" s="7"/>
      <c r="C38" s="3">
        <v>37</v>
      </c>
      <c r="D38" s="3">
        <v>37</v>
      </c>
      <c r="E38" s="13" t="s">
        <v>220</v>
      </c>
      <c r="F38" s="15" t="s">
        <v>221</v>
      </c>
      <c r="G38" s="1"/>
      <c r="H38" s="1" t="s">
        <v>88</v>
      </c>
      <c r="I38" s="6"/>
      <c r="J38" s="1" t="s">
        <v>222</v>
      </c>
      <c r="K38" s="1"/>
      <c r="L38" s="1"/>
      <c r="M38" s="1"/>
      <c r="N38" s="19"/>
      <c r="O38" s="19"/>
      <c r="P38" s="19"/>
      <c r="Q38" s="1"/>
      <c r="R38" s="1"/>
      <c r="S38" s="1"/>
      <c r="T38" s="1"/>
      <c r="U38" s="1"/>
      <c r="V38" s="1"/>
      <c r="W38" s="1"/>
      <c r="X38" s="3"/>
      <c r="Y38" s="3"/>
      <c r="Z38" s="3"/>
      <c r="AA38" s="3"/>
    </row>
    <row r="39" spans="1:27" ht="16.149999999999999">
      <c r="A39" s="7"/>
      <c r="B39" s="7"/>
      <c r="C39" s="3">
        <v>38</v>
      </c>
      <c r="D39" s="3">
        <v>38</v>
      </c>
      <c r="E39" s="13" t="s">
        <v>223</v>
      </c>
      <c r="F39" s="13" t="s">
        <v>224</v>
      </c>
      <c r="G39" s="1"/>
      <c r="H39" s="1" t="s">
        <v>83</v>
      </c>
      <c r="I39" s="6"/>
      <c r="J39" s="1" t="s">
        <v>225</v>
      </c>
      <c r="K39" s="1"/>
      <c r="L39" s="1"/>
      <c r="M39" s="1"/>
      <c r="N39" s="19"/>
      <c r="O39" s="19"/>
      <c r="P39" s="19"/>
      <c r="Q39" s="1"/>
      <c r="R39" s="1"/>
      <c r="S39" s="1"/>
      <c r="T39" s="1"/>
      <c r="U39" s="1"/>
      <c r="V39" s="1"/>
      <c r="W39" s="1"/>
      <c r="X39" s="3"/>
      <c r="Y39" s="3"/>
      <c r="Z39" s="3"/>
      <c r="AA39" s="3"/>
    </row>
    <row r="40" spans="1:27" ht="16.149999999999999">
      <c r="A40" s="7"/>
      <c r="B40" s="7"/>
      <c r="C40" s="3">
        <v>39</v>
      </c>
      <c r="D40" s="3">
        <v>39</v>
      </c>
      <c r="E40" s="13" t="s">
        <v>226</v>
      </c>
      <c r="F40" s="13" t="s">
        <v>227</v>
      </c>
      <c r="G40" s="1"/>
      <c r="H40" s="1" t="s">
        <v>77</v>
      </c>
      <c r="I40" s="6"/>
      <c r="J40" s="1" t="s">
        <v>228</v>
      </c>
      <c r="K40" s="1"/>
      <c r="L40" s="1"/>
      <c r="M40" s="1"/>
      <c r="N40" s="19"/>
      <c r="O40" s="19"/>
      <c r="P40" s="19"/>
      <c r="Q40" s="1"/>
      <c r="R40" s="1"/>
      <c r="S40" s="1"/>
      <c r="T40" s="1"/>
      <c r="U40" s="1"/>
      <c r="V40" s="1"/>
      <c r="W40" s="1"/>
      <c r="X40" s="3"/>
      <c r="Y40" s="3"/>
      <c r="Z40" s="3"/>
      <c r="AA40" s="3"/>
    </row>
    <row r="41" spans="1:27" ht="16.149999999999999">
      <c r="A41" s="7"/>
      <c r="B41" s="7"/>
      <c r="C41" s="3">
        <v>40</v>
      </c>
      <c r="D41" s="3">
        <v>40</v>
      </c>
      <c r="E41" s="13" t="s">
        <v>229</v>
      </c>
      <c r="F41" s="13" t="s">
        <v>230</v>
      </c>
      <c r="G41" s="1"/>
      <c r="H41" s="1" t="s">
        <v>71</v>
      </c>
      <c r="I41" s="6" t="s">
        <v>231</v>
      </c>
      <c r="J41" s="1" t="s">
        <v>232</v>
      </c>
      <c r="K41" s="1"/>
      <c r="L41" s="1"/>
      <c r="M41" s="1"/>
      <c r="N41" s="19"/>
      <c r="O41" s="19"/>
      <c r="P41" s="19"/>
      <c r="Q41" s="1"/>
      <c r="R41" s="1"/>
      <c r="S41" s="1"/>
      <c r="T41" s="1"/>
      <c r="U41" s="1"/>
      <c r="V41" s="1"/>
      <c r="W41" s="1"/>
      <c r="X41" s="3"/>
      <c r="Y41" s="3"/>
      <c r="Z41" s="3"/>
      <c r="AA41" s="3"/>
    </row>
    <row r="42" spans="1:27" ht="16.149999999999999">
      <c r="A42" s="1"/>
      <c r="B42" s="1"/>
      <c r="C42" s="3">
        <v>41</v>
      </c>
      <c r="D42" s="3">
        <v>41</v>
      </c>
      <c r="E42" s="13" t="s">
        <v>233</v>
      </c>
      <c r="F42" s="13" t="s">
        <v>234</v>
      </c>
      <c r="G42" s="1"/>
      <c r="H42" s="1" t="s">
        <v>63</v>
      </c>
      <c r="I42" s="6" t="s">
        <v>235</v>
      </c>
      <c r="J42" s="1"/>
      <c r="K42" s="1"/>
      <c r="L42" s="1"/>
      <c r="M42" s="1"/>
      <c r="N42" s="19"/>
      <c r="O42" s="19"/>
      <c r="P42" s="19"/>
      <c r="Q42" s="1"/>
      <c r="R42" s="1"/>
      <c r="S42" s="1"/>
      <c r="T42" s="1"/>
      <c r="U42" s="1"/>
      <c r="V42" s="1"/>
      <c r="W42" s="1"/>
      <c r="X42" s="3"/>
      <c r="Y42" s="3"/>
      <c r="Z42" s="3"/>
      <c r="AA42" s="3"/>
    </row>
    <row r="43" spans="1:27" ht="16.149999999999999">
      <c r="A43" s="1"/>
      <c r="B43" s="1"/>
      <c r="C43" s="3">
        <v>42</v>
      </c>
      <c r="D43" s="3">
        <v>42</v>
      </c>
      <c r="E43" s="13" t="s">
        <v>236</v>
      </c>
      <c r="F43" s="13" t="s">
        <v>237</v>
      </c>
      <c r="G43" s="1"/>
      <c r="H43" s="1" t="s">
        <v>52</v>
      </c>
      <c r="I43" s="6" t="s">
        <v>238</v>
      </c>
      <c r="J43" s="1"/>
      <c r="K43" s="1"/>
      <c r="L43" s="1"/>
      <c r="M43" s="1"/>
      <c r="N43" s="19"/>
      <c r="O43" s="19"/>
      <c r="P43" s="19"/>
      <c r="Q43" s="1"/>
      <c r="R43" s="1"/>
      <c r="S43" s="1"/>
      <c r="T43" s="1"/>
      <c r="U43" s="1"/>
      <c r="V43" s="1"/>
      <c r="W43" s="1"/>
      <c r="X43" s="3"/>
      <c r="Y43" s="3"/>
      <c r="Z43" s="3"/>
      <c r="AA43" s="3"/>
    </row>
    <row r="44" spans="1:27" ht="16.149999999999999">
      <c r="A44" s="1"/>
      <c r="B44" s="1"/>
      <c r="C44" s="3">
        <v>43</v>
      </c>
      <c r="D44" s="3">
        <v>43</v>
      </c>
      <c r="E44" s="13" t="s">
        <v>239</v>
      </c>
      <c r="F44" s="13" t="s">
        <v>240</v>
      </c>
      <c r="G44" s="1"/>
      <c r="H44" s="1" t="s">
        <v>41</v>
      </c>
      <c r="I44" s="6" t="s">
        <v>241</v>
      </c>
      <c r="J44" s="1"/>
      <c r="K44" s="1"/>
      <c r="L44" s="1"/>
      <c r="M44" s="1"/>
      <c r="N44" s="19"/>
      <c r="O44" s="19"/>
      <c r="P44" s="19"/>
      <c r="Q44" s="1"/>
      <c r="R44" s="1"/>
      <c r="S44" s="1"/>
      <c r="T44" s="1"/>
      <c r="U44" s="1"/>
      <c r="V44" s="1"/>
      <c r="W44" s="1"/>
      <c r="X44" s="3"/>
      <c r="Y44" s="3"/>
      <c r="Z44" s="3"/>
      <c r="AA44" s="3"/>
    </row>
    <row r="45" spans="1:27" ht="16.149999999999999">
      <c r="A45" s="1"/>
      <c r="B45" s="1"/>
      <c r="C45" s="3">
        <v>44</v>
      </c>
      <c r="D45" s="3">
        <v>44</v>
      </c>
      <c r="E45" s="13" t="s">
        <v>242</v>
      </c>
      <c r="F45" s="13" t="s">
        <v>243</v>
      </c>
      <c r="G45" s="10"/>
      <c r="H45" s="1" t="s">
        <v>28</v>
      </c>
      <c r="I45" s="6" t="s">
        <v>244</v>
      </c>
      <c r="J45" s="1"/>
      <c r="K45" s="1"/>
      <c r="L45" s="1"/>
      <c r="M45" s="1"/>
      <c r="N45" s="19"/>
      <c r="O45" s="19"/>
      <c r="P45" s="19"/>
      <c r="Q45" s="10"/>
      <c r="R45" s="10"/>
      <c r="S45" s="10"/>
      <c r="T45" s="10"/>
      <c r="U45" s="10"/>
      <c r="V45" s="10"/>
      <c r="W45" s="10"/>
      <c r="X45" s="3"/>
      <c r="Y45" s="3"/>
      <c r="Z45" s="3"/>
      <c r="AA45" s="3"/>
    </row>
    <row r="46" spans="1:27" ht="16.149999999999999">
      <c r="A46" s="1">
        <v>17</v>
      </c>
      <c r="B46" s="1">
        <v>17</v>
      </c>
      <c r="C46" s="3">
        <v>45</v>
      </c>
      <c r="D46" s="3">
        <v>45</v>
      </c>
      <c r="E46" s="13" t="s">
        <v>245</v>
      </c>
      <c r="F46" s="13" t="s">
        <v>246</v>
      </c>
      <c r="G46" s="1"/>
      <c r="H46" s="1" t="s">
        <v>146</v>
      </c>
      <c r="I46" s="6" t="s">
        <v>72</v>
      </c>
      <c r="J46" s="1" t="s">
        <v>73</v>
      </c>
      <c r="K46" s="1"/>
      <c r="L46" s="1"/>
      <c r="M46" s="1"/>
      <c r="N46" s="19"/>
      <c r="O46" s="19"/>
      <c r="P46" s="19"/>
      <c r="Q46" s="1"/>
      <c r="R46" s="1"/>
      <c r="S46" s="1"/>
      <c r="T46" s="1"/>
      <c r="U46" s="1"/>
      <c r="V46" s="1"/>
      <c r="W46" s="1"/>
      <c r="X46" s="3"/>
      <c r="Y46" s="3"/>
      <c r="Z46" s="3"/>
      <c r="AA46" s="3"/>
    </row>
    <row r="47" spans="1:27" ht="16.149999999999999">
      <c r="A47" s="1">
        <v>18</v>
      </c>
      <c r="B47" s="1">
        <v>18</v>
      </c>
      <c r="C47" s="3">
        <v>46</v>
      </c>
      <c r="D47" s="3">
        <v>46</v>
      </c>
      <c r="E47" s="13" t="s">
        <v>247</v>
      </c>
      <c r="F47" s="13" t="s">
        <v>248</v>
      </c>
      <c r="G47" s="1"/>
      <c r="H47" s="1" t="s">
        <v>151</v>
      </c>
      <c r="I47" s="6" t="s">
        <v>78</v>
      </c>
      <c r="J47" s="1" t="s">
        <v>79</v>
      </c>
      <c r="K47" s="1"/>
      <c r="L47" s="1"/>
      <c r="M47" s="1"/>
      <c r="N47" s="19"/>
      <c r="O47" s="19"/>
      <c r="P47" s="19"/>
      <c r="Q47" s="1"/>
      <c r="R47" s="1"/>
      <c r="S47" s="1"/>
      <c r="T47" s="1"/>
      <c r="U47" s="1"/>
      <c r="V47" s="1"/>
      <c r="W47" s="1"/>
      <c r="X47" s="3"/>
      <c r="Y47" s="3"/>
      <c r="Z47" s="3"/>
      <c r="AA47" s="3"/>
    </row>
    <row r="48" spans="1:27" ht="16.149999999999999">
      <c r="A48" s="1">
        <v>19</v>
      </c>
      <c r="B48" s="1">
        <v>19</v>
      </c>
      <c r="C48" s="3">
        <v>47</v>
      </c>
      <c r="D48" s="3">
        <v>47</v>
      </c>
      <c r="E48" s="13" t="s">
        <v>108</v>
      </c>
      <c r="F48" s="13" t="s">
        <v>109</v>
      </c>
      <c r="G48" s="1"/>
      <c r="H48" s="1"/>
      <c r="I48" s="6"/>
      <c r="J48" s="1"/>
      <c r="K48" s="1"/>
      <c r="L48" s="1"/>
      <c r="M48" s="1"/>
      <c r="N48" s="19"/>
      <c r="O48" s="19"/>
      <c r="P48" s="19"/>
      <c r="Q48" s="1"/>
      <c r="R48" s="1"/>
      <c r="S48" s="1"/>
      <c r="T48" s="1"/>
      <c r="U48" s="1"/>
      <c r="V48" s="1"/>
      <c r="W48" s="1"/>
      <c r="X48" s="3"/>
      <c r="Y48" s="3"/>
      <c r="Z48" s="3"/>
      <c r="AA48" s="3"/>
    </row>
    <row r="49" spans="1:27" ht="16.149999999999999">
      <c r="A49" s="1">
        <v>20</v>
      </c>
      <c r="B49" s="1">
        <v>20</v>
      </c>
      <c r="C49" s="3">
        <v>48</v>
      </c>
      <c r="D49" s="3">
        <v>48</v>
      </c>
      <c r="E49" s="13" t="s">
        <v>110</v>
      </c>
      <c r="F49" s="13" t="s">
        <v>111</v>
      </c>
      <c r="G49" s="1"/>
      <c r="H49" s="1"/>
      <c r="I49" s="6"/>
      <c r="J49" s="1"/>
      <c r="K49" s="1"/>
      <c r="L49" s="1"/>
      <c r="M49" s="1"/>
      <c r="N49" s="19"/>
      <c r="O49" s="19"/>
      <c r="P49" s="19"/>
      <c r="Q49" s="1"/>
      <c r="R49" s="1"/>
      <c r="S49" s="1"/>
      <c r="T49" s="1"/>
      <c r="U49" s="1"/>
      <c r="V49" s="1"/>
      <c r="W49" s="1"/>
      <c r="X49" s="3"/>
      <c r="Y49" s="3"/>
      <c r="Z49" s="3"/>
      <c r="AA49" s="3"/>
    </row>
    <row r="50" spans="1:27" ht="16.149999999999999">
      <c r="A50" s="1">
        <v>21</v>
      </c>
      <c r="B50" s="1">
        <v>21</v>
      </c>
      <c r="C50" s="3">
        <v>49</v>
      </c>
      <c r="D50" s="3">
        <v>49</v>
      </c>
      <c r="E50" s="13" t="s">
        <v>249</v>
      </c>
      <c r="F50" s="13" t="s">
        <v>250</v>
      </c>
      <c r="G50" s="1"/>
      <c r="H50" s="1" t="s">
        <v>139</v>
      </c>
      <c r="I50" s="6" t="s">
        <v>251</v>
      </c>
      <c r="J50" s="1" t="s">
        <v>190</v>
      </c>
      <c r="K50" s="1"/>
      <c r="L50" s="1"/>
      <c r="M50" s="1"/>
      <c r="N50" s="19"/>
      <c r="O50" s="19"/>
      <c r="P50" s="19"/>
      <c r="Q50" s="1"/>
      <c r="R50" s="1"/>
      <c r="S50" s="1"/>
      <c r="T50" s="1"/>
      <c r="U50" s="1"/>
      <c r="V50" s="1"/>
      <c r="W50" s="1"/>
      <c r="X50" s="3"/>
      <c r="Y50" s="3"/>
      <c r="Z50" s="3"/>
      <c r="AA50" s="3"/>
    </row>
    <row r="51" spans="1:27" ht="16.149999999999999">
      <c r="A51" s="1">
        <v>22</v>
      </c>
      <c r="B51" s="1">
        <v>22</v>
      </c>
      <c r="C51" s="3">
        <v>50</v>
      </c>
      <c r="D51" s="3">
        <v>50</v>
      </c>
      <c r="E51" s="13" t="s">
        <v>252</v>
      </c>
      <c r="F51" s="13" t="s">
        <v>253</v>
      </c>
      <c r="G51" s="1"/>
      <c r="H51" s="1" t="s">
        <v>172</v>
      </c>
      <c r="I51" s="6" t="s">
        <v>254</v>
      </c>
      <c r="J51" s="1" t="s">
        <v>195</v>
      </c>
      <c r="K51" s="1"/>
      <c r="L51" s="1"/>
      <c r="M51" s="1"/>
      <c r="N51" s="19"/>
      <c r="O51" s="19"/>
      <c r="P51" s="19"/>
      <c r="Q51" s="1"/>
      <c r="R51" s="1"/>
      <c r="S51" s="1"/>
      <c r="T51" s="1"/>
      <c r="U51" s="1"/>
      <c r="V51" s="1"/>
      <c r="W51" s="1"/>
      <c r="X51" s="3"/>
      <c r="Y51" s="3"/>
      <c r="Z51" s="3"/>
      <c r="AA51" s="3"/>
    </row>
    <row r="52" spans="1:27" ht="16.149999999999999">
      <c r="A52" s="1">
        <v>23</v>
      </c>
      <c r="B52" s="1">
        <v>23</v>
      </c>
      <c r="C52" s="3">
        <v>51</v>
      </c>
      <c r="D52" s="3">
        <v>51</v>
      </c>
      <c r="E52" s="13" t="s">
        <v>255</v>
      </c>
      <c r="F52" s="13" t="s">
        <v>256</v>
      </c>
      <c r="G52" s="1"/>
      <c r="H52" s="1" t="s">
        <v>177</v>
      </c>
      <c r="I52" s="6" t="s">
        <v>257</v>
      </c>
      <c r="J52" s="1" t="s">
        <v>200</v>
      </c>
      <c r="K52" s="1"/>
      <c r="L52" s="1"/>
      <c r="M52" s="1"/>
      <c r="N52" s="19"/>
      <c r="O52" s="19"/>
      <c r="P52" s="19"/>
      <c r="Q52" s="1"/>
      <c r="R52" s="1"/>
      <c r="S52" s="1"/>
      <c r="T52" s="1"/>
      <c r="U52" s="1"/>
      <c r="V52" s="1"/>
      <c r="W52" s="1"/>
      <c r="X52" s="3"/>
      <c r="Y52" s="3"/>
      <c r="Z52" s="3"/>
      <c r="AA52" s="3"/>
    </row>
    <row r="53" spans="1:27" ht="16.149999999999999">
      <c r="A53" s="1">
        <v>24</v>
      </c>
      <c r="B53" s="1">
        <v>24</v>
      </c>
      <c r="C53" s="3">
        <v>52</v>
      </c>
      <c r="D53" s="3">
        <v>52</v>
      </c>
      <c r="E53" s="13" t="s">
        <v>258</v>
      </c>
      <c r="F53" s="13" t="s">
        <v>259</v>
      </c>
      <c r="G53" s="1"/>
      <c r="H53" s="1" t="s">
        <v>182</v>
      </c>
      <c r="I53" s="6" t="s">
        <v>260</v>
      </c>
      <c r="J53" s="1" t="s">
        <v>205</v>
      </c>
      <c r="K53" s="1"/>
      <c r="L53" s="1"/>
      <c r="M53" s="1"/>
      <c r="N53" s="19"/>
      <c r="O53" s="19"/>
      <c r="P53" s="19"/>
      <c r="Q53" s="1"/>
      <c r="R53" s="1"/>
      <c r="S53" s="1"/>
      <c r="T53" s="1"/>
      <c r="U53" s="1"/>
      <c r="V53" s="1"/>
      <c r="W53" s="1"/>
      <c r="X53" s="3"/>
      <c r="Y53" s="3"/>
      <c r="Z53" s="3"/>
      <c r="AA53" s="3"/>
    </row>
    <row r="54" spans="1:27" ht="16.149999999999999">
      <c r="A54" s="1">
        <v>25</v>
      </c>
      <c r="B54" s="1">
        <v>25</v>
      </c>
      <c r="C54" s="3">
        <v>53</v>
      </c>
      <c r="D54" s="3">
        <v>53</v>
      </c>
      <c r="E54" s="13" t="s">
        <v>261</v>
      </c>
      <c r="F54" s="13" t="s">
        <v>262</v>
      </c>
      <c r="G54" s="1"/>
      <c r="H54" s="1" t="s">
        <v>185</v>
      </c>
      <c r="I54" s="6" t="s">
        <v>263</v>
      </c>
      <c r="J54" s="1" t="s">
        <v>210</v>
      </c>
      <c r="K54" s="1"/>
      <c r="L54" s="1"/>
      <c r="M54" s="1"/>
      <c r="N54" s="19"/>
      <c r="O54" s="19"/>
      <c r="P54" s="19"/>
      <c r="Q54" s="1"/>
      <c r="R54" s="1"/>
      <c r="S54" s="1"/>
      <c r="T54" s="1"/>
      <c r="U54" s="1"/>
      <c r="V54" s="1"/>
      <c r="W54" s="1"/>
      <c r="X54" s="3"/>
      <c r="Y54" s="3"/>
      <c r="Z54" s="3"/>
      <c r="AA54" s="3"/>
    </row>
    <row r="55" spans="1:27" ht="16.149999999999999">
      <c r="A55" s="1">
        <v>26</v>
      </c>
      <c r="B55" s="1">
        <v>26</v>
      </c>
      <c r="C55" s="3">
        <v>54</v>
      </c>
      <c r="D55" s="3">
        <v>54</v>
      </c>
      <c r="E55" s="13" t="s">
        <v>264</v>
      </c>
      <c r="F55" s="13" t="s">
        <v>265</v>
      </c>
      <c r="G55" s="1"/>
      <c r="H55" s="1" t="s">
        <v>188</v>
      </c>
      <c r="I55" s="6" t="s">
        <v>266</v>
      </c>
      <c r="J55" s="1" t="s">
        <v>73</v>
      </c>
      <c r="K55" s="1"/>
      <c r="L55" s="1"/>
      <c r="M55" s="1"/>
      <c r="N55" s="19"/>
      <c r="O55" s="19"/>
      <c r="P55" s="19"/>
      <c r="Q55" s="1"/>
      <c r="R55" s="1"/>
      <c r="S55" s="1"/>
      <c r="T55" s="1"/>
      <c r="U55" s="1"/>
      <c r="V55" s="1"/>
      <c r="W55" s="1"/>
      <c r="X55" s="3"/>
      <c r="Y55" s="3"/>
      <c r="Z55" s="3"/>
      <c r="AA55" s="3"/>
    </row>
    <row r="56" spans="1:27" ht="16.149999999999999">
      <c r="A56" s="1">
        <v>27</v>
      </c>
      <c r="B56" s="1">
        <v>27</v>
      </c>
      <c r="C56" s="3">
        <v>55</v>
      </c>
      <c r="D56" s="3">
        <v>55</v>
      </c>
      <c r="E56" s="13" t="s">
        <v>267</v>
      </c>
      <c r="F56" s="13" t="s">
        <v>268</v>
      </c>
      <c r="G56" s="1"/>
      <c r="H56" s="1" t="s">
        <v>193</v>
      </c>
      <c r="I56" s="6" t="s">
        <v>30</v>
      </c>
      <c r="J56" s="1" t="s">
        <v>79</v>
      </c>
      <c r="K56" s="1"/>
      <c r="L56" s="1"/>
      <c r="M56" s="1"/>
      <c r="N56" s="19"/>
      <c r="O56" s="19"/>
      <c r="P56" s="19"/>
      <c r="Q56" s="1"/>
      <c r="R56" s="1"/>
      <c r="S56" s="1"/>
      <c r="T56" s="1"/>
      <c r="U56" s="1"/>
      <c r="V56" s="1"/>
      <c r="W56" s="1"/>
      <c r="X56" s="3"/>
      <c r="Y56" s="3"/>
      <c r="Z56" s="3"/>
      <c r="AA56" s="3"/>
    </row>
    <row r="57" spans="1:27" ht="16.149999999999999">
      <c r="A57" s="1">
        <v>28</v>
      </c>
      <c r="B57" s="1">
        <v>28</v>
      </c>
      <c r="C57" s="3">
        <v>56</v>
      </c>
      <c r="D57" s="3">
        <v>56</v>
      </c>
      <c r="E57" s="13" t="s">
        <v>269</v>
      </c>
      <c r="F57" s="13" t="s">
        <v>270</v>
      </c>
      <c r="G57" s="1"/>
      <c r="H57" s="1" t="s">
        <v>271</v>
      </c>
      <c r="I57" s="6" t="s">
        <v>43</v>
      </c>
      <c r="J57" s="1" t="s">
        <v>235</v>
      </c>
      <c r="K57" s="1"/>
      <c r="L57" s="1"/>
      <c r="M57" s="1"/>
      <c r="N57" s="18"/>
      <c r="O57" s="18"/>
      <c r="P57" s="18"/>
      <c r="Q57" s="1"/>
      <c r="R57" s="1"/>
      <c r="S57" s="1"/>
      <c r="T57" s="1"/>
      <c r="U57" s="1"/>
      <c r="V57" s="1"/>
      <c r="W57" s="1"/>
      <c r="X57" s="3"/>
      <c r="Y57" s="3"/>
      <c r="Z57" s="3"/>
      <c r="AA57" s="3"/>
    </row>
    <row r="58" spans="1:27" ht="16.149999999999999">
      <c r="A58" s="1">
        <v>29</v>
      </c>
      <c r="B58" s="1">
        <v>29</v>
      </c>
      <c r="C58" s="3">
        <v>57</v>
      </c>
      <c r="D58" s="3">
        <v>57</v>
      </c>
      <c r="E58" s="13" t="s">
        <v>272</v>
      </c>
      <c r="F58" s="13" t="s">
        <v>273</v>
      </c>
      <c r="G58" s="1"/>
      <c r="H58" s="1" t="s">
        <v>274</v>
      </c>
      <c r="I58" s="6" t="s">
        <v>54</v>
      </c>
      <c r="J58" s="1" t="s">
        <v>238</v>
      </c>
      <c r="K58" s="1"/>
      <c r="L58" s="1"/>
      <c r="M58" s="1"/>
      <c r="N58" s="18"/>
      <c r="O58" s="18"/>
      <c r="P58" s="18"/>
      <c r="Q58" s="1"/>
      <c r="R58" s="1"/>
      <c r="S58" s="1"/>
      <c r="T58" s="1"/>
      <c r="U58" s="1"/>
      <c r="V58" s="1"/>
      <c r="W58" s="1"/>
      <c r="X58" s="3"/>
      <c r="Y58" s="3"/>
      <c r="Z58" s="3"/>
      <c r="AA58" s="3"/>
    </row>
    <row r="59" spans="1:27" ht="16.149999999999999">
      <c r="A59" s="1">
        <v>30</v>
      </c>
      <c r="B59" s="1">
        <v>30</v>
      </c>
      <c r="C59" s="3">
        <v>58</v>
      </c>
      <c r="D59" s="3">
        <v>58</v>
      </c>
      <c r="E59" s="13" t="s">
        <v>275</v>
      </c>
      <c r="F59" s="13" t="s">
        <v>276</v>
      </c>
      <c r="G59" s="1"/>
      <c r="H59" s="1" t="s">
        <v>277</v>
      </c>
      <c r="I59" s="6" t="s">
        <v>65</v>
      </c>
      <c r="J59" s="1" t="s">
        <v>241</v>
      </c>
      <c r="K59" s="1"/>
      <c r="L59" s="1"/>
      <c r="M59" s="1"/>
      <c r="N59" s="19"/>
      <c r="O59" s="19"/>
      <c r="P59" s="19"/>
      <c r="Q59" s="1"/>
      <c r="R59" s="1"/>
      <c r="S59" s="1"/>
      <c r="T59" s="1"/>
      <c r="U59" s="1"/>
      <c r="V59" s="1"/>
      <c r="W59" s="1"/>
      <c r="X59" s="3"/>
      <c r="Y59" s="3"/>
      <c r="Z59" s="3"/>
      <c r="AA59" s="3"/>
    </row>
    <row r="60" spans="1:27" ht="16.149999999999999">
      <c r="A60" s="1">
        <v>31</v>
      </c>
      <c r="B60" s="1">
        <v>31</v>
      </c>
      <c r="C60" s="3">
        <v>59</v>
      </c>
      <c r="D60" s="3">
        <v>59</v>
      </c>
      <c r="E60" s="13" t="s">
        <v>278</v>
      </c>
      <c r="F60" s="13" t="s">
        <v>279</v>
      </c>
      <c r="G60" s="1"/>
      <c r="H60" s="7" t="s">
        <v>280</v>
      </c>
      <c r="I60" s="6" t="s">
        <v>96</v>
      </c>
      <c r="J60" s="1" t="s">
        <v>244</v>
      </c>
      <c r="K60" s="1"/>
      <c r="L60" s="1"/>
      <c r="M60" s="1"/>
      <c r="N60" s="19"/>
      <c r="O60" s="19"/>
      <c r="P60" s="19"/>
      <c r="Q60" s="1" t="s">
        <v>281</v>
      </c>
      <c r="R60" s="1"/>
      <c r="S60" s="1"/>
      <c r="T60" s="1"/>
      <c r="U60" s="1"/>
      <c r="V60" s="1"/>
      <c r="W60" s="1"/>
      <c r="X60" s="3"/>
      <c r="Y60" s="3"/>
      <c r="Z60" s="3"/>
      <c r="AA60" s="3"/>
    </row>
    <row r="61" spans="1:27" ht="16.149999999999999">
      <c r="A61" s="1">
        <v>32</v>
      </c>
      <c r="B61" s="1">
        <v>32</v>
      </c>
      <c r="C61" s="3">
        <v>60</v>
      </c>
      <c r="D61" s="3">
        <v>60</v>
      </c>
      <c r="E61" s="13" t="s">
        <v>108</v>
      </c>
      <c r="F61" s="13" t="s">
        <v>109</v>
      </c>
      <c r="G61" s="1"/>
      <c r="H61" s="1"/>
      <c r="I61" s="6"/>
      <c r="J61" s="1"/>
      <c r="K61" s="1"/>
      <c r="L61" s="1"/>
      <c r="M61" s="1"/>
      <c r="N61" s="19"/>
      <c r="O61" s="19"/>
      <c r="P61" s="19"/>
      <c r="Q61" s="1"/>
      <c r="R61" s="1"/>
      <c r="S61" s="1"/>
      <c r="T61" s="1"/>
      <c r="U61" s="1"/>
      <c r="V61" s="1"/>
      <c r="W61" s="1"/>
      <c r="X61" s="3"/>
      <c r="Y61" s="3"/>
      <c r="Z61" s="3"/>
      <c r="AA61" s="3"/>
    </row>
    <row r="62" spans="1:27" ht="16.149999999999999">
      <c r="A62" s="1"/>
      <c r="B62" s="1"/>
      <c r="C62" s="3">
        <v>61</v>
      </c>
      <c r="D62" s="3">
        <v>61</v>
      </c>
      <c r="E62" s="13" t="s">
        <v>110</v>
      </c>
      <c r="F62" s="13" t="s">
        <v>111</v>
      </c>
      <c r="G62" s="1"/>
      <c r="H62" s="1"/>
      <c r="I62" s="6"/>
      <c r="J62" s="1"/>
      <c r="K62" s="1"/>
      <c r="L62" s="1"/>
      <c r="M62" s="1"/>
      <c r="N62" s="19"/>
      <c r="O62" s="19"/>
      <c r="P62" s="19"/>
      <c r="Q62" s="1"/>
      <c r="R62" s="1"/>
      <c r="S62" s="1"/>
      <c r="T62" s="1"/>
      <c r="U62" s="1"/>
      <c r="V62" s="1"/>
      <c r="W62" s="1"/>
      <c r="X62" s="3"/>
      <c r="Y62" s="3"/>
      <c r="Z62" s="3"/>
      <c r="AA62" s="3"/>
    </row>
    <row r="63" spans="1:27" ht="16.149999999999999">
      <c r="A63" s="1">
        <v>33</v>
      </c>
      <c r="B63" s="1">
        <v>33</v>
      </c>
      <c r="C63" s="3">
        <v>62</v>
      </c>
      <c r="D63" s="3">
        <v>62</v>
      </c>
      <c r="E63" s="13" t="s">
        <v>282</v>
      </c>
      <c r="F63" s="13" t="s">
        <v>283</v>
      </c>
      <c r="G63" s="1"/>
      <c r="H63" s="1"/>
      <c r="I63" s="6"/>
      <c r="J63" s="1"/>
      <c r="K63" s="1"/>
      <c r="L63" s="1"/>
      <c r="M63" s="1"/>
      <c r="N63" s="19"/>
      <c r="O63" s="18"/>
      <c r="P63" s="18"/>
      <c r="Q63" s="1"/>
      <c r="R63" s="1"/>
      <c r="S63" s="1"/>
      <c r="T63" s="1"/>
      <c r="U63" s="1"/>
      <c r="V63" s="1"/>
      <c r="W63" s="1"/>
      <c r="X63" s="3"/>
      <c r="Y63" s="3"/>
      <c r="Z63" s="3"/>
      <c r="AA63" s="3"/>
    </row>
    <row r="64" spans="1:27" ht="16.149999999999999">
      <c r="A64" s="1">
        <v>34</v>
      </c>
      <c r="B64" s="1">
        <v>34</v>
      </c>
      <c r="C64" s="3">
        <v>63</v>
      </c>
      <c r="D64" s="3">
        <v>63</v>
      </c>
      <c r="E64" s="13" t="s">
        <v>284</v>
      </c>
      <c r="F64" s="13" t="s">
        <v>285</v>
      </c>
      <c r="G64" s="1"/>
      <c r="H64" s="1" t="s">
        <v>286</v>
      </c>
      <c r="I64" s="6" t="s">
        <v>287</v>
      </c>
      <c r="J64" s="1" t="s">
        <v>231</v>
      </c>
      <c r="K64" s="1"/>
      <c r="L64" s="1"/>
      <c r="M64" s="1"/>
      <c r="N64" s="18"/>
      <c r="O64" s="18"/>
      <c r="P64" s="18"/>
      <c r="Q64" s="1"/>
      <c r="R64" s="1"/>
      <c r="S64" s="1"/>
      <c r="T64" s="1"/>
      <c r="U64" s="1"/>
      <c r="V64" s="1"/>
      <c r="W64" s="1"/>
      <c r="X64" s="3"/>
      <c r="Y64" s="3"/>
      <c r="Z64" s="3"/>
      <c r="AA64" s="3"/>
    </row>
    <row r="65" spans="1:27" ht="16.149999999999999">
      <c r="A65" s="1">
        <v>35</v>
      </c>
      <c r="B65" s="1">
        <v>35</v>
      </c>
      <c r="C65" s="3">
        <v>64</v>
      </c>
      <c r="D65" s="3">
        <v>64</v>
      </c>
      <c r="E65" s="13" t="s">
        <v>288</v>
      </c>
      <c r="F65" s="13" t="s">
        <v>289</v>
      </c>
      <c r="G65" s="1"/>
      <c r="H65" s="1" t="s">
        <v>290</v>
      </c>
      <c r="I65" s="6" t="s">
        <v>291</v>
      </c>
      <c r="J65" s="1" t="s">
        <v>292</v>
      </c>
      <c r="K65" s="1"/>
      <c r="L65" s="1"/>
      <c r="M65" s="1"/>
      <c r="N65" s="18"/>
      <c r="O65" s="18"/>
      <c r="P65" s="18"/>
      <c r="Q65" s="1"/>
      <c r="R65" s="1"/>
      <c r="S65" s="1"/>
      <c r="T65" s="1"/>
      <c r="U65" s="1"/>
      <c r="V65" s="1"/>
      <c r="W65" s="1"/>
      <c r="X65" s="3"/>
      <c r="Y65" s="3"/>
      <c r="Z65" s="3"/>
      <c r="AA65" s="3"/>
    </row>
    <row r="66" spans="1:27" ht="16.149999999999999">
      <c r="A66" s="1">
        <v>36</v>
      </c>
      <c r="B66" s="1">
        <v>36</v>
      </c>
      <c r="C66" s="3">
        <v>65</v>
      </c>
      <c r="D66" s="3">
        <v>65</v>
      </c>
      <c r="E66" s="13" t="s">
        <v>293</v>
      </c>
      <c r="F66" s="13" t="s">
        <v>294</v>
      </c>
      <c r="G66" s="1"/>
      <c r="H66" s="1" t="s">
        <v>295</v>
      </c>
      <c r="I66" s="6" t="s">
        <v>296</v>
      </c>
      <c r="J66" s="1" t="s">
        <v>297</v>
      </c>
      <c r="K66" s="1"/>
      <c r="L66" s="1"/>
      <c r="M66" s="1"/>
      <c r="N66" s="19"/>
      <c r="O66" s="19"/>
      <c r="P66" s="19"/>
      <c r="Q66" s="1"/>
      <c r="R66" s="1"/>
      <c r="S66" s="1"/>
      <c r="T66" s="1"/>
      <c r="U66" s="1"/>
      <c r="V66" s="1"/>
      <c r="W66" s="1"/>
      <c r="X66" s="3"/>
      <c r="Y66" s="3"/>
      <c r="Z66" s="3"/>
      <c r="AA66" s="3"/>
    </row>
    <row r="67" spans="1:27" ht="16.149999999999999">
      <c r="A67" s="1"/>
      <c r="B67" s="1"/>
      <c r="C67" s="3">
        <v>66</v>
      </c>
      <c r="D67" s="3">
        <v>66</v>
      </c>
      <c r="E67" s="13" t="s">
        <v>298</v>
      </c>
      <c r="F67" s="13" t="s">
        <v>299</v>
      </c>
      <c r="G67" s="1"/>
      <c r="H67" s="1" t="s">
        <v>300</v>
      </c>
      <c r="I67" s="6" t="s">
        <v>301</v>
      </c>
      <c r="J67" s="1" t="s">
        <v>302</v>
      </c>
      <c r="K67" s="1"/>
      <c r="L67" s="1"/>
      <c r="M67" s="1"/>
      <c r="N67" s="19"/>
      <c r="O67" s="19"/>
      <c r="P67" s="19"/>
      <c r="Q67" s="1"/>
      <c r="R67" s="1"/>
      <c r="S67" s="1"/>
      <c r="T67" s="1"/>
      <c r="U67" s="1"/>
      <c r="V67" s="1"/>
      <c r="W67" s="1"/>
      <c r="X67" s="3"/>
      <c r="Y67" s="3"/>
      <c r="Z67" s="3"/>
      <c r="AA67" s="3"/>
    </row>
    <row r="68" spans="1:27" ht="16.149999999999999">
      <c r="A68" s="1">
        <v>37</v>
      </c>
      <c r="B68" s="1">
        <v>37</v>
      </c>
      <c r="C68" s="3">
        <v>67</v>
      </c>
      <c r="D68" s="3">
        <v>67</v>
      </c>
      <c r="E68" s="13" t="s">
        <v>303</v>
      </c>
      <c r="F68" s="13" t="s">
        <v>304</v>
      </c>
      <c r="G68" s="1"/>
      <c r="H68" s="1" t="s">
        <v>305</v>
      </c>
      <c r="I68" s="6" t="s">
        <v>306</v>
      </c>
      <c r="J68" s="1" t="s">
        <v>307</v>
      </c>
      <c r="K68" s="1"/>
      <c r="L68" s="1"/>
      <c r="M68" s="1"/>
      <c r="N68" s="19"/>
      <c r="O68" s="19"/>
      <c r="P68" s="19"/>
      <c r="Q68" s="1"/>
      <c r="R68" s="1"/>
      <c r="S68" s="1"/>
      <c r="T68" s="1"/>
      <c r="U68" s="1"/>
      <c r="V68" s="1"/>
      <c r="W68" s="1"/>
      <c r="X68" s="3"/>
      <c r="Y68" s="3"/>
      <c r="Z68" s="3"/>
      <c r="AA68" s="3"/>
    </row>
    <row r="69" spans="1:27" ht="16.149999999999999">
      <c r="A69" s="1"/>
      <c r="B69" s="1"/>
      <c r="C69" s="3">
        <v>68</v>
      </c>
      <c r="D69" s="3">
        <v>68</v>
      </c>
      <c r="E69" s="13" t="s">
        <v>308</v>
      </c>
      <c r="F69" s="13" t="s">
        <v>309</v>
      </c>
      <c r="G69" s="1"/>
      <c r="H69" s="1" t="s">
        <v>310</v>
      </c>
      <c r="I69" s="6" t="s">
        <v>311</v>
      </c>
      <c r="J69" s="1" t="s">
        <v>312</v>
      </c>
      <c r="K69" s="1"/>
      <c r="L69" s="1"/>
      <c r="M69" s="1"/>
      <c r="N69" s="19"/>
      <c r="O69" s="19"/>
      <c r="P69" s="19"/>
      <c r="Q69" s="1"/>
      <c r="R69" s="1"/>
      <c r="S69" s="1"/>
      <c r="T69" s="1"/>
      <c r="U69" s="1"/>
      <c r="V69" s="1"/>
      <c r="W69" s="1"/>
      <c r="X69" s="3"/>
      <c r="Y69" s="3"/>
      <c r="Z69" s="3"/>
      <c r="AA69" s="3"/>
    </row>
    <row r="70" spans="1:27" ht="16.149999999999999">
      <c r="A70" s="1"/>
      <c r="B70" s="1"/>
      <c r="C70" s="3">
        <v>69</v>
      </c>
      <c r="D70" s="3">
        <v>69</v>
      </c>
      <c r="E70" s="13" t="s">
        <v>313</v>
      </c>
      <c r="F70" s="13" t="s">
        <v>314</v>
      </c>
      <c r="G70" s="1"/>
      <c r="H70" s="1"/>
      <c r="I70" s="6"/>
      <c r="J70" s="1"/>
      <c r="K70" s="1"/>
      <c r="L70" s="1"/>
      <c r="M70" s="1"/>
      <c r="N70" s="19"/>
      <c r="O70" s="19"/>
      <c r="P70" s="19"/>
      <c r="Q70" s="1"/>
      <c r="R70" s="1"/>
      <c r="S70" s="1"/>
      <c r="T70" s="1"/>
      <c r="U70" s="1"/>
      <c r="V70" s="1"/>
      <c r="W70" s="1"/>
      <c r="X70" s="3"/>
      <c r="Y70" s="3"/>
      <c r="Z70" s="3"/>
      <c r="AA70" s="3"/>
    </row>
    <row r="71" spans="1:27" ht="16.149999999999999">
      <c r="A71" s="1">
        <v>38</v>
      </c>
      <c r="B71" s="1">
        <v>38</v>
      </c>
      <c r="C71" s="3">
        <v>70</v>
      </c>
      <c r="D71" s="3">
        <v>70</v>
      </c>
      <c r="E71" s="13" t="s">
        <v>315</v>
      </c>
      <c r="F71" s="13" t="s">
        <v>316</v>
      </c>
      <c r="G71" s="1"/>
      <c r="H71" s="1" t="s">
        <v>274</v>
      </c>
      <c r="I71" s="6" t="s">
        <v>218</v>
      </c>
      <c r="J71" s="1" t="s">
        <v>153</v>
      </c>
      <c r="K71" s="1"/>
      <c r="L71" s="1"/>
      <c r="M71" s="1"/>
      <c r="N71" s="19"/>
      <c r="O71" s="19"/>
      <c r="P71" s="19"/>
      <c r="Q71" s="1"/>
      <c r="R71" s="1"/>
      <c r="S71" s="1"/>
      <c r="T71" s="1"/>
      <c r="U71" s="1"/>
      <c r="V71" s="1"/>
      <c r="W71" s="1"/>
      <c r="X71" s="3"/>
      <c r="Y71" s="3"/>
      <c r="Z71" s="3"/>
      <c r="AA71" s="3"/>
    </row>
    <row r="72" spans="1:27" ht="16.149999999999999">
      <c r="A72" s="1"/>
      <c r="B72" s="1"/>
      <c r="C72" s="3">
        <v>71</v>
      </c>
      <c r="D72" s="3">
        <v>71</v>
      </c>
      <c r="E72" s="13" t="s">
        <v>317</v>
      </c>
      <c r="F72" s="13" t="s">
        <v>318</v>
      </c>
      <c r="G72" s="1"/>
      <c r="H72" s="1" t="s">
        <v>271</v>
      </c>
      <c r="I72" s="6" t="s">
        <v>214</v>
      </c>
      <c r="J72" s="1" t="s">
        <v>159</v>
      </c>
      <c r="K72" s="1"/>
      <c r="L72" s="1"/>
      <c r="M72" s="1"/>
      <c r="N72" s="19"/>
      <c r="O72" s="19"/>
      <c r="P72" s="19"/>
      <c r="Q72" s="1"/>
      <c r="R72" s="1"/>
      <c r="S72" s="1"/>
      <c r="T72" s="1"/>
      <c r="U72" s="1"/>
      <c r="V72" s="1"/>
      <c r="W72" s="1"/>
      <c r="X72" s="3"/>
      <c r="Y72" s="3"/>
      <c r="Z72" s="3"/>
      <c r="AA72" s="3"/>
    </row>
    <row r="73" spans="1:27" ht="16.149999999999999">
      <c r="A73" s="1"/>
      <c r="B73" s="1"/>
      <c r="C73" s="3">
        <v>72</v>
      </c>
      <c r="D73" s="3">
        <v>72</v>
      </c>
      <c r="E73" s="13" t="s">
        <v>319</v>
      </c>
      <c r="F73" s="13" t="s">
        <v>319</v>
      </c>
      <c r="G73" s="1"/>
      <c r="H73" s="1"/>
      <c r="I73" s="6"/>
      <c r="J73" s="1"/>
      <c r="K73" s="1"/>
      <c r="L73" s="1"/>
      <c r="M73" s="1"/>
      <c r="N73" s="19"/>
      <c r="O73" s="19"/>
      <c r="P73" s="19"/>
      <c r="Q73" s="1"/>
      <c r="R73" s="1"/>
      <c r="S73" s="1"/>
      <c r="T73" s="1"/>
      <c r="U73" s="1"/>
      <c r="V73" s="1"/>
      <c r="W73" s="1"/>
      <c r="X73" s="3"/>
      <c r="Y73" s="3"/>
      <c r="Z73" s="3"/>
      <c r="AA73" s="3"/>
    </row>
    <row r="74" spans="1:27" ht="16.149999999999999">
      <c r="A74" s="1"/>
      <c r="B74" s="1"/>
      <c r="C74" s="3">
        <v>73</v>
      </c>
      <c r="D74" s="3">
        <v>73</v>
      </c>
      <c r="E74" s="13" t="s">
        <v>320</v>
      </c>
      <c r="F74" s="13" t="s">
        <v>321</v>
      </c>
      <c r="G74" s="1"/>
      <c r="H74" s="1" t="s">
        <v>322</v>
      </c>
      <c r="I74" s="6" t="s">
        <v>323</v>
      </c>
      <c r="J74" s="1"/>
      <c r="K74" s="1"/>
      <c r="L74" s="1"/>
      <c r="M74" s="1"/>
      <c r="N74" s="19"/>
      <c r="O74" s="19"/>
      <c r="P74" s="19"/>
      <c r="Q74" s="1"/>
      <c r="R74" s="1"/>
      <c r="S74" s="1"/>
      <c r="T74" s="1"/>
      <c r="U74" s="1"/>
      <c r="V74" s="1"/>
      <c r="W74" s="1"/>
      <c r="X74" s="3"/>
      <c r="Y74" s="3"/>
      <c r="Z74" s="3"/>
      <c r="AA74" s="3"/>
    </row>
    <row r="75" spans="1:27" ht="16.149999999999999">
      <c r="A75" s="1">
        <v>39</v>
      </c>
      <c r="B75" s="1">
        <v>39</v>
      </c>
      <c r="C75" s="3">
        <v>74</v>
      </c>
      <c r="D75" s="3">
        <v>74</v>
      </c>
      <c r="E75" s="13" t="s">
        <v>324</v>
      </c>
      <c r="F75" s="13" t="s">
        <v>325</v>
      </c>
      <c r="G75" s="1"/>
      <c r="H75" s="1" t="s">
        <v>326</v>
      </c>
      <c r="I75" s="6" t="s">
        <v>327</v>
      </c>
      <c r="J75" s="1"/>
      <c r="K75" s="1"/>
      <c r="L75" s="1"/>
      <c r="M75" s="1"/>
      <c r="N75" s="19"/>
      <c r="O75" s="19"/>
      <c r="P75" s="19"/>
      <c r="Q75" s="1"/>
      <c r="R75" s="1"/>
      <c r="S75" s="1"/>
      <c r="T75" s="1"/>
      <c r="U75" s="1"/>
      <c r="V75" s="1"/>
      <c r="W75" s="1"/>
      <c r="X75" s="5"/>
      <c r="Y75" s="3"/>
      <c r="Z75" s="3"/>
      <c r="AA75" s="3"/>
    </row>
    <row r="76" spans="1:27" ht="16.149999999999999">
      <c r="A76" s="1">
        <v>40</v>
      </c>
      <c r="B76" s="1">
        <v>40</v>
      </c>
      <c r="C76" s="3">
        <v>75</v>
      </c>
      <c r="D76" s="3">
        <v>75</v>
      </c>
      <c r="E76" s="13" t="s">
        <v>328</v>
      </c>
      <c r="F76" s="13" t="s">
        <v>329</v>
      </c>
      <c r="G76" s="1"/>
      <c r="H76" s="1" t="s">
        <v>277</v>
      </c>
      <c r="I76" s="6" t="s">
        <v>330</v>
      </c>
      <c r="J76" s="1" t="s">
        <v>215</v>
      </c>
      <c r="K76" s="1"/>
      <c r="L76" s="1"/>
      <c r="M76" s="1"/>
      <c r="N76" s="19"/>
      <c r="O76" s="19"/>
      <c r="P76" s="19"/>
      <c r="Q76" s="1"/>
      <c r="R76" s="1"/>
      <c r="S76" s="1"/>
      <c r="T76" s="1"/>
      <c r="U76" s="1"/>
      <c r="V76" s="1"/>
      <c r="W76" s="1"/>
      <c r="X76" s="5"/>
      <c r="Y76" s="3"/>
      <c r="Z76" s="3"/>
      <c r="AA76" s="3"/>
    </row>
    <row r="77" spans="1:27" ht="16.149999999999999">
      <c r="A77" s="1"/>
      <c r="B77" s="1"/>
      <c r="C77" s="3">
        <v>76</v>
      </c>
      <c r="D77" s="3">
        <v>76</v>
      </c>
      <c r="E77" s="13" t="s">
        <v>331</v>
      </c>
      <c r="F77" s="13" t="s">
        <v>332</v>
      </c>
      <c r="G77" s="1"/>
      <c r="H77" s="1" t="s">
        <v>280</v>
      </c>
      <c r="I77" s="6" t="s">
        <v>333</v>
      </c>
      <c r="J77" s="1" t="s">
        <v>219</v>
      </c>
      <c r="K77" s="1"/>
      <c r="L77" s="1"/>
      <c r="M77" s="1"/>
      <c r="N77" s="19"/>
      <c r="O77" s="19"/>
      <c r="P77" s="19"/>
      <c r="Q77" s="1"/>
      <c r="R77" s="1"/>
      <c r="S77" s="1"/>
      <c r="T77" s="1"/>
      <c r="U77" s="1"/>
      <c r="V77" s="1"/>
      <c r="W77" s="1"/>
      <c r="X77" s="3"/>
      <c r="Y77" s="3"/>
      <c r="Z77" s="3"/>
      <c r="AA77" s="3"/>
    </row>
    <row r="78" spans="1:27" ht="16.149999999999999">
      <c r="A78" s="1">
        <v>41</v>
      </c>
      <c r="B78" s="1">
        <v>41</v>
      </c>
      <c r="C78" s="3">
        <v>77</v>
      </c>
      <c r="D78" s="3">
        <v>77</v>
      </c>
      <c r="E78" s="13" t="s">
        <v>334</v>
      </c>
      <c r="F78" s="13" t="s">
        <v>334</v>
      </c>
      <c r="G78" s="1"/>
      <c r="H78" s="1" t="s">
        <v>335</v>
      </c>
      <c r="I78" s="6" t="s">
        <v>286</v>
      </c>
      <c r="J78" s="1" t="s">
        <v>287</v>
      </c>
      <c r="K78" s="1"/>
      <c r="L78" s="1"/>
      <c r="M78" s="1"/>
      <c r="N78" s="19"/>
      <c r="O78" s="19"/>
      <c r="P78" s="19"/>
      <c r="Q78" s="1"/>
      <c r="R78" s="1"/>
      <c r="S78" s="1"/>
      <c r="T78" s="1"/>
      <c r="U78" s="1"/>
      <c r="V78" s="1"/>
      <c r="W78" s="1"/>
      <c r="X78" s="3"/>
      <c r="Y78" s="3"/>
      <c r="Z78" s="3"/>
      <c r="AA78" s="3"/>
    </row>
    <row r="79" spans="1:27" ht="16.149999999999999">
      <c r="A79" s="1"/>
      <c r="B79" s="1"/>
      <c r="C79" s="3">
        <v>78</v>
      </c>
      <c r="D79" s="3">
        <v>78</v>
      </c>
      <c r="E79" s="13" t="s">
        <v>336</v>
      </c>
      <c r="F79" s="13" t="s">
        <v>337</v>
      </c>
      <c r="G79" s="1"/>
      <c r="H79" s="1" t="s">
        <v>338</v>
      </c>
      <c r="I79" s="6" t="s">
        <v>290</v>
      </c>
      <c r="J79" s="1" t="s">
        <v>291</v>
      </c>
      <c r="K79" s="1"/>
      <c r="L79" s="1"/>
      <c r="M79" s="1"/>
      <c r="N79" s="19"/>
      <c r="O79" s="19"/>
      <c r="P79" s="19"/>
      <c r="Q79" s="1"/>
      <c r="R79" s="1"/>
      <c r="S79" s="1"/>
      <c r="T79" s="1"/>
      <c r="U79" s="1"/>
      <c r="V79" s="1"/>
      <c r="W79" s="1"/>
      <c r="X79" s="3"/>
      <c r="Y79" s="3"/>
      <c r="Z79" s="3"/>
      <c r="AA79" s="3"/>
    </row>
    <row r="80" spans="1:27" ht="16.149999999999999">
      <c r="A80" s="1"/>
      <c r="B80" s="1"/>
      <c r="C80" s="3">
        <v>79</v>
      </c>
      <c r="D80" s="3">
        <v>79</v>
      </c>
      <c r="E80" s="13" t="s">
        <v>339</v>
      </c>
      <c r="F80" s="13" t="s">
        <v>340</v>
      </c>
      <c r="G80" s="1"/>
      <c r="H80" s="1" t="s">
        <v>341</v>
      </c>
      <c r="I80" s="6" t="s">
        <v>295</v>
      </c>
      <c r="J80" s="1" t="s">
        <v>296</v>
      </c>
      <c r="K80" s="1"/>
      <c r="L80" s="1"/>
      <c r="M80" s="1"/>
      <c r="N80" s="19"/>
      <c r="O80" s="19"/>
      <c r="P80" s="19"/>
      <c r="Q80" s="1"/>
      <c r="R80" s="1"/>
      <c r="S80" s="1"/>
      <c r="T80" s="1"/>
      <c r="U80" s="1"/>
      <c r="V80" s="1"/>
      <c r="W80" s="1"/>
      <c r="X80" s="3"/>
      <c r="Y80" s="3"/>
      <c r="Z80" s="3"/>
      <c r="AA80" s="3"/>
    </row>
    <row r="81" spans="1:27" ht="16.149999999999999">
      <c r="A81" s="1"/>
      <c r="B81" s="1"/>
      <c r="C81" s="3">
        <v>80</v>
      </c>
      <c r="D81" s="3">
        <v>80</v>
      </c>
      <c r="E81" s="13" t="s">
        <v>342</v>
      </c>
      <c r="F81" s="13" t="s">
        <v>343</v>
      </c>
      <c r="G81" s="1"/>
      <c r="H81" s="1" t="s">
        <v>344</v>
      </c>
      <c r="I81" s="6" t="s">
        <v>300</v>
      </c>
      <c r="J81" s="1" t="s">
        <v>301</v>
      </c>
      <c r="K81" s="1"/>
      <c r="L81" s="1"/>
      <c r="M81" s="1"/>
      <c r="N81" s="19"/>
      <c r="O81" s="19"/>
      <c r="P81" s="19"/>
      <c r="Q81" s="1"/>
      <c r="R81" s="1"/>
      <c r="S81" s="1"/>
      <c r="T81" s="1"/>
      <c r="U81" s="1"/>
      <c r="V81" s="1"/>
      <c r="W81" s="1"/>
      <c r="X81" s="3"/>
      <c r="Y81" s="3"/>
      <c r="Z81" s="3"/>
      <c r="AA81" s="3"/>
    </row>
    <row r="82" spans="1:27" ht="16.149999999999999">
      <c r="A82" s="1">
        <v>42</v>
      </c>
      <c r="B82" s="1">
        <v>42</v>
      </c>
      <c r="C82" s="3">
        <v>81</v>
      </c>
      <c r="D82" s="3">
        <v>81</v>
      </c>
      <c r="E82" s="13" t="s">
        <v>345</v>
      </c>
      <c r="F82" s="13" t="s">
        <v>346</v>
      </c>
      <c r="G82" s="1"/>
      <c r="H82" s="1" t="s">
        <v>347</v>
      </c>
      <c r="I82" s="6" t="s">
        <v>305</v>
      </c>
      <c r="J82" s="1" t="s">
        <v>306</v>
      </c>
      <c r="K82" s="1"/>
      <c r="L82" s="1"/>
      <c r="M82" s="1"/>
      <c r="N82" s="19"/>
      <c r="O82" s="19"/>
      <c r="P82" s="19"/>
      <c r="Q82" s="1"/>
      <c r="R82" s="1"/>
      <c r="S82" s="1"/>
      <c r="T82" s="1"/>
      <c r="U82" s="1"/>
      <c r="V82" s="1"/>
      <c r="W82" s="1"/>
      <c r="X82" s="5"/>
      <c r="Y82" s="3"/>
      <c r="Z82" s="3"/>
      <c r="AA82" s="3"/>
    </row>
    <row r="83" spans="1:27" ht="16.149999999999999">
      <c r="A83" s="1">
        <v>43</v>
      </c>
      <c r="B83" s="1">
        <v>43</v>
      </c>
      <c r="C83" s="3">
        <v>82</v>
      </c>
      <c r="D83" s="3">
        <v>82</v>
      </c>
      <c r="E83" s="13" t="s">
        <v>348</v>
      </c>
      <c r="F83" s="13" t="s">
        <v>349</v>
      </c>
      <c r="G83" s="1"/>
      <c r="H83" s="1" t="s">
        <v>350</v>
      </c>
      <c r="I83" s="6" t="s">
        <v>310</v>
      </c>
      <c r="J83" s="1" t="s">
        <v>311</v>
      </c>
      <c r="K83" s="1"/>
      <c r="L83" s="1"/>
      <c r="M83" s="1"/>
      <c r="N83" s="19"/>
      <c r="O83" s="19"/>
      <c r="P83" s="19"/>
      <c r="Q83" s="1"/>
      <c r="R83" s="1"/>
      <c r="S83" s="1"/>
      <c r="T83" s="1"/>
      <c r="U83" s="1"/>
      <c r="V83" s="1"/>
      <c r="W83" s="1"/>
      <c r="X83" s="5"/>
      <c r="Y83" s="3"/>
      <c r="Z83" s="3"/>
      <c r="AA83" s="3"/>
    </row>
    <row r="84" spans="1:27" ht="16.149999999999999">
      <c r="A84" s="1"/>
      <c r="B84" s="1"/>
      <c r="C84" s="3">
        <v>83</v>
      </c>
      <c r="D84" s="3">
        <v>83</v>
      </c>
      <c r="E84" s="13" t="s">
        <v>108</v>
      </c>
      <c r="F84" s="13" t="s">
        <v>109</v>
      </c>
      <c r="G84" s="1"/>
      <c r="H84" s="1"/>
      <c r="I84" s="6"/>
      <c r="J84" s="1"/>
      <c r="K84" s="1"/>
      <c r="L84" s="1"/>
      <c r="M84" s="1"/>
      <c r="N84" s="19"/>
      <c r="O84" s="19"/>
      <c r="P84" s="19"/>
      <c r="Q84" s="1"/>
      <c r="R84" s="1"/>
      <c r="S84" s="1"/>
      <c r="T84" s="1"/>
      <c r="U84" s="1"/>
      <c r="V84" s="1"/>
      <c r="W84" s="1"/>
      <c r="X84" s="3"/>
      <c r="Y84" s="3"/>
      <c r="Z84" s="3"/>
      <c r="AA84" s="3"/>
    </row>
    <row r="85" spans="1:27" ht="16.149999999999999">
      <c r="A85" s="1"/>
      <c r="B85" s="1"/>
      <c r="C85" s="3">
        <v>84</v>
      </c>
      <c r="D85" s="3">
        <v>84</v>
      </c>
      <c r="E85" s="13" t="s">
        <v>110</v>
      </c>
      <c r="F85" s="13" t="s">
        <v>111</v>
      </c>
      <c r="G85" s="1"/>
      <c r="H85" s="1"/>
      <c r="I85" s="6"/>
      <c r="J85" s="1"/>
      <c r="K85" s="1"/>
      <c r="L85" s="1"/>
      <c r="M85" s="1"/>
      <c r="N85" s="19"/>
      <c r="O85" s="19"/>
      <c r="P85" s="19"/>
      <c r="Q85" s="1"/>
      <c r="R85" s="1"/>
      <c r="S85" s="1"/>
      <c r="T85" s="1"/>
      <c r="U85" s="1"/>
      <c r="V85" s="1"/>
      <c r="W85" s="1"/>
      <c r="X85" s="3"/>
      <c r="Y85" s="3"/>
      <c r="Z85" s="3"/>
      <c r="AA85" s="3"/>
    </row>
    <row r="86" spans="1:27" ht="16.149999999999999">
      <c r="A86" s="1"/>
      <c r="B86" s="1"/>
      <c r="C86" s="3">
        <v>85</v>
      </c>
      <c r="D86" s="3">
        <v>85</v>
      </c>
      <c r="E86" s="13" t="s">
        <v>351</v>
      </c>
      <c r="F86" s="13" t="s">
        <v>352</v>
      </c>
      <c r="G86" s="1"/>
      <c r="H86" s="1" t="s">
        <v>350</v>
      </c>
      <c r="I86" s="6" t="s">
        <v>353</v>
      </c>
      <c r="J86" s="1" t="s">
        <v>286</v>
      </c>
      <c r="K86" s="1"/>
      <c r="L86" s="1"/>
      <c r="M86" s="1"/>
      <c r="N86" s="19"/>
      <c r="O86" s="19"/>
      <c r="P86" s="19"/>
      <c r="Q86" s="1"/>
      <c r="R86" s="1"/>
      <c r="S86" s="1"/>
      <c r="T86" s="1"/>
      <c r="U86" s="1"/>
      <c r="V86" s="1"/>
      <c r="W86" s="1"/>
      <c r="X86" s="3"/>
      <c r="Y86" s="3"/>
      <c r="Z86" s="3"/>
      <c r="AA86" s="3"/>
    </row>
    <row r="87" spans="1:27" ht="16.149999999999999">
      <c r="A87" s="1"/>
      <c r="B87" s="1"/>
      <c r="C87" s="3">
        <v>86</v>
      </c>
      <c r="D87" s="3">
        <v>86</v>
      </c>
      <c r="E87" s="13" t="s">
        <v>354</v>
      </c>
      <c r="F87" s="13" t="s">
        <v>355</v>
      </c>
      <c r="G87" s="1"/>
      <c r="H87" s="1" t="s">
        <v>347</v>
      </c>
      <c r="I87" s="6" t="s">
        <v>356</v>
      </c>
      <c r="J87" s="1" t="s">
        <v>290</v>
      </c>
      <c r="K87" s="1"/>
      <c r="L87" s="1"/>
      <c r="M87" s="1"/>
      <c r="N87" s="19"/>
      <c r="O87" s="19"/>
      <c r="P87" s="19"/>
      <c r="Q87" s="1"/>
      <c r="R87" s="1"/>
      <c r="S87" s="1"/>
      <c r="T87" s="1"/>
      <c r="U87" s="1"/>
      <c r="V87" s="1"/>
      <c r="W87" s="1"/>
      <c r="X87" s="3"/>
      <c r="Y87" s="3"/>
      <c r="Z87" s="3"/>
      <c r="AA87" s="3"/>
    </row>
    <row r="88" spans="1:27" ht="16.149999999999999">
      <c r="A88" s="1"/>
      <c r="B88" s="1"/>
      <c r="C88" s="3">
        <v>87</v>
      </c>
      <c r="D88" s="3">
        <v>87</v>
      </c>
      <c r="E88" s="13" t="s">
        <v>357</v>
      </c>
      <c r="F88" s="13" t="s">
        <v>358</v>
      </c>
      <c r="G88" s="1"/>
      <c r="H88" s="1" t="s">
        <v>344</v>
      </c>
      <c r="I88" s="6" t="s">
        <v>359</v>
      </c>
      <c r="J88" s="1" t="s">
        <v>295</v>
      </c>
      <c r="K88" s="1"/>
      <c r="L88" s="1"/>
      <c r="M88" s="1"/>
      <c r="N88" s="19"/>
      <c r="O88" s="19"/>
      <c r="P88" s="19"/>
      <c r="Q88" s="1"/>
      <c r="R88" s="1"/>
      <c r="S88" s="1"/>
      <c r="T88" s="1"/>
      <c r="U88" s="1"/>
      <c r="V88" s="1"/>
      <c r="W88" s="1"/>
      <c r="X88" s="3"/>
      <c r="Y88" s="3"/>
      <c r="Z88" s="3"/>
      <c r="AA88" s="3"/>
    </row>
    <row r="89" spans="1:27" ht="16.149999999999999">
      <c r="A89" s="1"/>
      <c r="B89" s="1"/>
      <c r="C89" s="3">
        <v>88</v>
      </c>
      <c r="D89" s="3">
        <v>88</v>
      </c>
      <c r="E89" s="13" t="s">
        <v>360</v>
      </c>
      <c r="F89" s="13" t="s">
        <v>361</v>
      </c>
      <c r="G89" s="1"/>
      <c r="H89" s="1" t="s">
        <v>341</v>
      </c>
      <c r="I89" s="6" t="s">
        <v>362</v>
      </c>
      <c r="J89" s="1" t="s">
        <v>300</v>
      </c>
      <c r="K89" s="1"/>
      <c r="L89" s="1"/>
      <c r="M89" s="1"/>
      <c r="N89" s="19"/>
      <c r="O89" s="19"/>
      <c r="P89" s="19"/>
      <c r="Q89" s="1"/>
      <c r="R89" s="1"/>
      <c r="S89" s="1"/>
      <c r="T89" s="1"/>
      <c r="U89" s="1"/>
      <c r="V89" s="1"/>
      <c r="W89" s="1"/>
      <c r="X89" s="3"/>
      <c r="Y89" s="3"/>
      <c r="Z89" s="3"/>
      <c r="AA89" s="3"/>
    </row>
    <row r="90" spans="1:27" ht="16.149999999999999">
      <c r="A90" s="1"/>
      <c r="B90" s="1"/>
      <c r="C90" s="3">
        <v>89</v>
      </c>
      <c r="D90" s="3">
        <v>89</v>
      </c>
      <c r="E90" s="13" t="s">
        <v>363</v>
      </c>
      <c r="F90" s="13" t="s">
        <v>364</v>
      </c>
      <c r="G90" s="1"/>
      <c r="H90" s="1" t="s">
        <v>338</v>
      </c>
      <c r="I90" s="6" t="s">
        <v>365</v>
      </c>
      <c r="J90" s="1" t="s">
        <v>305</v>
      </c>
      <c r="K90" s="1"/>
      <c r="L90" s="1"/>
      <c r="M90" s="1"/>
      <c r="N90" s="19"/>
      <c r="O90" s="19"/>
      <c r="P90" s="19"/>
      <c r="Q90" s="1"/>
      <c r="R90" s="1"/>
      <c r="S90" s="1"/>
      <c r="T90" s="1"/>
      <c r="U90" s="1"/>
      <c r="V90" s="1"/>
      <c r="W90" s="1"/>
      <c r="X90" s="3"/>
      <c r="Y90" s="3"/>
      <c r="Z90" s="3"/>
      <c r="AA90" s="3"/>
    </row>
    <row r="91" spans="1:27" ht="16.149999999999999">
      <c r="A91" s="1"/>
      <c r="B91" s="1"/>
      <c r="C91" s="3">
        <v>90</v>
      </c>
      <c r="D91" s="3">
        <v>90</v>
      </c>
      <c r="E91" s="13" t="s">
        <v>366</v>
      </c>
      <c r="F91" s="13" t="s">
        <v>367</v>
      </c>
      <c r="G91" s="1"/>
      <c r="H91" s="1" t="s">
        <v>335</v>
      </c>
      <c r="I91" s="6" t="s">
        <v>368</v>
      </c>
      <c r="J91" s="1" t="s">
        <v>310</v>
      </c>
      <c r="K91" s="1"/>
      <c r="L91" s="1"/>
      <c r="M91" s="1"/>
      <c r="N91" s="19"/>
      <c r="O91" s="19"/>
      <c r="P91" s="19"/>
      <c r="Q91" s="1"/>
      <c r="R91" s="1"/>
      <c r="S91" s="1"/>
      <c r="T91" s="1"/>
      <c r="U91" s="1"/>
      <c r="V91" s="1"/>
      <c r="W91" s="1"/>
      <c r="X91" s="3"/>
      <c r="Y91" s="3"/>
      <c r="Z91" s="3"/>
      <c r="AA91" s="3"/>
    </row>
    <row r="92" spans="1:27" ht="16.149999999999999">
      <c r="A92" s="1"/>
      <c r="B92" s="1"/>
      <c r="C92" s="3">
        <v>91</v>
      </c>
      <c r="D92" s="3">
        <v>91</v>
      </c>
      <c r="E92" s="13" t="s">
        <v>369</v>
      </c>
      <c r="F92" s="13" t="s">
        <v>370</v>
      </c>
      <c r="G92" s="1"/>
      <c r="H92" s="1"/>
      <c r="I92" s="6" t="s">
        <v>371</v>
      </c>
      <c r="J92" s="1"/>
      <c r="K92" s="1"/>
      <c r="L92" s="1"/>
      <c r="M92" s="1"/>
      <c r="N92" s="19"/>
      <c r="O92" s="19"/>
      <c r="P92" s="19"/>
      <c r="Q92" s="1"/>
      <c r="R92" s="1"/>
      <c r="S92" s="1"/>
      <c r="T92" s="1"/>
      <c r="U92" s="1"/>
      <c r="V92" s="1"/>
      <c r="W92" s="1"/>
      <c r="X92" s="3"/>
      <c r="Y92" s="3"/>
      <c r="Z92" s="3"/>
      <c r="AA92" s="3"/>
    </row>
    <row r="93" spans="1:27" ht="16.149999999999999">
      <c r="A93" s="1">
        <v>44</v>
      </c>
      <c r="B93" s="1">
        <v>44</v>
      </c>
      <c r="C93" s="3">
        <v>92</v>
      </c>
      <c r="D93" s="3">
        <v>92</v>
      </c>
      <c r="E93" s="13" t="s">
        <v>372</v>
      </c>
      <c r="F93" s="13" t="s">
        <v>373</v>
      </c>
      <c r="G93" s="1"/>
      <c r="H93" s="1"/>
      <c r="I93" s="6" t="s">
        <v>322</v>
      </c>
      <c r="J93" s="1" t="s">
        <v>73</v>
      </c>
      <c r="K93" s="1"/>
      <c r="L93" s="1"/>
      <c r="M93" s="1"/>
      <c r="N93" s="19"/>
      <c r="O93" s="19"/>
      <c r="P93" s="19"/>
      <c r="Q93" s="1"/>
      <c r="R93" s="1"/>
      <c r="S93" s="1"/>
      <c r="T93" s="1"/>
      <c r="U93" s="1"/>
      <c r="V93" s="1"/>
      <c r="W93" s="1"/>
      <c r="X93" s="3"/>
      <c r="Y93" s="3"/>
      <c r="Z93" s="3"/>
      <c r="AA93" s="3"/>
    </row>
    <row r="94" spans="1:27" ht="16.149999999999999">
      <c r="A94" s="1"/>
      <c r="B94" s="1"/>
      <c r="C94" s="3">
        <v>93</v>
      </c>
      <c r="D94" s="3">
        <v>93</v>
      </c>
      <c r="E94" s="13" t="s">
        <v>374</v>
      </c>
      <c r="F94" s="13" t="s">
        <v>375</v>
      </c>
      <c r="G94" s="1"/>
      <c r="H94" s="1"/>
      <c r="I94" s="6" t="s">
        <v>326</v>
      </c>
      <c r="J94" s="1" t="s">
        <v>79</v>
      </c>
      <c r="K94" s="1"/>
      <c r="L94" s="1"/>
      <c r="M94" s="1"/>
      <c r="N94" s="19"/>
      <c r="O94" s="19"/>
      <c r="P94" s="19"/>
      <c r="Q94" s="1"/>
      <c r="R94" s="1"/>
      <c r="S94" s="1"/>
      <c r="T94" s="1"/>
      <c r="U94" s="1"/>
      <c r="V94" s="1"/>
      <c r="W94" s="1"/>
      <c r="X94" s="3"/>
      <c r="Y94" s="3"/>
      <c r="Z94" s="3"/>
      <c r="AA94" s="3"/>
    </row>
    <row r="95" spans="1:27" ht="16.149999999999999">
      <c r="A95" s="1">
        <v>45</v>
      </c>
      <c r="B95" s="1">
        <v>45</v>
      </c>
      <c r="C95" s="3">
        <v>94</v>
      </c>
      <c r="D95" s="3">
        <v>94</v>
      </c>
      <c r="E95" s="13" t="s">
        <v>376</v>
      </c>
      <c r="F95" s="13" t="s">
        <v>377</v>
      </c>
      <c r="G95" s="1"/>
      <c r="H95" s="1"/>
      <c r="I95" s="6"/>
      <c r="J95" s="1" t="s">
        <v>323</v>
      </c>
      <c r="K95" s="1"/>
      <c r="L95" s="1"/>
      <c r="M95" s="1"/>
      <c r="N95" s="19"/>
      <c r="O95" s="19"/>
      <c r="P95" s="19"/>
      <c r="Q95" s="1"/>
      <c r="R95" s="1"/>
      <c r="S95" s="1"/>
      <c r="T95" s="1"/>
      <c r="U95" s="1"/>
      <c r="V95" s="1"/>
      <c r="W95" s="1"/>
      <c r="X95" s="3"/>
      <c r="Y95" s="3"/>
      <c r="Z95" s="3"/>
      <c r="AA95" s="3"/>
    </row>
    <row r="96" spans="1:27" ht="16.149999999999999">
      <c r="A96" s="1">
        <v>46</v>
      </c>
      <c r="B96" s="1">
        <v>46</v>
      </c>
      <c r="C96" s="3">
        <v>95</v>
      </c>
      <c r="D96" s="3">
        <v>95</v>
      </c>
      <c r="E96" s="13" t="s">
        <v>378</v>
      </c>
      <c r="F96" s="13" t="s">
        <v>379</v>
      </c>
      <c r="G96" s="1"/>
      <c r="H96" s="1"/>
      <c r="I96" s="6" t="s">
        <v>380</v>
      </c>
      <c r="J96" s="1" t="s">
        <v>327</v>
      </c>
      <c r="K96" s="1"/>
      <c r="L96" s="1"/>
      <c r="M96" s="1"/>
      <c r="N96" s="19"/>
      <c r="O96" s="19"/>
      <c r="P96" s="19"/>
      <c r="Q96" s="2"/>
      <c r="R96" s="2"/>
      <c r="S96" s="2"/>
      <c r="T96" s="2"/>
      <c r="U96" s="2"/>
      <c r="V96" s="2"/>
      <c r="W96" s="2"/>
      <c r="X96" s="3"/>
      <c r="Y96" s="3"/>
      <c r="Z96" s="3"/>
      <c r="AA96" s="3"/>
    </row>
    <row r="97" spans="1:27" ht="16.149999999999999">
      <c r="A97" s="1">
        <v>47</v>
      </c>
      <c r="B97" s="1">
        <v>47</v>
      </c>
      <c r="C97" s="3">
        <v>96</v>
      </c>
      <c r="D97" s="3">
        <v>96</v>
      </c>
      <c r="E97" s="13" t="s">
        <v>381</v>
      </c>
      <c r="F97" s="13" t="s">
        <v>382</v>
      </c>
      <c r="G97" s="1"/>
      <c r="H97" s="1" t="s">
        <v>383</v>
      </c>
      <c r="I97" s="6" t="s">
        <v>384</v>
      </c>
      <c r="J97" s="1" t="s">
        <v>297</v>
      </c>
      <c r="K97" s="1"/>
      <c r="L97" s="1"/>
      <c r="M97" s="1"/>
      <c r="N97" s="19"/>
      <c r="O97" s="19"/>
      <c r="P97" s="19"/>
      <c r="Q97" s="2"/>
      <c r="R97" s="2"/>
      <c r="S97" s="2"/>
      <c r="T97" s="2"/>
      <c r="U97" s="2"/>
      <c r="V97" s="2"/>
      <c r="W97" s="2"/>
      <c r="X97" s="3"/>
      <c r="Y97" s="3"/>
      <c r="Z97" s="3"/>
      <c r="AA97" s="3"/>
    </row>
    <row r="98" spans="1:27" ht="16.149999999999999">
      <c r="A98" s="1">
        <v>48</v>
      </c>
      <c r="B98" s="1">
        <v>48</v>
      </c>
      <c r="C98" s="3">
        <v>97</v>
      </c>
      <c r="D98" s="3">
        <v>97</v>
      </c>
      <c r="E98" s="13" t="s">
        <v>385</v>
      </c>
      <c r="F98" s="13" t="s">
        <v>386</v>
      </c>
      <c r="G98" s="1"/>
      <c r="H98" s="1" t="s">
        <v>387</v>
      </c>
      <c r="I98" s="6" t="s">
        <v>388</v>
      </c>
      <c r="J98" s="1" t="s">
        <v>302</v>
      </c>
      <c r="K98" s="1"/>
      <c r="L98" s="1"/>
      <c r="M98" s="1"/>
      <c r="N98" s="19"/>
      <c r="O98" s="19"/>
      <c r="P98" s="19"/>
      <c r="Q98" s="2"/>
      <c r="R98" s="2"/>
      <c r="S98" s="2"/>
      <c r="T98" s="2"/>
      <c r="U98" s="2"/>
      <c r="V98" s="2"/>
      <c r="W98" s="2"/>
      <c r="X98" s="3"/>
      <c r="Y98" s="3"/>
      <c r="Z98" s="3"/>
      <c r="AA98" s="3"/>
    </row>
    <row r="99" spans="1:27" ht="16.149999999999999">
      <c r="A99" s="1">
        <v>49</v>
      </c>
      <c r="B99" s="1">
        <v>49</v>
      </c>
      <c r="C99" s="3">
        <v>98</v>
      </c>
      <c r="D99" s="3">
        <v>98</v>
      </c>
      <c r="E99" s="13" t="s">
        <v>389</v>
      </c>
      <c r="F99" s="13" t="s">
        <v>390</v>
      </c>
      <c r="G99" s="1"/>
      <c r="H99" s="1" t="s">
        <v>391</v>
      </c>
      <c r="I99" s="6" t="s">
        <v>392</v>
      </c>
      <c r="J99" s="1" t="s">
        <v>307</v>
      </c>
      <c r="K99" s="1"/>
      <c r="L99" s="1"/>
      <c r="M99" s="1"/>
      <c r="N99" s="19"/>
      <c r="O99" s="19"/>
      <c r="P99" s="19"/>
      <c r="Q99" s="2"/>
      <c r="R99" s="2"/>
      <c r="S99" s="2"/>
      <c r="T99" s="2"/>
      <c r="U99" s="2"/>
      <c r="V99" s="2"/>
      <c r="W99" s="2"/>
      <c r="X99" s="3"/>
      <c r="Y99" s="3"/>
      <c r="Z99" s="3"/>
      <c r="AA99" s="3"/>
    </row>
    <row r="100" spans="1:27" ht="16.149999999999999">
      <c r="A100" s="1">
        <v>50</v>
      </c>
      <c r="B100" s="1">
        <v>50</v>
      </c>
      <c r="C100" s="3">
        <v>99</v>
      </c>
      <c r="D100" s="3">
        <v>99</v>
      </c>
      <c r="E100" s="13" t="s">
        <v>393</v>
      </c>
      <c r="F100" s="13" t="s">
        <v>394</v>
      </c>
      <c r="G100" s="1"/>
      <c r="H100" s="1" t="s">
        <v>395</v>
      </c>
      <c r="I100" s="6" t="s">
        <v>396</v>
      </c>
      <c r="J100" s="1" t="s">
        <v>312</v>
      </c>
      <c r="K100" s="1"/>
      <c r="L100" s="1"/>
      <c r="M100" s="1"/>
      <c r="N100" s="19"/>
      <c r="O100" s="19"/>
      <c r="P100" s="19"/>
      <c r="Q100" s="2"/>
      <c r="R100" s="2"/>
      <c r="S100" s="2"/>
      <c r="T100" s="2"/>
      <c r="U100" s="2"/>
      <c r="V100" s="2"/>
      <c r="W100" s="2"/>
      <c r="X100" s="3"/>
      <c r="Y100" s="3"/>
      <c r="Z100" s="3"/>
      <c r="AA100" s="3"/>
    </row>
    <row r="101" spans="1:27" ht="16.149999999999999">
      <c r="A101" s="1">
        <v>51</v>
      </c>
      <c r="B101" s="1">
        <v>51</v>
      </c>
      <c r="C101" s="3">
        <v>100</v>
      </c>
      <c r="D101" s="3">
        <v>100</v>
      </c>
      <c r="E101" s="13" t="s">
        <v>397</v>
      </c>
      <c r="F101" s="13" t="s">
        <v>398</v>
      </c>
      <c r="G101" s="1"/>
      <c r="H101" s="1" t="s">
        <v>383</v>
      </c>
      <c r="I101" s="6" t="s">
        <v>399</v>
      </c>
      <c r="J101" s="1" t="s">
        <v>292</v>
      </c>
      <c r="K101" s="1"/>
      <c r="L101" s="1"/>
      <c r="M101" s="1"/>
      <c r="N101" s="19"/>
      <c r="O101" s="19"/>
      <c r="P101" s="19"/>
      <c r="Q101" s="2"/>
      <c r="R101" s="2"/>
      <c r="S101" s="2"/>
      <c r="T101" s="2"/>
      <c r="U101" s="2"/>
      <c r="V101" s="2"/>
      <c r="W101" s="2"/>
      <c r="X101" s="3"/>
      <c r="Y101" s="3"/>
      <c r="Z101" s="3"/>
      <c r="AA101" s="3"/>
    </row>
    <row r="102" spans="1:27" ht="16.149999999999999">
      <c r="A102" s="1"/>
      <c r="B102" s="1"/>
      <c r="C102" s="3">
        <v>101</v>
      </c>
      <c r="D102" s="3">
        <v>101</v>
      </c>
      <c r="E102" s="13" t="s">
        <v>400</v>
      </c>
      <c r="F102" s="13" t="s">
        <v>401</v>
      </c>
      <c r="G102" s="1"/>
      <c r="H102" s="1" t="s">
        <v>190</v>
      </c>
      <c r="I102" s="6" t="s">
        <v>402</v>
      </c>
      <c r="J102" s="1" t="s">
        <v>323</v>
      </c>
      <c r="K102" s="1"/>
      <c r="L102" s="1"/>
      <c r="M102" s="1"/>
      <c r="N102" s="19"/>
      <c r="O102" s="19"/>
      <c r="P102" s="19"/>
      <c r="Q102" s="1"/>
      <c r="R102" s="1"/>
      <c r="S102" s="1"/>
      <c r="T102" s="1"/>
      <c r="U102" s="1"/>
      <c r="V102" s="1"/>
      <c r="W102" s="1"/>
      <c r="X102" s="3"/>
      <c r="Y102" s="3"/>
      <c r="Z102" s="3"/>
      <c r="AA102" s="3"/>
    </row>
    <row r="103" spans="1:27" ht="16.149999999999999">
      <c r="A103" s="1">
        <v>52</v>
      </c>
      <c r="B103" s="1">
        <v>52</v>
      </c>
      <c r="C103" s="3">
        <v>102</v>
      </c>
      <c r="D103" s="3">
        <v>102</v>
      </c>
      <c r="E103" s="13" t="s">
        <v>403</v>
      </c>
      <c r="F103" s="13" t="s">
        <v>404</v>
      </c>
      <c r="G103" s="1"/>
      <c r="H103" s="1" t="s">
        <v>195</v>
      </c>
      <c r="I103" s="6" t="s">
        <v>405</v>
      </c>
      <c r="J103" s="1" t="s">
        <v>327</v>
      </c>
      <c r="K103" s="1"/>
      <c r="L103" s="1"/>
      <c r="M103" s="1"/>
      <c r="N103" s="19"/>
      <c r="O103" s="19"/>
      <c r="P103" s="19"/>
      <c r="Q103" s="1"/>
      <c r="R103" s="1"/>
      <c r="S103" s="1"/>
      <c r="T103" s="1"/>
      <c r="U103" s="1"/>
      <c r="V103" s="1"/>
      <c r="W103" s="1"/>
      <c r="X103" s="3"/>
      <c r="Y103" s="3"/>
      <c r="Z103" s="3"/>
      <c r="AA103" s="3"/>
    </row>
    <row r="104" spans="1:27" ht="16.149999999999999">
      <c r="A104" s="1">
        <v>53</v>
      </c>
      <c r="B104" s="1">
        <v>53</v>
      </c>
      <c r="C104" s="3">
        <v>103</v>
      </c>
      <c r="D104" s="3">
        <v>103</v>
      </c>
      <c r="E104" s="13" t="s">
        <v>406</v>
      </c>
      <c r="F104" s="13" t="s">
        <v>407</v>
      </c>
      <c r="G104" s="1"/>
      <c r="H104" s="1" t="s">
        <v>200</v>
      </c>
      <c r="I104" s="6" t="s">
        <v>72</v>
      </c>
      <c r="J104" s="1"/>
      <c r="K104" s="1"/>
      <c r="L104" s="1"/>
      <c r="M104" s="1"/>
      <c r="N104" s="19"/>
      <c r="O104" s="19"/>
      <c r="P104" s="19"/>
      <c r="Q104" s="1"/>
      <c r="R104" s="1"/>
      <c r="S104" s="1"/>
      <c r="T104" s="1"/>
      <c r="U104" s="1"/>
      <c r="V104" s="1"/>
      <c r="W104" s="1"/>
      <c r="X104" s="3"/>
      <c r="Y104" s="3"/>
      <c r="Z104" s="3"/>
      <c r="AA104" s="3"/>
    </row>
    <row r="105" spans="1:27" ht="16.149999999999999">
      <c r="A105" s="1"/>
      <c r="B105" s="1"/>
      <c r="C105" s="3">
        <v>104</v>
      </c>
      <c r="D105" s="3">
        <v>104</v>
      </c>
      <c r="E105" s="13" t="s">
        <v>408</v>
      </c>
      <c r="F105" s="13" t="s">
        <v>409</v>
      </c>
      <c r="G105" s="1"/>
      <c r="H105" s="1" t="s">
        <v>205</v>
      </c>
      <c r="I105" s="6" t="s">
        <v>78</v>
      </c>
      <c r="J105" s="1"/>
      <c r="K105" s="1"/>
      <c r="L105" s="1"/>
      <c r="M105" s="1"/>
      <c r="N105" s="19"/>
      <c r="O105" s="19"/>
      <c r="P105" s="19"/>
      <c r="Q105" s="1"/>
      <c r="R105" s="1"/>
      <c r="S105" s="1"/>
      <c r="T105" s="1"/>
      <c r="U105" s="1"/>
      <c r="V105" s="1"/>
      <c r="W105" s="1"/>
      <c r="X105" s="3"/>
      <c r="Y105" s="3"/>
      <c r="Z105" s="3"/>
      <c r="AA105" s="3"/>
    </row>
    <row r="106" spans="1:27" ht="16.149999999999999">
      <c r="A106" s="2"/>
      <c r="B106" s="2"/>
      <c r="C106" s="3">
        <v>105</v>
      </c>
      <c r="D106" s="3">
        <v>105</v>
      </c>
      <c r="E106" s="13" t="s">
        <v>410</v>
      </c>
      <c r="F106" s="13" t="s">
        <v>410</v>
      </c>
      <c r="G106" s="1"/>
      <c r="H106" s="1"/>
      <c r="I106" s="6"/>
      <c r="J106" s="1"/>
      <c r="K106" s="1"/>
      <c r="L106" s="1"/>
      <c r="M106" s="1"/>
      <c r="N106" s="18"/>
      <c r="O106" s="18"/>
      <c r="P106" s="18"/>
      <c r="Q106" s="1"/>
      <c r="R106" s="1"/>
      <c r="S106" s="1"/>
      <c r="T106" s="1"/>
      <c r="U106" s="1"/>
      <c r="V106" s="1"/>
      <c r="W106" s="1"/>
      <c r="X106" s="3"/>
      <c r="Y106" s="3"/>
      <c r="Z106" s="3"/>
      <c r="AA106" s="3"/>
    </row>
    <row r="107" spans="1:27" ht="16.149999999999999">
      <c r="A107" s="1">
        <v>54</v>
      </c>
      <c r="B107" s="1">
        <v>54</v>
      </c>
      <c r="C107" s="3">
        <v>106</v>
      </c>
      <c r="D107" s="3">
        <v>106</v>
      </c>
      <c r="E107" s="13" t="s">
        <v>411</v>
      </c>
      <c r="F107" s="13" t="s">
        <v>411</v>
      </c>
      <c r="G107" s="1"/>
      <c r="H107" s="1"/>
      <c r="I107" s="6"/>
      <c r="J107" s="1"/>
      <c r="K107" s="1"/>
      <c r="L107" s="1"/>
      <c r="M107" s="1"/>
      <c r="N107" s="18"/>
      <c r="O107" s="18"/>
      <c r="P107" s="18"/>
      <c r="Q107" s="1"/>
      <c r="R107" s="1"/>
      <c r="S107" s="1"/>
      <c r="T107" s="1"/>
      <c r="U107" s="1"/>
      <c r="V107" s="1"/>
      <c r="W107" s="1"/>
      <c r="X107" s="5"/>
      <c r="Y107" s="3"/>
      <c r="Z107" s="3"/>
      <c r="AA107" s="3"/>
    </row>
    <row r="108" spans="1:27" ht="16.149999999999999">
      <c r="A108" s="1">
        <v>55</v>
      </c>
      <c r="B108" s="1">
        <v>55</v>
      </c>
      <c r="C108" s="3">
        <v>107</v>
      </c>
      <c r="D108" s="3">
        <v>107</v>
      </c>
      <c r="E108" s="13" t="s">
        <v>412</v>
      </c>
      <c r="F108" s="13" t="s">
        <v>412</v>
      </c>
      <c r="G108" s="1"/>
      <c r="H108" s="1"/>
      <c r="I108" s="6"/>
      <c r="J108" s="1"/>
      <c r="K108" s="1"/>
      <c r="L108" s="1"/>
      <c r="M108" s="1"/>
      <c r="N108" s="19"/>
      <c r="O108" s="19"/>
      <c r="P108" s="19"/>
      <c r="Q108" s="2"/>
      <c r="R108" s="2"/>
      <c r="S108" s="2"/>
      <c r="T108" s="2"/>
      <c r="U108" s="2"/>
      <c r="V108" s="2"/>
      <c r="W108" s="2"/>
      <c r="X108" s="5"/>
      <c r="Y108" s="3"/>
      <c r="Z108" s="3"/>
      <c r="AA108" s="3"/>
    </row>
    <row r="109" spans="1:27" ht="16.149999999999999">
      <c r="A109" s="1"/>
      <c r="B109" s="1"/>
      <c r="C109" s="3">
        <v>108</v>
      </c>
      <c r="D109" s="3">
        <v>108</v>
      </c>
      <c r="E109" s="13" t="s">
        <v>413</v>
      </c>
      <c r="F109" s="13" t="s">
        <v>413</v>
      </c>
      <c r="G109" s="1"/>
      <c r="H109" s="1"/>
      <c r="I109" s="6"/>
      <c r="J109" s="1"/>
      <c r="K109" s="1"/>
      <c r="L109" s="1"/>
      <c r="M109" s="1"/>
      <c r="N109" s="19"/>
      <c r="O109" s="19"/>
      <c r="P109" s="19"/>
      <c r="Q109" s="1"/>
      <c r="R109" s="1"/>
      <c r="S109" s="1"/>
      <c r="T109" s="1"/>
      <c r="U109" s="1"/>
      <c r="V109" s="1"/>
      <c r="W109" s="1"/>
      <c r="X109" s="3"/>
      <c r="Y109" s="3"/>
      <c r="Z109" s="3"/>
      <c r="AA109" s="3"/>
    </row>
    <row r="110" spans="1:27" ht="16.149999999999999">
      <c r="A110" s="1"/>
      <c r="B110" s="1"/>
      <c r="C110" s="3">
        <v>109</v>
      </c>
      <c r="D110" s="3">
        <v>109</v>
      </c>
      <c r="E110" s="13" t="s">
        <v>414</v>
      </c>
      <c r="F110" s="13" t="s">
        <v>414</v>
      </c>
      <c r="G110" s="1"/>
      <c r="H110" s="1"/>
      <c r="I110" s="6"/>
      <c r="J110" s="1"/>
      <c r="K110" s="1"/>
      <c r="L110" s="1"/>
      <c r="M110" s="1"/>
      <c r="N110" s="19"/>
      <c r="O110" s="19"/>
      <c r="P110" s="19"/>
      <c r="Q110" s="1"/>
      <c r="R110" s="1"/>
      <c r="S110" s="1"/>
      <c r="T110" s="1"/>
      <c r="U110" s="1"/>
      <c r="V110" s="1"/>
      <c r="W110" s="1"/>
      <c r="X110" s="3"/>
      <c r="Y110" s="3"/>
      <c r="Z110" s="3"/>
      <c r="AA110" s="3"/>
    </row>
    <row r="111" spans="1:27" ht="16.149999999999999">
      <c r="A111" s="1"/>
      <c r="B111" s="1"/>
      <c r="C111" s="3">
        <v>110</v>
      </c>
      <c r="D111" s="3">
        <v>110</v>
      </c>
      <c r="E111" s="13" t="s">
        <v>415</v>
      </c>
      <c r="F111" s="13" t="s">
        <v>415</v>
      </c>
      <c r="G111" s="1"/>
      <c r="H111" s="1"/>
      <c r="I111" s="6"/>
      <c r="J111" s="1"/>
      <c r="K111" s="1"/>
      <c r="L111" s="1"/>
      <c r="M111" s="1"/>
      <c r="N111" s="19"/>
      <c r="O111" s="19"/>
      <c r="P111" s="19"/>
      <c r="Q111" s="1"/>
      <c r="R111" s="1"/>
      <c r="S111" s="1"/>
      <c r="T111" s="1"/>
      <c r="U111" s="1"/>
      <c r="V111" s="1"/>
      <c r="W111" s="1"/>
      <c r="X111" s="3"/>
      <c r="Y111" s="3"/>
      <c r="Z111" s="3"/>
      <c r="AA111" s="3"/>
    </row>
    <row r="112" spans="1:27" ht="16.149999999999999">
      <c r="A112" s="1"/>
      <c r="B112" s="1"/>
      <c r="C112" s="3">
        <v>111</v>
      </c>
      <c r="D112" s="3">
        <v>111</v>
      </c>
      <c r="E112" s="13" t="s">
        <v>416</v>
      </c>
      <c r="F112" s="17" t="s">
        <v>416</v>
      </c>
      <c r="G112" s="1"/>
      <c r="H112" s="1"/>
      <c r="I112" s="6"/>
      <c r="J112" s="1"/>
      <c r="K112" s="1"/>
      <c r="L112" s="1"/>
      <c r="M112" s="1"/>
      <c r="N112" s="19"/>
      <c r="O112" s="19"/>
      <c r="P112" s="19"/>
      <c r="Q112" s="1"/>
      <c r="R112" s="1"/>
      <c r="S112" s="1"/>
      <c r="T112" s="1"/>
      <c r="U112" s="1"/>
      <c r="V112" s="1"/>
      <c r="W112" s="1"/>
      <c r="X112" s="3"/>
      <c r="Y112" s="3"/>
      <c r="Z112" s="3"/>
      <c r="AA112" s="3"/>
    </row>
    <row r="113" spans="1:27" ht="16.149999999999999">
      <c r="A113" s="1">
        <v>56</v>
      </c>
      <c r="B113" s="1">
        <v>56</v>
      </c>
      <c r="C113" s="3">
        <v>112</v>
      </c>
      <c r="D113" s="3">
        <v>112</v>
      </c>
      <c r="E113" s="13" t="s">
        <v>417</v>
      </c>
      <c r="F113" s="13" t="s">
        <v>417</v>
      </c>
      <c r="G113" s="1"/>
      <c r="H113" s="1"/>
      <c r="I113" s="6"/>
      <c r="J113" s="1"/>
      <c r="K113" s="1"/>
      <c r="L113" s="1"/>
      <c r="M113" s="1"/>
      <c r="N113" s="19"/>
      <c r="O113" s="19"/>
      <c r="P113" s="19"/>
      <c r="Q113" s="1"/>
      <c r="R113" s="1"/>
      <c r="S113" s="1"/>
      <c r="T113" s="1"/>
      <c r="U113" s="1"/>
      <c r="V113" s="1"/>
      <c r="W113" s="1"/>
      <c r="X113" s="3"/>
      <c r="Y113" s="3"/>
      <c r="Z113" s="3"/>
      <c r="AA113" s="3"/>
    </row>
    <row r="114" spans="1:27" ht="16.149999999999999">
      <c r="A114" s="1">
        <v>57</v>
      </c>
      <c r="B114" s="1">
        <v>57</v>
      </c>
      <c r="C114" s="3">
        <v>113</v>
      </c>
      <c r="D114" s="3">
        <v>113</v>
      </c>
      <c r="E114" s="13" t="s">
        <v>418</v>
      </c>
      <c r="F114" s="13" t="s">
        <v>419</v>
      </c>
      <c r="G114" s="1"/>
      <c r="H114" s="1"/>
      <c r="I114" s="6" t="s">
        <v>104</v>
      </c>
      <c r="J114" s="1" t="s">
        <v>286</v>
      </c>
      <c r="K114" s="1"/>
      <c r="L114" s="1"/>
      <c r="M114" s="1"/>
      <c r="N114" s="19"/>
      <c r="O114" s="19"/>
      <c r="P114" s="19"/>
      <c r="Q114" s="1"/>
      <c r="R114" s="1"/>
      <c r="S114" s="1"/>
      <c r="T114" s="1"/>
      <c r="U114" s="1"/>
      <c r="V114" s="1"/>
      <c r="W114" s="1"/>
      <c r="X114" s="3"/>
      <c r="Y114" s="3"/>
      <c r="Z114" s="3"/>
      <c r="AA114" s="3"/>
    </row>
    <row r="115" spans="1:27" ht="16.149999999999999">
      <c r="A115" s="1">
        <v>58</v>
      </c>
      <c r="B115" s="1">
        <v>58</v>
      </c>
      <c r="C115" s="3">
        <v>114</v>
      </c>
      <c r="D115" s="3">
        <v>114</v>
      </c>
      <c r="E115" s="13" t="s">
        <v>420</v>
      </c>
      <c r="F115" s="13" t="s">
        <v>421</v>
      </c>
      <c r="G115" s="1"/>
      <c r="H115" s="1"/>
      <c r="I115" s="6" t="s">
        <v>95</v>
      </c>
      <c r="J115" s="1" t="s">
        <v>290</v>
      </c>
      <c r="K115" s="1"/>
      <c r="L115" s="1"/>
      <c r="M115" s="1"/>
      <c r="N115" s="19"/>
      <c r="O115" s="19"/>
      <c r="P115" s="19"/>
      <c r="Q115" s="2"/>
      <c r="R115" s="2"/>
      <c r="S115" s="2"/>
      <c r="T115" s="2"/>
      <c r="U115" s="2"/>
      <c r="V115" s="2"/>
      <c r="W115" s="2"/>
      <c r="X115" s="3"/>
      <c r="Y115" s="3"/>
      <c r="Z115" s="3"/>
      <c r="AA115" s="3"/>
    </row>
    <row r="116" spans="1:27" ht="16.149999999999999">
      <c r="A116" s="1">
        <v>59</v>
      </c>
      <c r="B116" s="1">
        <v>59</v>
      </c>
      <c r="C116" s="3">
        <v>115</v>
      </c>
      <c r="D116" s="3">
        <v>115</v>
      </c>
      <c r="E116" s="13" t="s">
        <v>422</v>
      </c>
      <c r="F116" s="13" t="s">
        <v>423</v>
      </c>
      <c r="G116" s="1"/>
      <c r="H116" s="1" t="s">
        <v>115</v>
      </c>
      <c r="I116" s="6" t="s">
        <v>424</v>
      </c>
      <c r="J116" s="1" t="s">
        <v>295</v>
      </c>
      <c r="K116" s="1"/>
      <c r="L116" s="1"/>
      <c r="M116" s="1"/>
      <c r="N116" s="19"/>
      <c r="O116" s="19"/>
      <c r="P116" s="19"/>
      <c r="Q116" s="1"/>
      <c r="R116" s="1"/>
      <c r="S116" s="1"/>
      <c r="T116" s="1"/>
      <c r="U116" s="1"/>
      <c r="V116" s="1"/>
      <c r="W116" s="1"/>
      <c r="X116" s="3"/>
      <c r="Y116" s="3"/>
      <c r="Z116" s="3"/>
      <c r="AA116" s="3"/>
    </row>
    <row r="117" spans="1:27" ht="16.149999999999999">
      <c r="A117" s="1">
        <v>60</v>
      </c>
      <c r="B117" s="1">
        <v>60</v>
      </c>
      <c r="C117" s="3">
        <v>116</v>
      </c>
      <c r="D117" s="3">
        <v>116</v>
      </c>
      <c r="E117" s="13" t="s">
        <v>425</v>
      </c>
      <c r="F117" s="13" t="s">
        <v>426</v>
      </c>
      <c r="G117" s="1"/>
      <c r="H117" s="1" t="s">
        <v>122</v>
      </c>
      <c r="I117" s="6" t="s">
        <v>42</v>
      </c>
      <c r="J117" s="1" t="s">
        <v>300</v>
      </c>
      <c r="K117" s="1"/>
      <c r="L117" s="1"/>
      <c r="M117" s="1"/>
      <c r="N117" s="19"/>
      <c r="O117" s="19"/>
      <c r="P117" s="19"/>
      <c r="Q117" s="1"/>
      <c r="R117" s="1"/>
      <c r="S117" s="1"/>
      <c r="T117" s="1"/>
      <c r="U117" s="1"/>
      <c r="V117" s="1"/>
      <c r="W117" s="1"/>
      <c r="X117" s="3"/>
      <c r="Y117" s="3"/>
      <c r="Z117" s="3"/>
      <c r="AA117" s="3"/>
    </row>
    <row r="118" spans="1:27" ht="16.149999999999999">
      <c r="A118" s="1">
        <v>61</v>
      </c>
      <c r="B118" s="1">
        <v>61</v>
      </c>
      <c r="C118" s="3">
        <v>117</v>
      </c>
      <c r="D118" s="3">
        <v>117</v>
      </c>
      <c r="E118" s="13" t="s">
        <v>427</v>
      </c>
      <c r="F118" s="13" t="s">
        <v>428</v>
      </c>
      <c r="G118" s="1"/>
      <c r="H118" s="1" t="s">
        <v>128</v>
      </c>
      <c r="I118" s="6" t="s">
        <v>53</v>
      </c>
      <c r="J118" s="1" t="s">
        <v>305</v>
      </c>
      <c r="K118" s="1"/>
      <c r="L118" s="1"/>
      <c r="M118" s="1"/>
      <c r="N118" s="19"/>
      <c r="O118" s="19"/>
      <c r="P118" s="19"/>
      <c r="Q118" s="1"/>
      <c r="R118" s="1"/>
      <c r="S118" s="1"/>
      <c r="T118" s="1"/>
      <c r="U118" s="1"/>
      <c r="V118" s="1"/>
      <c r="W118" s="1"/>
      <c r="X118" s="3"/>
      <c r="Y118" s="3"/>
      <c r="Z118" s="3"/>
      <c r="AA118" s="3"/>
    </row>
    <row r="119" spans="1:27" ht="16.149999999999999">
      <c r="A119" s="1">
        <v>62</v>
      </c>
      <c r="B119" s="1">
        <v>62</v>
      </c>
      <c r="C119" s="3">
        <v>118</v>
      </c>
      <c r="D119" s="3">
        <v>118</v>
      </c>
      <c r="E119" s="13" t="s">
        <v>429</v>
      </c>
      <c r="F119" s="13" t="s">
        <v>430</v>
      </c>
      <c r="G119" s="1"/>
      <c r="H119" s="1" t="s">
        <v>133</v>
      </c>
      <c r="I119" s="6" t="s">
        <v>64</v>
      </c>
      <c r="J119" s="1" t="s">
        <v>310</v>
      </c>
      <c r="K119" s="1" t="s">
        <v>431</v>
      </c>
      <c r="L119" s="1"/>
      <c r="M119" s="1"/>
      <c r="N119" s="19"/>
      <c r="O119" s="19"/>
      <c r="P119" s="19"/>
      <c r="Q119" s="1"/>
      <c r="R119" s="1"/>
      <c r="S119" s="1"/>
      <c r="T119" s="1"/>
      <c r="U119" s="1"/>
      <c r="V119" s="1"/>
      <c r="W119" s="1"/>
      <c r="X119" s="3"/>
      <c r="Y119" s="3"/>
      <c r="Z119" s="3"/>
      <c r="AA119" s="3"/>
    </row>
    <row r="120" spans="1:27" ht="16.149999999999999">
      <c r="A120" s="1">
        <v>63</v>
      </c>
      <c r="B120" s="1">
        <v>63</v>
      </c>
      <c r="C120" s="3">
        <v>119</v>
      </c>
      <c r="D120" s="3">
        <v>119</v>
      </c>
      <c r="E120" s="13" t="s">
        <v>108</v>
      </c>
      <c r="F120" s="13" t="s">
        <v>109</v>
      </c>
      <c r="G120" s="1"/>
      <c r="H120" s="1"/>
      <c r="I120" s="6"/>
      <c r="J120" s="1"/>
      <c r="K120" s="1" t="s">
        <v>432</v>
      </c>
      <c r="L120" s="1"/>
      <c r="M120" s="1"/>
      <c r="N120" s="19"/>
      <c r="O120" s="19"/>
      <c r="P120" s="19"/>
      <c r="Q120" s="1"/>
      <c r="R120" s="1"/>
      <c r="S120" s="1"/>
      <c r="T120" s="1"/>
      <c r="U120" s="1"/>
      <c r="V120" s="1"/>
      <c r="W120" s="1"/>
      <c r="X120" s="3"/>
      <c r="Y120" s="3"/>
      <c r="Z120" s="3"/>
      <c r="AA120" s="3"/>
    </row>
    <row r="121" spans="1:27" ht="16.149999999999999">
      <c r="A121" s="1"/>
      <c r="B121" s="1"/>
      <c r="C121" s="3">
        <v>120</v>
      </c>
      <c r="D121" s="3">
        <v>120</v>
      </c>
      <c r="E121" s="13" t="s">
        <v>110</v>
      </c>
      <c r="F121" s="13" t="s">
        <v>111</v>
      </c>
      <c r="G121" s="1"/>
      <c r="H121" s="1"/>
      <c r="I121" s="6"/>
      <c r="J121" s="1"/>
      <c r="K121" s="1"/>
      <c r="L121" s="1"/>
      <c r="M121" s="1"/>
      <c r="N121" s="19"/>
      <c r="O121" s="19"/>
      <c r="P121" s="19"/>
      <c r="Q121" s="1"/>
      <c r="R121" s="1"/>
      <c r="S121" s="1"/>
      <c r="T121" s="1"/>
      <c r="U121" s="1"/>
      <c r="V121" s="1"/>
      <c r="W121" s="1"/>
      <c r="X121" s="3"/>
      <c r="Y121" s="3"/>
      <c r="Z121" s="3"/>
      <c r="AA121" s="3"/>
    </row>
    <row r="122" spans="1:27" ht="16.149999999999999">
      <c r="A122" s="1"/>
      <c r="B122" s="1"/>
      <c r="C122" s="3">
        <v>121</v>
      </c>
      <c r="D122" s="3">
        <v>121</v>
      </c>
      <c r="E122" s="13" t="s">
        <v>433</v>
      </c>
      <c r="F122" s="13" t="s">
        <v>434</v>
      </c>
      <c r="G122" s="1"/>
      <c r="H122" s="1" t="s">
        <v>383</v>
      </c>
      <c r="I122" s="6" t="s">
        <v>306</v>
      </c>
      <c r="J122" s="1" t="s">
        <v>129</v>
      </c>
      <c r="K122" s="1"/>
      <c r="L122" s="1"/>
      <c r="M122" s="1"/>
      <c r="N122" s="19"/>
      <c r="O122" s="19"/>
      <c r="P122" s="19"/>
      <c r="Q122" s="1"/>
      <c r="R122" s="1"/>
      <c r="S122" s="1"/>
      <c r="T122" s="1"/>
      <c r="U122" s="1"/>
      <c r="V122" s="1"/>
      <c r="W122" s="1"/>
      <c r="X122" s="3"/>
      <c r="Y122" s="3"/>
      <c r="Z122" s="3"/>
      <c r="AA122" s="3"/>
    </row>
    <row r="123" spans="1:27" ht="16.149999999999999">
      <c r="A123" s="1"/>
      <c r="B123" s="1"/>
      <c r="C123" s="3">
        <v>122</v>
      </c>
      <c r="D123" s="3">
        <v>122</v>
      </c>
      <c r="E123" s="13" t="s">
        <v>435</v>
      </c>
      <c r="F123" s="13" t="s">
        <v>436</v>
      </c>
      <c r="G123" s="1"/>
      <c r="H123" s="1" t="s">
        <v>387</v>
      </c>
      <c r="I123" s="6" t="s">
        <v>311</v>
      </c>
      <c r="J123" s="1" t="s">
        <v>134</v>
      </c>
      <c r="K123" s="1"/>
      <c r="L123" s="1"/>
      <c r="M123" s="1"/>
      <c r="N123" s="19"/>
      <c r="O123" s="19"/>
      <c r="P123" s="19"/>
      <c r="Q123" s="1"/>
      <c r="R123" s="1"/>
      <c r="S123" s="1"/>
      <c r="T123" s="1"/>
      <c r="U123" s="1"/>
      <c r="V123" s="1"/>
      <c r="W123" s="1"/>
      <c r="X123" s="3"/>
      <c r="Y123" s="3"/>
      <c r="Z123" s="3"/>
      <c r="AA123" s="3"/>
    </row>
    <row r="124" spans="1:27" ht="16.149999999999999">
      <c r="A124" s="1"/>
      <c r="B124" s="1"/>
      <c r="C124" s="3">
        <v>123</v>
      </c>
      <c r="D124" s="3">
        <v>123</v>
      </c>
      <c r="E124" s="13" t="s">
        <v>437</v>
      </c>
      <c r="F124" s="13" t="s">
        <v>438</v>
      </c>
      <c r="G124" s="1"/>
      <c r="H124" s="1" t="s">
        <v>391</v>
      </c>
      <c r="I124" s="6" t="s">
        <v>301</v>
      </c>
      <c r="J124" s="1" t="s">
        <v>116</v>
      </c>
      <c r="K124" s="1"/>
      <c r="L124" s="1"/>
      <c r="M124" s="1"/>
      <c r="N124" s="19"/>
      <c r="O124" s="19"/>
      <c r="P124" s="19"/>
      <c r="Q124" s="1"/>
      <c r="R124" s="1"/>
      <c r="S124" s="1"/>
      <c r="T124" s="1"/>
      <c r="U124" s="1"/>
      <c r="V124" s="1"/>
      <c r="W124" s="1"/>
      <c r="X124" s="3"/>
      <c r="Y124" s="3"/>
      <c r="Z124" s="3"/>
      <c r="AA124" s="3"/>
    </row>
    <row r="125" spans="1:27" ht="16.149999999999999">
      <c r="A125" s="1"/>
      <c r="B125" s="1"/>
      <c r="C125" s="3">
        <v>124</v>
      </c>
      <c r="D125" s="3">
        <v>124</v>
      </c>
      <c r="E125" s="13" t="s">
        <v>439</v>
      </c>
      <c r="F125" s="13" t="s">
        <v>440</v>
      </c>
      <c r="G125" s="1"/>
      <c r="H125" s="1" t="s">
        <v>395</v>
      </c>
      <c r="I125" s="6" t="s">
        <v>296</v>
      </c>
      <c r="J125" s="1" t="s">
        <v>123</v>
      </c>
      <c r="K125" s="1"/>
      <c r="L125" s="1"/>
      <c r="M125" s="1"/>
      <c r="N125" s="19"/>
      <c r="O125" s="19"/>
      <c r="P125" s="19"/>
      <c r="Q125" s="1"/>
      <c r="R125" s="1"/>
      <c r="S125" s="1"/>
      <c r="T125" s="1"/>
      <c r="U125" s="1"/>
      <c r="V125" s="1"/>
      <c r="W125" s="1"/>
      <c r="X125" s="3"/>
      <c r="Y125" s="3"/>
      <c r="Z125" s="3"/>
      <c r="AA125" s="3"/>
    </row>
    <row r="126" spans="1:27" ht="16.149999999999999">
      <c r="A126" s="1"/>
      <c r="B126" s="1"/>
      <c r="C126" s="3">
        <v>125</v>
      </c>
      <c r="D126" s="3">
        <v>125</v>
      </c>
      <c r="E126" s="13" t="s">
        <v>441</v>
      </c>
      <c r="F126" s="13" t="s">
        <v>442</v>
      </c>
      <c r="G126" s="1"/>
      <c r="H126" s="1" t="s">
        <v>443</v>
      </c>
      <c r="I126" s="6" t="s">
        <v>287</v>
      </c>
      <c r="J126" s="1" t="s">
        <v>140</v>
      </c>
      <c r="K126" s="1"/>
      <c r="L126" s="1"/>
      <c r="M126" s="1"/>
      <c r="N126" s="19"/>
      <c r="O126" s="19"/>
      <c r="P126" s="19"/>
      <c r="Q126" s="1"/>
      <c r="R126" s="1"/>
      <c r="S126" s="1"/>
      <c r="T126" s="1"/>
      <c r="U126" s="1"/>
      <c r="V126" s="1"/>
      <c r="W126" s="1"/>
      <c r="X126" s="3"/>
      <c r="Y126" s="3"/>
      <c r="Z126" s="3"/>
      <c r="AA126" s="3"/>
    </row>
    <row r="127" spans="1:27" ht="16.149999999999999">
      <c r="A127" s="1"/>
      <c r="B127" s="1"/>
      <c r="C127" s="3">
        <v>126</v>
      </c>
      <c r="D127" s="3">
        <v>126</v>
      </c>
      <c r="E127" s="13" t="s">
        <v>444</v>
      </c>
      <c r="F127" s="13" t="s">
        <v>445</v>
      </c>
      <c r="G127" s="1"/>
      <c r="H127" s="1" t="s">
        <v>446</v>
      </c>
      <c r="I127" s="6" t="s">
        <v>291</v>
      </c>
      <c r="J127" s="1"/>
      <c r="K127" s="1"/>
      <c r="L127" s="1"/>
      <c r="M127" s="1"/>
      <c r="N127" s="19"/>
      <c r="O127" s="19"/>
      <c r="P127" s="19"/>
      <c r="Q127" s="1"/>
      <c r="R127" s="1"/>
      <c r="S127" s="1"/>
      <c r="T127" s="1"/>
      <c r="U127" s="1"/>
      <c r="V127" s="1"/>
      <c r="W127" s="1"/>
      <c r="X127" s="3"/>
      <c r="Y127" s="3"/>
      <c r="Z127" s="3"/>
      <c r="AA127" s="3"/>
    </row>
    <row r="128" spans="1:27" ht="16.149999999999999">
      <c r="A128" s="1"/>
      <c r="B128" s="1"/>
      <c r="C128" s="3">
        <v>127</v>
      </c>
      <c r="D128" s="3">
        <v>127</v>
      </c>
      <c r="E128" s="13" t="s">
        <v>447</v>
      </c>
      <c r="F128" s="13" t="s">
        <v>448</v>
      </c>
      <c r="G128" s="1"/>
      <c r="H128" s="1" t="s">
        <v>146</v>
      </c>
      <c r="I128" s="6" t="s">
        <v>449</v>
      </c>
      <c r="J128" s="1" t="s">
        <v>450</v>
      </c>
      <c r="K128" s="1"/>
      <c r="L128" s="1"/>
      <c r="M128" s="1"/>
      <c r="N128" s="19"/>
      <c r="O128" s="19"/>
      <c r="P128" s="19"/>
      <c r="Q128" s="1"/>
      <c r="R128" s="1"/>
      <c r="S128" s="1"/>
      <c r="T128" s="1"/>
      <c r="U128" s="1"/>
      <c r="V128" s="1"/>
      <c r="W128" s="1"/>
      <c r="X128" s="3"/>
      <c r="Y128" s="3"/>
      <c r="Z128" s="3"/>
      <c r="AA128" s="3"/>
    </row>
    <row r="129" spans="1:27" ht="16.149999999999999">
      <c r="A129" s="1">
        <v>64</v>
      </c>
      <c r="B129" s="1">
        <v>64</v>
      </c>
      <c r="C129" s="3">
        <v>128</v>
      </c>
      <c r="D129" s="3">
        <v>128</v>
      </c>
      <c r="E129" s="13" t="s">
        <v>451</v>
      </c>
      <c r="F129" s="13" t="s">
        <v>452</v>
      </c>
      <c r="G129" s="1"/>
      <c r="H129" s="1" t="s">
        <v>151</v>
      </c>
      <c r="I129" s="6" t="s">
        <v>453</v>
      </c>
      <c r="J129" s="1" t="s">
        <v>454</v>
      </c>
      <c r="K129" s="1"/>
      <c r="L129" s="1"/>
      <c r="M129" s="1"/>
      <c r="N129" s="19"/>
      <c r="O129" s="19"/>
      <c r="P129" s="19"/>
      <c r="Q129" s="1"/>
      <c r="R129" s="1"/>
      <c r="S129" s="1"/>
      <c r="T129" s="1"/>
      <c r="U129" s="1"/>
      <c r="V129" s="1"/>
      <c r="W129" s="1"/>
      <c r="X129" s="3"/>
      <c r="Y129" s="3"/>
      <c r="Z129" s="3"/>
      <c r="AA129" s="3"/>
    </row>
  </sheetData>
  <phoneticPr fontId="47"/>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08"/>
  <sheetViews>
    <sheetView tabSelected="1" zoomScaleNormal="100" workbookViewId="0">
      <pane xSplit="8" ySplit="1" topLeftCell="I17" activePane="bottomRight" state="frozen"/>
      <selection pane="bottomRight"/>
      <selection pane="bottomLeft" activeCell="AL1" sqref="AL1:CI1048576"/>
      <selection pane="topRight" activeCell="AL1" sqref="AL1:CI1048576"/>
    </sheetView>
  </sheetViews>
  <sheetFormatPr defaultRowHeight="15" outlineLevelCol="2"/>
  <cols>
    <col min="1" max="1" width="6.5703125" bestFit="1" customWidth="1"/>
    <col min="2" max="2" width="9.7109375" customWidth="1"/>
    <col min="3" max="5" width="9.7109375" bestFit="1" customWidth="1"/>
    <col min="6" max="6" width="9.7109375" customWidth="1"/>
    <col min="7" max="8" width="9.7109375" bestFit="1" customWidth="1"/>
    <col min="9" max="10" width="13.140625" bestFit="1" customWidth="1"/>
    <col min="11" max="12" width="19.5703125" bestFit="1" customWidth="1"/>
    <col min="13" max="13" width="25.28515625" bestFit="1" customWidth="1"/>
    <col min="14" max="14" width="19.5703125" bestFit="1" customWidth="1"/>
    <col min="15" max="16" width="13.85546875" bestFit="1" customWidth="1"/>
    <col min="17" max="17" width="10.5703125" bestFit="1" customWidth="1"/>
    <col min="18" max="20" width="10.5703125" customWidth="1"/>
    <col min="21" max="21" width="3" customWidth="1"/>
    <col min="22" max="22" width="12.42578125" customWidth="1" outlineLevel="2"/>
    <col min="23" max="24" width="9.7109375" customWidth="1" outlineLevel="2"/>
    <col min="25" max="26" width="16.7109375" customWidth="1" outlineLevel="2"/>
    <col min="27" max="27" width="3.85546875" customWidth="1"/>
    <col min="28" max="28" width="12.42578125" customWidth="1" outlineLevel="2"/>
    <col min="29" max="30" width="9.7109375" customWidth="1" outlineLevel="2"/>
    <col min="31" max="31" width="16.7109375" customWidth="1" outlineLevel="2"/>
    <col min="32" max="32" width="3.85546875" customWidth="1"/>
    <col min="33" max="33" width="12.42578125" customWidth="1" outlineLevel="2"/>
    <col min="34" max="35" width="9.7109375" customWidth="1" outlineLevel="2"/>
    <col min="36" max="36" width="16.7109375" customWidth="1" outlineLevel="2"/>
    <col min="37" max="37" width="3.85546875" customWidth="1"/>
    <col min="38" max="41" width="13.28515625" customWidth="1"/>
  </cols>
  <sheetData>
    <row r="1" spans="1:42" ht="43.9" thickBot="1">
      <c r="A1" s="60" t="s">
        <v>455</v>
      </c>
      <c r="B1" s="32" t="s">
        <v>456</v>
      </c>
      <c r="C1" s="32" t="s">
        <v>457</v>
      </c>
      <c r="D1" s="32" t="s">
        <v>458</v>
      </c>
      <c r="E1" s="32" t="s">
        <v>459</v>
      </c>
      <c r="F1" s="32" t="s">
        <v>460</v>
      </c>
      <c r="G1" s="32" t="s">
        <v>461</v>
      </c>
      <c r="H1" s="32" t="s">
        <v>462</v>
      </c>
      <c r="I1" s="53" t="s">
        <v>463</v>
      </c>
      <c r="J1" s="53" t="s">
        <v>464</v>
      </c>
      <c r="K1" s="54" t="s">
        <v>465</v>
      </c>
      <c r="L1" s="54" t="s">
        <v>466</v>
      </c>
      <c r="M1" s="54" t="s">
        <v>467</v>
      </c>
      <c r="N1" s="54" t="s">
        <v>468</v>
      </c>
      <c r="O1" s="62" t="s">
        <v>469</v>
      </c>
      <c r="P1" s="54" t="s">
        <v>470</v>
      </c>
      <c r="Q1" s="54" t="s">
        <v>471</v>
      </c>
      <c r="R1" s="54" t="s">
        <v>472</v>
      </c>
      <c r="S1" s="54" t="s">
        <v>473</v>
      </c>
      <c r="T1" s="54" t="s">
        <v>474</v>
      </c>
      <c r="U1" s="56"/>
      <c r="V1" s="71" t="s">
        <v>17</v>
      </c>
      <c r="W1" s="71" t="s">
        <v>475</v>
      </c>
      <c r="X1" s="121" t="s">
        <v>476</v>
      </c>
      <c r="Y1" s="143" t="s">
        <v>477</v>
      </c>
      <c r="Z1" s="144"/>
      <c r="AA1" s="56"/>
      <c r="AB1" s="71" t="s">
        <v>478</v>
      </c>
      <c r="AC1" s="71" t="s">
        <v>475</v>
      </c>
      <c r="AD1" s="71" t="s">
        <v>476</v>
      </c>
      <c r="AE1" s="71" t="s">
        <v>477</v>
      </c>
      <c r="AF1" s="56"/>
      <c r="AG1" s="71" t="s">
        <v>479</v>
      </c>
      <c r="AH1" s="71" t="s">
        <v>475</v>
      </c>
      <c r="AI1" s="71" t="s">
        <v>476</v>
      </c>
      <c r="AJ1" s="71" t="s">
        <v>477</v>
      </c>
      <c r="AK1" s="56"/>
      <c r="AL1" s="58" t="s">
        <v>21</v>
      </c>
      <c r="AM1" s="58" t="s">
        <v>22</v>
      </c>
      <c r="AN1" s="58" t="s">
        <v>23</v>
      </c>
      <c r="AO1" s="59" t="s">
        <v>480</v>
      </c>
    </row>
    <row r="2" spans="1:42" ht="16.149999999999999">
      <c r="A2" s="60">
        <v>1</v>
      </c>
      <c r="B2" s="63">
        <v>1</v>
      </c>
      <c r="C2" s="63"/>
      <c r="D2" s="85"/>
      <c r="E2" s="85"/>
      <c r="F2" s="63">
        <v>1</v>
      </c>
      <c r="G2" s="63"/>
      <c r="H2" s="85"/>
      <c r="I2" s="45" t="s">
        <v>422</v>
      </c>
      <c r="J2" s="45" t="s">
        <v>423</v>
      </c>
      <c r="K2" s="69" t="str">
        <f ca="1">IF('＠MFP (LSI name)'!K2="","",IF(COUNTIF('＠MFP (LSI name)'!K2,"Serial*")+COUNTIF('＠MFP (LSI name)'!K2,"Analog*")&gt;0,'＠MFP (LSI name)'!K2,OFFSET('＠グループ、表示名'!$H$4,MATCH('＠MFP (LSI name)'!K2,'＠グループ、表示名'!$D$4:$D$250,0)-1,0)))</f>
        <v>IRQ00</v>
      </c>
      <c r="L2" s="69" t="str">
        <f ca="1">IF('＠MFP (LSI name)'!L2="","",IF(COUNTIF('＠MFP (LSI name)'!L2,"Serial*")+COUNTIF('＠MFP (LSI name)'!L2,"Analog*")&gt;0,'＠MFP (LSI name)'!L2,OFFSET('＠グループ、表示名'!$H$4,MATCH('＠MFP (LSI name)'!L2,'＠グループ、表示名'!$D$4:$D$250,0)-1,0)))</f>
        <v/>
      </c>
      <c r="M2" s="69" t="str">
        <f ca="1">IF('＠MFP (LSI name)'!M2="","",IF(COUNTIF('＠MFP (LSI name)'!M2,"Serial*")+COUNTIF('＠MFP (LSI name)'!M2,"Analog*")&gt;0,'＠MFP (LSI name)'!M2,OFFSET('＠グループ、表示名'!$H$4,MATCH('＠MFP (LSI name)'!M2,'＠グループ、表示名'!$D$4:$D$250,0)-1,0)))</f>
        <v/>
      </c>
      <c r="N2" s="69" t="str">
        <f ca="1">IF('＠MFP (LSI name)'!N2="","",IF(COUNTIF('＠MFP (LSI name)'!N2,"Serial*")+COUNTIF('＠MFP (LSI name)'!N2,"Analog*")&gt;0,'＠MFP (LSI name)'!N2,OFFSET('＠グループ、表示名'!$H$4,MATCH('＠MFP (LSI name)'!N2,'＠グループ、表示名'!$D$4:$D$250,0)-1,0)))</f>
        <v/>
      </c>
      <c r="O2" s="69" t="str">
        <f ca="1">IF('＠MFP (LSI name)'!O2="","",IF(COUNTIF('＠MFP (LSI name)'!O2,"Serial*")+COUNTIF('＠MFP (LSI name)'!O2,"Analog*")&gt;0,'＠MFP (LSI name)'!O2,OFFSET('＠グループ、表示名'!$H$4,MATCH('＠MFP (LSI name)'!O2,'＠グループ、表示名'!$D$4:$D$250,0)-1,0)))</f>
        <v/>
      </c>
      <c r="P2" s="69" t="str">
        <f ca="1">IF('＠MFP (LSI name)'!P2="","",IF(COUNTIF('＠MFP (LSI name)'!P2,"Serial*")+COUNTIF('＠MFP (LSI name)'!P2,"Analog*")&gt;0,'＠MFP (LSI name)'!P2,OFFSET('＠グループ、表示名'!$H$4,MATCH('＠MFP (LSI name)'!P2,'＠グループ、表示名'!$D$4:$D$250,0)-1,0)))</f>
        <v/>
      </c>
      <c r="Q2" s="69" t="str">
        <f ca="1">IF('＠MFP (LSI name)'!Q2="","",IF(COUNTIF('＠MFP (LSI name)'!Q2,"Serial*")+COUNTIF('＠MFP (LSI name)'!Q2,"Analog*")&gt;0,'＠MFP (LSI name)'!Q2,OFFSET('＠グループ、表示名'!$H$4,MATCH('＠MFP (LSI name)'!Q2,'＠グループ、表示名'!$D$4:$D$250,0)-1,0)))</f>
        <v/>
      </c>
      <c r="R2" s="69" t="str">
        <f ca="1">IF('＠MFP (LSI name)'!R2="","",IF(COUNTIF('＠MFP (LSI name)'!R2,"Serial*")+COUNTIF('＠MFP (LSI name)'!R2,"Analog*")&gt;0,'＠MFP (LSI name)'!R2,OFFSET('＠グループ、表示名'!$H$4,MATCH('＠MFP (LSI name)'!R2,'＠グループ、表示名'!$D$4:$D$250,0)-1,0)))</f>
        <v/>
      </c>
      <c r="S2" s="69" t="str">
        <f ca="1">IF('＠MFP (LSI name)'!S2="","",IF(COUNTIF('＠MFP (LSI name)'!S2,"Serial*")+COUNTIF('＠MFP (LSI name)'!S2,"Analog*")&gt;0,'＠MFP (LSI name)'!S2,OFFSET('＠グループ、表示名'!$H$4,MATCH('＠MFP (LSI name)'!S2,'＠グループ、表示名'!$D$4:$D$250,0)-1,0)))</f>
        <v/>
      </c>
      <c r="T2" s="69" t="str">
        <f ca="1">IF('＠MFP (LSI name)'!T2="","",IF(COUNTIF('＠MFP (LSI name)'!T2,"Serial*")+COUNTIF('＠MFP (LSI name)'!T2,"Analog*")&gt;0,'＠MFP (LSI name)'!T2,OFFSET('＠グループ、表示名'!$H$4,MATCH('＠MFP (LSI name)'!T2,'＠グループ、表示名'!$D$4:$D$250,0)-1,0)))</f>
        <v/>
      </c>
      <c r="U2" s="69" t="str">
        <f ca="1">IF('＠MFP (LSI name)'!U2="","",IF(COUNTIF('＠MFP (LSI name)'!U2,"Serial*")+COUNTIF('＠MFP (LSI name)'!U2,"Analog*")&gt;0,'＠MFP (LSI name)'!U2,OFFSET('＠グループ、表示名'!$H$4,MATCH('＠MFP (LSI name)'!U2,'＠グループ、表示名'!$D$4:$D$250,0)-1,0)))</f>
        <v/>
      </c>
      <c r="V2" s="72" t="str">
        <f ca="1">IF('＠MFP (LSI name)'!V2="","",IF(COUNTIF('＠MFP (LSI name)'!V2,"Serial*")+COUNTIF('＠MFP (LSI name)'!V2,"Analog*")&gt;0,'＠MFP (LSI name)'!V2,OFFSET('＠グループ、表示名'!$H$4,MATCH('＠MFP (LSI name)'!V2,'＠グループ、表示名'!$D$4:$D$250,0)-1,0)))</f>
        <v/>
      </c>
      <c r="W2" s="72" t="str">
        <f ca="1">IF('＠MFP (LSI name)'!W2="","",IF(COUNTIF('＠MFP (LSI name)'!W2,"Serial*")+COUNTIF('＠MFP (LSI name)'!W2,"Analog*")&gt;0,'＠MFP (LSI name)'!W2,OFFSET('＠グループ、表示名'!$H$4,MATCH('＠MFP (LSI name)'!W2,'＠グループ、表示名'!$D$4:$D$250,0)-1,0)))</f>
        <v/>
      </c>
      <c r="X2" s="72" t="str">
        <f ca="1">IF('＠MFP (LSI name)'!X2="","",IF(COUNTIF('＠MFP (LSI name)'!X2,"Serial*")+COUNTIF('＠MFP (LSI name)'!X2,"Analog*")&gt;0,'＠MFP (LSI name)'!X2,OFFSET('＠グループ、表示名'!$H$4,MATCH('＠MFP (LSI name)'!X2,'＠グループ、表示名'!$D$4:$D$250,0)-1,0)))</f>
        <v/>
      </c>
      <c r="Y2" s="72" t="str">
        <f ca="1">IF('＠MFP (LSI name)'!Y2="","",IF(COUNTIF('＠MFP (LSI name)'!Y2,"Serial*")+COUNTIF('＠MFP (LSI name)'!Y2,"Analog*")&gt;0,'＠MFP (LSI name)'!Y2,OFFSET('＠グループ、表示名'!$H$4,MATCH('＠MFP (LSI name)'!Y2,'＠グループ、表示名'!$D$4:$D$250,0)-1,0)))</f>
        <v/>
      </c>
      <c r="Z2" s="72" t="str">
        <f ca="1">IF('＠MFP (LSI name)'!Z2="","",IF(COUNTIF('＠MFP (LSI name)'!Z2,"Serial*")+COUNTIF('＠MFP (LSI name)'!Z2,"Analog*")&gt;0,'＠MFP (LSI name)'!Z2,OFFSET('＠グループ、表示名'!$H$4,MATCH('＠MFP (LSI name)'!Z2,'＠グループ、表示名'!$D$4:$D$250,0)-1,0)))</f>
        <v/>
      </c>
      <c r="AA2" s="69" t="str">
        <f ca="1">IF('＠MFP (LSI name)'!AA2="","",IF(COUNTIF('＠MFP (LSI name)'!AA2,"Serial*")+COUNTIF('＠MFP (LSI name)'!AA2,"Analog*")&gt;0,'＠MFP (LSI name)'!AA2,OFFSET('＠グループ、表示名'!$H$4,MATCH('＠MFP (LSI name)'!AA2,'＠グループ、表示名'!$D$4:$D$250,0)-1,0)))</f>
        <v/>
      </c>
      <c r="AB2" s="72" t="str">
        <f ca="1">IF('＠MFP (LSI name)'!AB2="","",IF(COUNTIF('＠MFP (LSI name)'!AB2,"Serial*")+COUNTIF('＠MFP (LSI name)'!AB2,"Analog*")&gt;0,'＠MFP (LSI name)'!AB2,OFFSET('＠グループ、表示名'!$H$4,MATCH('＠MFP (LSI name)'!AB2,'＠グループ、表示名'!$D$4:$D$250,0)-1,0)))</f>
        <v/>
      </c>
      <c r="AC2" s="72" t="str">
        <f ca="1">IF('＠MFP (LSI name)'!AC2="","",IF(COUNTIF('＠MFP (LSI name)'!AC2,"Serial*")+COUNTIF('＠MFP (LSI name)'!AC2,"Analog*")&gt;0,'＠MFP (LSI name)'!AC2,OFFSET('＠グループ、表示名'!$H$4,MATCH('＠MFP (LSI name)'!AC2,'＠グループ、表示名'!$D$4:$D$250,0)-1,0)))</f>
        <v/>
      </c>
      <c r="AD2" s="72" t="str">
        <f ca="1">IF('＠MFP (LSI name)'!AD2="","",IF(COUNTIF('＠MFP (LSI name)'!AD2,"Serial*")+COUNTIF('＠MFP (LSI name)'!AD2,"Analog*")&gt;0,'＠MFP (LSI name)'!AD2,OFFSET('＠グループ、表示名'!$H$4,MATCH('＠MFP (LSI name)'!AD2,'＠グループ、表示名'!$D$4:$D$250,0)-1,0)))</f>
        <v/>
      </c>
      <c r="AE2" s="72" t="str">
        <f ca="1">IF('＠MFP (LSI name)'!AE2="","",IF(COUNTIF('＠MFP (LSI name)'!AE2,"Serial*")+COUNTIF('＠MFP (LSI name)'!AE2,"Analog*")&gt;0,'＠MFP (LSI name)'!AE2,OFFSET('＠グループ、表示名'!$H$4,MATCH('＠MFP (LSI name)'!AE2,'＠グループ、表示名'!$D$4:$D$250,0)-1,0)))</f>
        <v/>
      </c>
      <c r="AF2" s="69" t="str">
        <f ca="1">IF('＠MFP (LSI name)'!AF2="","",IF(COUNTIF('＠MFP (LSI name)'!AF2,"Serial*")+COUNTIF('＠MFP (LSI name)'!AF2,"Analog*")&gt;0,'＠MFP (LSI name)'!AF2,OFFSET('＠グループ、表示名'!$H$4,MATCH('＠MFP (LSI name)'!AF2,'＠グループ、表示名'!$D$4:$D$250,0)-1,0)))</f>
        <v/>
      </c>
      <c r="AG2" s="72" t="str">
        <f ca="1">IF('＠MFP (LSI name)'!AG2="","",IF(COUNTIF('＠MFP (LSI name)'!AG2,"Serial*")+COUNTIF('＠MFP (LSI name)'!AG2,"Analog*")&gt;0,'＠MFP (LSI name)'!AG2,OFFSET('＠グループ、表示名'!$H$4,MATCH('＠MFP (LSI name)'!AG2,'＠グループ、表示名'!$D$4:$D$250,0)-1,0)))</f>
        <v/>
      </c>
      <c r="AH2" s="72" t="str">
        <f ca="1">IF('＠MFP (LSI name)'!AH2="","",IF(COUNTIF('＠MFP (LSI name)'!AH2,"Serial*")+COUNTIF('＠MFP (LSI name)'!AH2,"Analog*")&gt;0,'＠MFP (LSI name)'!AH2,OFFSET('＠グループ、表示名'!$H$4,MATCH('＠MFP (LSI name)'!AH2,'＠グループ、表示名'!$D$4:$D$250,0)-1,0)))</f>
        <v/>
      </c>
      <c r="AI2" s="72" t="str">
        <f ca="1">IF('＠MFP (LSI name)'!AI2="","",IF(COUNTIF('＠MFP (LSI name)'!AI2,"Serial*")+COUNTIF('＠MFP (LSI name)'!AI2,"Analog*")&gt;0,'＠MFP (LSI name)'!AI2,OFFSET('＠グループ、表示名'!$H$4,MATCH('＠MFP (LSI name)'!AI2,'＠グループ、表示名'!$D$4:$D$250,0)-1,0)))</f>
        <v/>
      </c>
      <c r="AJ2" s="72" t="str">
        <f ca="1">IF('＠MFP (LSI name)'!AJ2="","",IF(COUNTIF('＠MFP (LSI name)'!AJ2,"Serial*")+COUNTIF('＠MFP (LSI name)'!AJ2,"Analog*")&gt;0,'＠MFP (LSI name)'!AJ2,OFFSET('＠グループ、表示名'!$H$4,MATCH('＠MFP (LSI name)'!AJ2,'＠グループ、表示名'!$D$4:$D$250,0)-1,0)))</f>
        <v/>
      </c>
      <c r="AK2" s="69" t="str">
        <f ca="1">IF('＠MFP (LSI name)'!AK2="","",IF(COUNTIF('＠MFP (LSI name)'!AK2,"Serial*")+COUNTIF('＠MFP (LSI name)'!AK2,"Analog*")&gt;0,'＠MFP (LSI name)'!AK2,OFFSET('＠グループ、表示名'!$H$4,MATCH('＠MFP (LSI name)'!AK2,'＠グループ、表示名'!$D$4:$D$250,0)-1,0)))</f>
        <v/>
      </c>
      <c r="AL2" s="9" t="str">
        <f>IF(COUNTIF(J2,"P*")&gt;0,"IO"&amp;LEFT(J2,2)&amp;"MD["&amp;RIGHT(J2,1)*4+3&amp;"]","")</f>
        <v>IOPEMD[23]</v>
      </c>
      <c r="AM2" s="9" t="str">
        <f>IF(COUNTIF(J2,"P*")&gt;0,"IO"&amp;LEFT(J2,2)&amp;"MD["&amp;RIGHT(J2,1)*4+2&amp;"]","")</f>
        <v>IOPEMD[22]</v>
      </c>
      <c r="AN2" s="9" t="str">
        <f>IF(COUNTIF(J2,"P*")&gt;0,"IO"&amp;LEFT(J2,2)&amp;"MD["&amp;RIGHT(J2,1)*4+1&amp;"]","")</f>
        <v>IOPEMD[21]</v>
      </c>
      <c r="AO2" s="9" t="str">
        <f>IF(COUNTIF(J2,"P*")&gt;0,"IO"&amp;LEFT(J2,2)&amp;"MD["&amp;RIGHT(J2,1)*4&amp;"]","")</f>
        <v>IOPEMD[20]</v>
      </c>
      <c r="AP2" s="86"/>
    </row>
    <row r="3" spans="1:42" ht="16.149999999999999">
      <c r="A3" s="60">
        <v>2</v>
      </c>
      <c r="B3" s="7">
        <v>2</v>
      </c>
      <c r="C3" s="7">
        <v>1</v>
      </c>
      <c r="D3" s="87">
        <v>1</v>
      </c>
      <c r="E3" s="87"/>
      <c r="F3" s="7">
        <v>2</v>
      </c>
      <c r="G3" s="7">
        <v>1</v>
      </c>
      <c r="H3" s="87">
        <v>1</v>
      </c>
      <c r="I3" s="45" t="s">
        <v>481</v>
      </c>
      <c r="J3" s="45" t="s">
        <v>482</v>
      </c>
      <c r="K3" s="69" t="str">
        <f ca="1">IF('＠MFP (LSI name)'!K3="","",IF(COUNTIF('＠MFP (LSI name)'!K3,"Serial*")+COUNTIF('＠MFP (LSI name)'!K3,"Analog*")&gt;0,'＠MFP (LSI name)'!K3,OFFSET('＠グループ、表示名'!$H$4,MATCH('＠MFP (LSI name)'!K3,'＠グループ、表示名'!$D$4:$D$250,0)-1,0)))</f>
        <v>IRQ05</v>
      </c>
      <c r="L3" s="69" t="str">
        <f ca="1">IF('＠MFP (LSI name)'!L3="","",IF(COUNTIF('＠MFP (LSI name)'!L3,"Serial*")+COUNTIF('＠MFP (LSI name)'!L3,"Analog*")&gt;0,'＠MFP (LSI name)'!L3,OFFSET('＠グループ、表示名'!$H$4,MATCH('＠MFP (LSI name)'!L3,'＠グループ、表示名'!$D$4:$D$250,0)-1,0)))</f>
        <v>TM15B</v>
      </c>
      <c r="M3" s="18" t="str">
        <f ca="1">IF('＠MFP (LSI name)'!M3="","",IF(COUNTIF('＠MFP (LSI name)'!M3,"Serial*")+COUNTIF('＠MFP (LSI name)'!M3,"Analog*")&gt;0,'＠MFP (LSI name)'!M3,OFFSET('＠グループ、表示名'!$H$4,MATCH('＠MFP (LSI name)'!M3,'＠グループ、表示名'!$D$4:$D$250,0)-1,0)))</f>
        <v>SIF1_SBCS1</v>
      </c>
      <c r="N3" s="18" t="str">
        <f ca="1">IF('＠MFP (LSI name)'!N3="","",IF(COUNTIF('＠MFP (LSI name)'!N3,"Serial*")+COUNTIF('＠MFP (LSI name)'!N3,"Analog*")&gt;0,'＠MFP (LSI name)'!N3,OFFSET('＠グループ、表示名'!$H$4,MATCH('＠MFP (LSI name)'!N3,'＠グループ、表示名'!$D$4:$D$250,0)-1,0)))</f>
        <v>SIF4_SBI4</v>
      </c>
      <c r="O3" s="69" t="str">
        <f ca="1">IF('＠MFP (LSI name)'!O3="","",IF(COUNTIF('＠MFP (LSI name)'!O3,"Serial*")+COUNTIF('＠MFP (LSI name)'!O3,"Analog*")&gt;0,'＠MFP (LSI name)'!O3,OFFSET('＠グループ、表示名'!$H$4,MATCH('＠MFP (LSI name)'!O3,'＠グループ、表示名'!$D$4:$D$250,0)-1,0)))</f>
        <v>SIF4_SBO4</v>
      </c>
      <c r="P3" s="69" t="str">
        <f ca="1">IF('＠MFP (LSI name)'!P3="","",IF(COUNTIF('＠MFP (LSI name)'!P3,"Serial*")+COUNTIF('＠MFP (LSI name)'!P3,"Analog*")&gt;0,'＠MFP (LSI name)'!P3,OFFSET('＠グループ、表示名'!$H$4,MATCH('＠MFP (LSI name)'!P3,'＠グループ、表示名'!$D$4:$D$250,0)-1,0)))</f>
        <v>ADST0</v>
      </c>
      <c r="Q3" s="69" t="str">
        <f ca="1">IF('＠MFP (LSI name)'!Q3="","",IF(COUNTIF('＠MFP (LSI name)'!Q3,"Serial*")+COUNTIF('＠MFP (LSI name)'!Q3,"Analog*")&gt;0,'＠MFP (LSI name)'!Q3,OFFSET('＠グループ、表示名'!$H$4,MATCH('＠MFP (LSI name)'!Q3,'＠グループ、表示名'!$D$4:$D$250,0)-1,0)))</f>
        <v/>
      </c>
      <c r="R3" s="69" t="str">
        <f ca="1">IF('＠MFP (LSI name)'!R3="","",IF(COUNTIF('＠MFP (LSI name)'!R3,"Serial*")+COUNTIF('＠MFP (LSI name)'!R3,"Analog*")&gt;0,'＠MFP (LSI name)'!R3,OFFSET('＠グループ、表示名'!$H$4,MATCH('＠MFP (LSI name)'!R3,'＠グループ、表示名'!$D$4:$D$250,0)-1,0)))</f>
        <v/>
      </c>
      <c r="S3" s="69" t="str">
        <f ca="1">IF('＠MFP (LSI name)'!S3="","",IF(COUNTIF('＠MFP (LSI name)'!S3,"Serial*")+COUNTIF('＠MFP (LSI name)'!S3,"Analog*")&gt;0,'＠MFP (LSI name)'!S3,OFFSET('＠グループ、表示名'!$H$4,MATCH('＠MFP (LSI name)'!S3,'＠グループ、表示名'!$D$4:$D$250,0)-1,0)))</f>
        <v/>
      </c>
      <c r="T3" s="69" t="str">
        <f ca="1">IF('＠MFP (LSI name)'!T3="","",IF(COUNTIF('＠MFP (LSI name)'!T3,"Serial*")+COUNTIF('＠MFP (LSI name)'!T3,"Analog*")&gt;0,'＠MFP (LSI name)'!T3,OFFSET('＠グループ、表示名'!$H$4,MATCH('＠MFP (LSI name)'!T3,'＠グループ、表示名'!$D$4:$D$250,0)-1,0)))</f>
        <v/>
      </c>
      <c r="U3" s="69" t="str">
        <f ca="1">IF('＠MFP (LSI name)'!U3="","",IF(COUNTIF('＠MFP (LSI name)'!U3,"Serial*")+COUNTIF('＠MFP (LSI name)'!U3,"Analog*")&gt;0,'＠MFP (LSI name)'!U3,OFFSET('＠グループ、表示名'!$H$4,MATCH('＠MFP (LSI name)'!U3,'＠グループ、表示名'!$D$4:$D$250,0)-1,0)))</f>
        <v/>
      </c>
      <c r="V3" s="18" t="str">
        <f ca="1">IF('＠MFP (LSI name)'!V3="","",IF(COUNTIF('＠MFP (LSI name)'!V3,"Serial*")+COUNTIF('＠MFP (LSI name)'!V3,"Analog*")&gt;0,'＠MFP (LSI name)'!V3,OFFSET('＠グループ、表示名'!$H$4,MATCH('＠MFP (LSI name)'!V3,'＠グループ、表示名'!$D$4:$D$250,0)-1,0)))</f>
        <v/>
      </c>
      <c r="W3" s="18" t="str">
        <f ca="1">IF('＠MFP (LSI name)'!W3="","",IF(COUNTIF('＠MFP (LSI name)'!W3,"Serial*")+COUNTIF('＠MFP (LSI name)'!W3,"Analog*")&gt;0,'＠MFP (LSI name)'!W3,OFFSET('＠グループ、表示名'!$H$4,MATCH('＠MFP (LSI name)'!W3,'＠グループ、表示名'!$D$4:$D$250,0)-1,0)))</f>
        <v/>
      </c>
      <c r="X3" s="18" t="str">
        <f ca="1">IF('＠MFP (LSI name)'!X3="","",IF(COUNTIF('＠MFP (LSI name)'!X3,"Serial*")+COUNTIF('＠MFP (LSI name)'!X3,"Analog*")&gt;0,'＠MFP (LSI name)'!X3,OFFSET('＠グループ、表示名'!$H$4,MATCH('＠MFP (LSI name)'!X3,'＠グループ、表示名'!$D$4:$D$250,0)-1,0)))</f>
        <v/>
      </c>
      <c r="Y3" s="18" t="str">
        <f ca="1">IF('＠MFP (LSI name)'!Y3="","",IF(COUNTIF('＠MFP (LSI name)'!Y3,"Serial*")+COUNTIF('＠MFP (LSI name)'!Y3,"Analog*")&gt;0,'＠MFP (LSI name)'!Y3,OFFSET('＠グループ、表示名'!$H$4,MATCH('＠MFP (LSI name)'!Y3,'＠グループ、表示名'!$D$4:$D$250,0)-1,0)))</f>
        <v/>
      </c>
      <c r="Z3" s="18" t="str">
        <f ca="1">IF('＠MFP (LSI name)'!Z3="","",IF(COUNTIF('＠MFP (LSI name)'!Z3,"Serial*")+COUNTIF('＠MFP (LSI name)'!Z3,"Analog*")&gt;0,'＠MFP (LSI name)'!Z3,OFFSET('＠グループ、表示名'!$H$4,MATCH('＠MFP (LSI name)'!Z3,'＠グループ、表示名'!$D$4:$D$250,0)-1,0)))</f>
        <v/>
      </c>
      <c r="AA3" s="69" t="str">
        <f ca="1">IF('＠MFP (LSI name)'!AA3="","",IF(COUNTIF('＠MFP (LSI name)'!AA3,"Serial*")+COUNTIF('＠MFP (LSI name)'!AA3,"Analog*")&gt;0,'＠MFP (LSI name)'!AA3,OFFSET('＠グループ、表示名'!$H$4,MATCH('＠MFP (LSI name)'!AA3,'＠グループ、表示名'!$D$4:$D$250,0)-1,0)))</f>
        <v/>
      </c>
      <c r="AB3" s="18" t="str">
        <f ca="1">IF('＠MFP (LSI name)'!AB3="","",IF(COUNTIF('＠MFP (LSI name)'!AB3,"Serial*")+COUNTIF('＠MFP (LSI name)'!AB3,"Analog*")&gt;0,'＠MFP (LSI name)'!AB3,OFFSET('＠グループ、表示名'!$H$4,MATCH('＠MFP (LSI name)'!AB3,'＠グループ、表示名'!$D$4:$D$250,0)-1,0)))</f>
        <v/>
      </c>
      <c r="AC3" s="18" t="str">
        <f ca="1">IF('＠MFP (LSI name)'!AC3="","",IF(COUNTIF('＠MFP (LSI name)'!AC3,"Serial*")+COUNTIF('＠MFP (LSI name)'!AC3,"Analog*")&gt;0,'＠MFP (LSI name)'!AC3,OFFSET('＠グループ、表示名'!$H$4,MATCH('＠MFP (LSI name)'!AC3,'＠グループ、表示名'!$D$4:$D$250,0)-1,0)))</f>
        <v/>
      </c>
      <c r="AD3" s="18" t="str">
        <f ca="1">IF('＠MFP (LSI name)'!AD3="","",IF(COUNTIF('＠MFP (LSI name)'!AD3,"Serial*")+COUNTIF('＠MFP (LSI name)'!AD3,"Analog*")&gt;0,'＠MFP (LSI name)'!AD3,OFFSET('＠グループ、表示名'!$H$4,MATCH('＠MFP (LSI name)'!AD3,'＠グループ、表示名'!$D$4:$D$250,0)-1,0)))</f>
        <v/>
      </c>
      <c r="AE3" s="18" t="str">
        <f ca="1">IF('＠MFP (LSI name)'!AE3="","",IF(COUNTIF('＠MFP (LSI name)'!AE3,"Serial*")+COUNTIF('＠MFP (LSI name)'!AE3,"Analog*")&gt;0,'＠MFP (LSI name)'!AE3,OFFSET('＠グループ、表示名'!$H$4,MATCH('＠MFP (LSI name)'!AE3,'＠グループ、表示名'!$D$4:$D$250,0)-1,0)))</f>
        <v/>
      </c>
      <c r="AF3" s="69" t="str">
        <f ca="1">IF('＠MFP (LSI name)'!AF3="","",IF(COUNTIF('＠MFP (LSI name)'!AF3,"Serial*")+COUNTIF('＠MFP (LSI name)'!AF3,"Analog*")&gt;0,'＠MFP (LSI name)'!AF3,OFFSET('＠グループ、表示名'!$H$4,MATCH('＠MFP (LSI name)'!AF3,'＠グループ、表示名'!$D$4:$D$250,0)-1,0)))</f>
        <v/>
      </c>
      <c r="AG3" s="18" t="str">
        <f ca="1">IF('＠MFP (LSI name)'!AG3="","",IF(COUNTIF('＠MFP (LSI name)'!AG3,"Serial*")+COUNTIF('＠MFP (LSI name)'!AG3,"Analog*")&gt;0,'＠MFP (LSI name)'!AG3,OFFSET('＠グループ、表示名'!$H$4,MATCH('＠MFP (LSI name)'!AG3,'＠グループ、表示名'!$D$4:$D$250,0)-1,0)))</f>
        <v/>
      </c>
      <c r="AH3" s="18" t="str">
        <f ca="1">IF('＠MFP (LSI name)'!AH3="","",IF(COUNTIF('＠MFP (LSI name)'!AH3,"Serial*")+COUNTIF('＠MFP (LSI name)'!AH3,"Analog*")&gt;0,'＠MFP (LSI name)'!AH3,OFFSET('＠グループ、表示名'!$H$4,MATCH('＠MFP (LSI name)'!AH3,'＠グループ、表示名'!$D$4:$D$250,0)-1,0)))</f>
        <v/>
      </c>
      <c r="AI3" s="18" t="str">
        <f ca="1">IF('＠MFP (LSI name)'!AI3="","",IF(COUNTIF('＠MFP (LSI name)'!AI3,"Serial*")+COUNTIF('＠MFP (LSI name)'!AI3,"Analog*")&gt;0,'＠MFP (LSI name)'!AI3,OFFSET('＠グループ、表示名'!$H$4,MATCH('＠MFP (LSI name)'!AI3,'＠グループ、表示名'!$D$4:$D$250,0)-1,0)))</f>
        <v/>
      </c>
      <c r="AJ3" s="18" t="str">
        <f ca="1">IF('＠MFP (LSI name)'!AJ3="","",IF(COUNTIF('＠MFP (LSI name)'!AJ3,"Serial*")+COUNTIF('＠MFP (LSI name)'!AJ3,"Analog*")&gt;0,'＠MFP (LSI name)'!AJ3,OFFSET('＠グループ、表示名'!$H$4,MATCH('＠MFP (LSI name)'!AJ3,'＠グループ、表示名'!$D$4:$D$250,0)-1,0)))</f>
        <v/>
      </c>
      <c r="AK3" s="69" t="str">
        <f ca="1">IF('＠MFP (LSI name)'!AK3="","",IF(COUNTIF('＠MFP (LSI name)'!AK3,"Serial*")+COUNTIF('＠MFP (LSI name)'!AK3,"Analog*")&gt;0,'＠MFP (LSI name)'!AK3,OFFSET('＠グループ、表示名'!$H$4,MATCH('＠MFP (LSI name)'!AK3,'＠グループ、表示名'!$D$4:$D$250,0)-1,0)))</f>
        <v/>
      </c>
      <c r="AL3" s="9" t="str">
        <f t="shared" ref="AL3:AL11" si="0">IF(COUNTIF(J3,"P*")&gt;0,"IO"&amp;LEFT(J3,2)&amp;"MD["&amp;RIGHT(J3,1)*4+3&amp;"]","")</f>
        <v>IOP0MD[11]</v>
      </c>
      <c r="AM3" s="9" t="str">
        <f t="shared" ref="AM3:AM11" si="1">IF(COUNTIF(J3,"P*")&gt;0,"IO"&amp;LEFT(J3,2)&amp;"MD["&amp;RIGHT(J3,1)*4+2&amp;"]","")</f>
        <v>IOP0MD[10]</v>
      </c>
      <c r="AN3" s="9" t="str">
        <f t="shared" ref="AN3:AN11" si="2">IF(COUNTIF(J3,"P*")&gt;0,"IO"&amp;LEFT(J3,2)&amp;"MD["&amp;RIGHT(J3,1)*4+1&amp;"]","")</f>
        <v>IOP0MD[9]</v>
      </c>
      <c r="AO3" s="9" t="str">
        <f t="shared" ref="AO3:AO11" si="3">IF(COUNTIF(J3,"P*")&gt;0,"IO"&amp;LEFT(J3,2)&amp;"MD["&amp;RIGHT(J3,1)*4&amp;"]","")</f>
        <v>IOP0MD[8]</v>
      </c>
      <c r="AP3" s="86"/>
    </row>
    <row r="4" spans="1:42" ht="16.149999999999999">
      <c r="A4" s="60">
        <v>3</v>
      </c>
      <c r="B4" s="7">
        <v>3</v>
      </c>
      <c r="C4" s="7">
        <v>2</v>
      </c>
      <c r="D4" s="87"/>
      <c r="E4" s="87"/>
      <c r="F4" s="7">
        <v>3</v>
      </c>
      <c r="G4" s="7">
        <v>2</v>
      </c>
      <c r="H4" s="87"/>
      <c r="I4" s="45" t="s">
        <v>320</v>
      </c>
      <c r="J4" s="45" t="s">
        <v>321</v>
      </c>
      <c r="K4" s="69" t="str">
        <f ca="1">IF('＠MFP (LSI name)'!K4="","",IF(COUNTIF('＠MFP (LSI name)'!K4,"Serial*")+COUNTIF('＠MFP (LSI name)'!K4,"Analog*")&gt;0,'＠MFP (LSI name)'!K4,OFFSET('＠グループ、表示名'!$H$4,MATCH('＠MFP (LSI name)'!K4,'＠グループ、表示名'!$D$4:$D$250,0)-1,0)))</f>
        <v>TM15A</v>
      </c>
      <c r="L4" s="69" t="str">
        <f ca="1">IF('＠MFP (LSI name)'!L4="","",IF(COUNTIF('＠MFP (LSI name)'!L4,"Serial*")+COUNTIF('＠MFP (LSI name)'!L4,"Analog*")&gt;0,'＠MFP (LSI name)'!L4,OFFSET('＠グループ、表示名'!$H$4,MATCH('＠MFP (LSI name)'!L4,'＠グループ、表示名'!$D$4:$D$250,0)-1,0)))</f>
        <v/>
      </c>
      <c r="M4" s="69" t="str">
        <f ca="1">IF('＠MFP (LSI name)'!M4="","",IF(COUNTIF('＠MFP (LSI name)'!M4,"Serial*")+COUNTIF('＠MFP (LSI name)'!M4,"Analog*")&gt;0,'＠MFP (LSI name)'!M4,OFFSET('＠グループ、表示名'!$H$4,MATCH('＠MFP (LSI name)'!M4,'＠グループ、表示名'!$D$4:$D$250,0)-1,0)))</f>
        <v/>
      </c>
      <c r="N4" s="69" t="str">
        <f ca="1">IF('＠MFP (LSI name)'!N4="","",IF(COUNTIF('＠MFP (LSI name)'!N4,"Serial*")+COUNTIF('＠MFP (LSI name)'!N4,"Analog*")&gt;0,'＠MFP (LSI name)'!N4,OFFSET('＠グループ、表示名'!$H$4,MATCH('＠MFP (LSI name)'!N4,'＠グループ、表示名'!$D$4:$D$250,0)-1,0)))</f>
        <v/>
      </c>
      <c r="O4" s="69" t="str">
        <f ca="1">IF('＠MFP (LSI name)'!O4="","",IF(COUNTIF('＠MFP (LSI name)'!O4,"Serial*")+COUNTIF('＠MFP (LSI name)'!O4,"Analog*")&gt;0,'＠MFP (LSI name)'!O4,OFFSET('＠グループ、表示名'!$H$4,MATCH('＠MFP (LSI name)'!O4,'＠グループ、表示名'!$D$4:$D$250,0)-1,0)))</f>
        <v/>
      </c>
      <c r="P4" s="69" t="str">
        <f ca="1">IF('＠MFP (LSI name)'!P4="","",IF(COUNTIF('＠MFP (LSI name)'!P4,"Serial*")+COUNTIF('＠MFP (LSI name)'!P4,"Analog*")&gt;0,'＠MFP (LSI name)'!P4,OFFSET('＠グループ、表示名'!$H$4,MATCH('＠MFP (LSI name)'!P4,'＠グループ、表示名'!$D$4:$D$250,0)-1,0)))</f>
        <v/>
      </c>
      <c r="Q4" s="69" t="str">
        <f ca="1">IF('＠MFP (LSI name)'!Q4="","",IF(COUNTIF('＠MFP (LSI name)'!Q4,"Serial*")+COUNTIF('＠MFP (LSI name)'!Q4,"Analog*")&gt;0,'＠MFP (LSI name)'!Q4,OFFSET('＠グループ、表示名'!$H$4,MATCH('＠MFP (LSI name)'!Q4,'＠グループ、表示名'!$D$4:$D$250,0)-1,0)))</f>
        <v/>
      </c>
      <c r="R4" s="69" t="str">
        <f ca="1">IF('＠MFP (LSI name)'!R4="","",IF(COUNTIF('＠MFP (LSI name)'!R4,"Serial*")+COUNTIF('＠MFP (LSI name)'!R4,"Analog*")&gt;0,'＠MFP (LSI name)'!R4,OFFSET('＠グループ、表示名'!$H$4,MATCH('＠MFP (LSI name)'!R4,'＠グループ、表示名'!$D$4:$D$250,0)-1,0)))</f>
        <v/>
      </c>
      <c r="S4" s="69" t="str">
        <f ca="1">IF('＠MFP (LSI name)'!S4="","",IF(COUNTIF('＠MFP (LSI name)'!S4,"Serial*")+COUNTIF('＠MFP (LSI name)'!S4,"Analog*")&gt;0,'＠MFP (LSI name)'!S4,OFFSET('＠グループ、表示名'!$H$4,MATCH('＠MFP (LSI name)'!S4,'＠グループ、表示名'!$D$4:$D$250,0)-1,0)))</f>
        <v/>
      </c>
      <c r="T4" s="69" t="str">
        <f ca="1">IF('＠MFP (LSI name)'!T4="","",IF(COUNTIF('＠MFP (LSI name)'!T4,"Serial*")+COUNTIF('＠MFP (LSI name)'!T4,"Analog*")&gt;0,'＠MFP (LSI name)'!T4,OFFSET('＠グループ、表示名'!$H$4,MATCH('＠MFP (LSI name)'!T4,'＠グループ、表示名'!$D$4:$D$250,0)-1,0)))</f>
        <v/>
      </c>
      <c r="U4" s="69" t="str">
        <f ca="1">IF('＠MFP (LSI name)'!U4="","",IF(COUNTIF('＠MFP (LSI name)'!U4,"Serial*")+COUNTIF('＠MFP (LSI name)'!U4,"Analog*")&gt;0,'＠MFP (LSI name)'!U4,OFFSET('＠グループ、表示名'!$H$4,MATCH('＠MFP (LSI name)'!U4,'＠グループ、表示名'!$D$4:$D$250,0)-1,0)))</f>
        <v/>
      </c>
      <c r="V4" s="18" t="str">
        <f ca="1">IF('＠MFP (LSI name)'!V4="","",IF(COUNTIF('＠MFP (LSI name)'!V4,"Serial*")+COUNTIF('＠MFP (LSI name)'!V4,"Analog*")&gt;0,'＠MFP (LSI name)'!V4,OFFSET('＠グループ、表示名'!$H$4,MATCH('＠MFP (LSI name)'!V4,'＠グループ、表示名'!$D$4:$D$250,0)-1,0)))</f>
        <v/>
      </c>
      <c r="W4" s="18" t="str">
        <f ca="1">IF('＠MFP (LSI name)'!W4="","",IF(COUNTIF('＠MFP (LSI name)'!W4,"Serial*")+COUNTIF('＠MFP (LSI name)'!W4,"Analog*")&gt;0,'＠MFP (LSI name)'!W4,OFFSET('＠グループ、表示名'!$H$4,MATCH('＠MFP (LSI name)'!W4,'＠グループ、表示名'!$D$4:$D$250,0)-1,0)))</f>
        <v/>
      </c>
      <c r="X4" s="18" t="str">
        <f ca="1">IF('＠MFP (LSI name)'!X4="","",IF(COUNTIF('＠MFP (LSI name)'!X4,"Serial*")+COUNTIF('＠MFP (LSI name)'!X4,"Analog*")&gt;0,'＠MFP (LSI name)'!X4,OFFSET('＠グループ、表示名'!$H$4,MATCH('＠MFP (LSI name)'!X4,'＠グループ、表示名'!$D$4:$D$250,0)-1,0)))</f>
        <v/>
      </c>
      <c r="Y4" s="18" t="str">
        <f ca="1">IF('＠MFP (LSI name)'!Y4="","",IF(COUNTIF('＠MFP (LSI name)'!Y4,"Serial*")+COUNTIF('＠MFP (LSI name)'!Y4,"Analog*")&gt;0,'＠MFP (LSI name)'!Y4,OFFSET('＠グループ、表示名'!$H$4,MATCH('＠MFP (LSI name)'!Y4,'＠グループ、表示名'!$D$4:$D$250,0)-1,0)))</f>
        <v/>
      </c>
      <c r="Z4" s="18" t="str">
        <f ca="1">IF('＠MFP (LSI name)'!Z4="","",IF(COUNTIF('＠MFP (LSI name)'!Z4,"Serial*")+COUNTIF('＠MFP (LSI name)'!Z4,"Analog*")&gt;0,'＠MFP (LSI name)'!Z4,OFFSET('＠グループ、表示名'!$H$4,MATCH('＠MFP (LSI name)'!Z4,'＠グループ、表示名'!$D$4:$D$250,0)-1,0)))</f>
        <v/>
      </c>
      <c r="AA4" s="69" t="str">
        <f ca="1">IF('＠MFP (LSI name)'!AA4="","",IF(COUNTIF('＠MFP (LSI name)'!AA4,"Serial*")+COUNTIF('＠MFP (LSI name)'!AA4,"Analog*")&gt;0,'＠MFP (LSI name)'!AA4,OFFSET('＠グループ、表示名'!$H$4,MATCH('＠MFP (LSI name)'!AA4,'＠グループ、表示名'!$D$4:$D$250,0)-1,0)))</f>
        <v/>
      </c>
      <c r="AB4" s="18" t="str">
        <f ca="1">IF('＠MFP (LSI name)'!AB4="","",IF(COUNTIF('＠MFP (LSI name)'!AB4,"Serial*")+COUNTIF('＠MFP (LSI name)'!AB4,"Analog*")&gt;0,'＠MFP (LSI name)'!AB4,OFFSET('＠グループ、表示名'!$H$4,MATCH('＠MFP (LSI name)'!AB4,'＠グループ、表示名'!$D$4:$D$250,0)-1,0)))</f>
        <v/>
      </c>
      <c r="AC4" s="18" t="str">
        <f ca="1">IF('＠MFP (LSI name)'!AC4="","",IF(COUNTIF('＠MFP (LSI name)'!AC4,"Serial*")+COUNTIF('＠MFP (LSI name)'!AC4,"Analog*")&gt;0,'＠MFP (LSI name)'!AC4,OFFSET('＠グループ、表示名'!$H$4,MATCH('＠MFP (LSI name)'!AC4,'＠グループ、表示名'!$D$4:$D$250,0)-1,0)))</f>
        <v/>
      </c>
      <c r="AD4" s="18" t="str">
        <f ca="1">IF('＠MFP (LSI name)'!AD4="","",IF(COUNTIF('＠MFP (LSI name)'!AD4,"Serial*")+COUNTIF('＠MFP (LSI name)'!AD4,"Analog*")&gt;0,'＠MFP (LSI name)'!AD4,OFFSET('＠グループ、表示名'!$H$4,MATCH('＠MFP (LSI name)'!AD4,'＠グループ、表示名'!$D$4:$D$250,0)-1,0)))</f>
        <v/>
      </c>
      <c r="AE4" s="18" t="str">
        <f ca="1">IF('＠MFP (LSI name)'!AE4="","",IF(COUNTIF('＠MFP (LSI name)'!AE4,"Serial*")+COUNTIF('＠MFP (LSI name)'!AE4,"Analog*")&gt;0,'＠MFP (LSI name)'!AE4,OFFSET('＠グループ、表示名'!$H$4,MATCH('＠MFP (LSI name)'!AE4,'＠グループ、表示名'!$D$4:$D$250,0)-1,0)))</f>
        <v/>
      </c>
      <c r="AF4" s="69" t="str">
        <f ca="1">IF('＠MFP (LSI name)'!AF4="","",IF(COUNTIF('＠MFP (LSI name)'!AF4,"Serial*")+COUNTIF('＠MFP (LSI name)'!AF4,"Analog*")&gt;0,'＠MFP (LSI name)'!AF4,OFFSET('＠グループ、表示名'!$H$4,MATCH('＠MFP (LSI name)'!AF4,'＠グループ、表示名'!$D$4:$D$250,0)-1,0)))</f>
        <v/>
      </c>
      <c r="AG4" s="18" t="str">
        <f ca="1">IF('＠MFP (LSI name)'!AG4="","",IF(COUNTIF('＠MFP (LSI name)'!AG4,"Serial*")+COUNTIF('＠MFP (LSI name)'!AG4,"Analog*")&gt;0,'＠MFP (LSI name)'!AG4,OFFSET('＠グループ、表示名'!$H$4,MATCH('＠MFP (LSI name)'!AG4,'＠グループ、表示名'!$D$4:$D$250,0)-1,0)))</f>
        <v/>
      </c>
      <c r="AH4" s="18" t="str">
        <f ca="1">IF('＠MFP (LSI name)'!AH4="","",IF(COUNTIF('＠MFP (LSI name)'!AH4,"Serial*")+COUNTIF('＠MFP (LSI name)'!AH4,"Analog*")&gt;0,'＠MFP (LSI name)'!AH4,OFFSET('＠グループ、表示名'!$H$4,MATCH('＠MFP (LSI name)'!AH4,'＠グループ、表示名'!$D$4:$D$250,0)-1,0)))</f>
        <v/>
      </c>
      <c r="AI4" s="18" t="str">
        <f ca="1">IF('＠MFP (LSI name)'!AI4="","",IF(COUNTIF('＠MFP (LSI name)'!AI4,"Serial*")+COUNTIF('＠MFP (LSI name)'!AI4,"Analog*")&gt;0,'＠MFP (LSI name)'!AI4,OFFSET('＠グループ、表示名'!$H$4,MATCH('＠MFP (LSI name)'!AI4,'＠グループ、表示名'!$D$4:$D$250,0)-1,0)))</f>
        <v/>
      </c>
      <c r="AJ4" s="18" t="str">
        <f ca="1">IF('＠MFP (LSI name)'!AJ4="","",IF(COUNTIF('＠MFP (LSI name)'!AJ4,"Serial*")+COUNTIF('＠MFP (LSI name)'!AJ4,"Analog*")&gt;0,'＠MFP (LSI name)'!AJ4,OFFSET('＠グループ、表示名'!$H$4,MATCH('＠MFP (LSI name)'!AJ4,'＠グループ、表示名'!$D$4:$D$250,0)-1,0)))</f>
        <v/>
      </c>
      <c r="AK4" s="69" t="str">
        <f ca="1">IF('＠MFP (LSI name)'!AK4="","",IF(COUNTIF('＠MFP (LSI name)'!AK4,"Serial*")+COUNTIF('＠MFP (LSI name)'!AK4,"Analog*")&gt;0,'＠MFP (LSI name)'!AK4,OFFSET('＠グループ、表示名'!$H$4,MATCH('＠MFP (LSI name)'!AK4,'＠グループ、表示名'!$D$4:$D$250,0)-1,0)))</f>
        <v/>
      </c>
      <c r="AL4" s="9" t="str">
        <f t="shared" si="0"/>
        <v>IOPFMD[3]</v>
      </c>
      <c r="AM4" s="9" t="str">
        <f t="shared" si="1"/>
        <v>IOPFMD[2]</v>
      </c>
      <c r="AN4" s="9" t="str">
        <f t="shared" si="2"/>
        <v>IOPFMD[1]</v>
      </c>
      <c r="AO4" s="9" t="str">
        <f t="shared" si="3"/>
        <v>IOPFMD[0]</v>
      </c>
      <c r="AP4" s="86"/>
    </row>
    <row r="5" spans="1:42" ht="16.149999999999999">
      <c r="A5" s="60">
        <v>4</v>
      </c>
      <c r="B5" s="7">
        <v>4</v>
      </c>
      <c r="C5" s="7">
        <v>3</v>
      </c>
      <c r="D5" s="87">
        <v>2</v>
      </c>
      <c r="E5" s="87"/>
      <c r="F5" s="7">
        <v>4</v>
      </c>
      <c r="G5" s="7">
        <v>3</v>
      </c>
      <c r="H5" s="87">
        <v>2</v>
      </c>
      <c r="I5" s="45" t="s">
        <v>483</v>
      </c>
      <c r="J5" s="45" t="s">
        <v>484</v>
      </c>
      <c r="K5" s="69" t="str">
        <f ca="1">IF('＠MFP (LSI name)'!K5="","",IF(COUNTIF('＠MFP (LSI name)'!K5,"Serial*")+COUNTIF('＠MFP (LSI name)'!K5,"Analog*")&gt;0,'＠MFP (LSI name)'!K5,OFFSET('＠グループ、表示名'!$H$4,MATCH('＠MFP (LSI name)'!K5,'＠グループ、表示名'!$D$4:$D$250,0)-1,0)))</f>
        <v>IRQ02</v>
      </c>
      <c r="L5" s="18" t="str">
        <f ca="1">IF('＠MFP (LSI name)'!L5="","",IF(COUNTIF('＠MFP (LSI name)'!L5,"Serial*")+COUNTIF('＠MFP (LSI name)'!L5,"Analog*")&gt;0,'＠MFP (LSI name)'!L5,OFFSET('＠グループ、表示名'!$H$4,MATCH('＠MFP (LSI name)'!L5,'＠グループ、表示名'!$D$4:$D$250,0)-1,0)))</f>
        <v>SIF4_SBI4</v>
      </c>
      <c r="M5" s="18" t="str">
        <f ca="1">IF('＠MFP (LSI name)'!M5="","",IF(COUNTIF('＠MFP (LSI name)'!M5,"Serial*")+COUNTIF('＠MFP (LSI name)'!M5,"Analog*")&gt;0,'＠MFP (LSI name)'!M5,OFFSET('＠グループ、表示名'!$H$4,MATCH('＠MFP (LSI name)'!M5,'＠グループ、表示名'!$D$4:$D$250,0)-1,0)))</f>
        <v>SIF4_SBO4</v>
      </c>
      <c r="N5" s="69" t="str">
        <f ca="1">IF('＠MFP (LSI name)'!N5="","",IF(COUNTIF('＠MFP (LSI name)'!N5,"Serial*")+COUNTIF('＠MFP (LSI name)'!N5,"Analog*")&gt;0,'＠MFP (LSI name)'!N5,OFFSET('＠グループ、表示名'!$H$4,MATCH('＠MFP (LSI name)'!N5,'＠グループ、表示名'!$D$4:$D$250,0)-1,0)))</f>
        <v>ADST1</v>
      </c>
      <c r="O5" s="69" t="str">
        <f ca="1">IF('＠MFP (LSI name)'!O5="","",IF(COUNTIF('＠MFP (LSI name)'!O5,"Serial*")+COUNTIF('＠MFP (LSI name)'!O5,"Analog*")&gt;0,'＠MFP (LSI name)'!O5,OFFSET('＠グループ、表示名'!$H$4,MATCH('＠MFP (LSI name)'!O5,'＠グループ、表示名'!$D$4:$D$250,0)-1,0)))</f>
        <v/>
      </c>
      <c r="P5" s="69" t="str">
        <f ca="1">IF('＠MFP (LSI name)'!P5="","",IF(COUNTIF('＠MFP (LSI name)'!P5,"Serial*")+COUNTIF('＠MFP (LSI name)'!P5,"Analog*")&gt;0,'＠MFP (LSI name)'!P5,OFFSET('＠グループ、表示名'!$H$4,MATCH('＠MFP (LSI name)'!P5,'＠グループ、表示名'!$D$4:$D$250,0)-1,0)))</f>
        <v/>
      </c>
      <c r="Q5" s="69" t="str">
        <f ca="1">IF('＠MFP (LSI name)'!Q5="","",IF(COUNTIF('＠MFP (LSI name)'!Q5,"Serial*")+COUNTIF('＠MFP (LSI name)'!Q5,"Analog*")&gt;0,'＠MFP (LSI name)'!Q5,OFFSET('＠グループ、表示名'!$H$4,MATCH('＠MFP (LSI name)'!Q5,'＠グループ、表示名'!$D$4:$D$250,0)-1,0)))</f>
        <v/>
      </c>
      <c r="R5" s="69" t="str">
        <f ca="1">IF('＠MFP (LSI name)'!R5="","",IF(COUNTIF('＠MFP (LSI name)'!R5,"Serial*")+COUNTIF('＠MFP (LSI name)'!R5,"Analog*")&gt;0,'＠MFP (LSI name)'!R5,OFFSET('＠グループ、表示名'!$H$4,MATCH('＠MFP (LSI name)'!R5,'＠グループ、表示名'!$D$4:$D$250,0)-1,0)))</f>
        <v/>
      </c>
      <c r="S5" s="69" t="str">
        <f ca="1">IF('＠MFP (LSI name)'!S5="","",IF(COUNTIF('＠MFP (LSI name)'!S5,"Serial*")+COUNTIF('＠MFP (LSI name)'!S5,"Analog*")&gt;0,'＠MFP (LSI name)'!S5,OFFSET('＠グループ、表示名'!$H$4,MATCH('＠MFP (LSI name)'!S5,'＠グループ、表示名'!$D$4:$D$250,0)-1,0)))</f>
        <v/>
      </c>
      <c r="T5" s="69" t="str">
        <f ca="1">IF('＠MFP (LSI name)'!T5="","",IF(COUNTIF('＠MFP (LSI name)'!T5,"Serial*")+COUNTIF('＠MFP (LSI name)'!T5,"Analog*")&gt;0,'＠MFP (LSI name)'!T5,OFFSET('＠グループ、表示名'!$H$4,MATCH('＠MFP (LSI name)'!T5,'＠グループ、表示名'!$D$4:$D$250,0)-1,0)))</f>
        <v/>
      </c>
      <c r="U5" s="69" t="str">
        <f ca="1">IF('＠MFP (LSI name)'!U5="","",IF(COUNTIF('＠MFP (LSI name)'!U5,"Serial*")+COUNTIF('＠MFP (LSI name)'!U5,"Analog*")&gt;0,'＠MFP (LSI name)'!U5,OFFSET('＠グループ、表示名'!$H$4,MATCH('＠MFP (LSI name)'!U5,'＠グループ、表示名'!$D$4:$D$250,0)-1,0)))</f>
        <v/>
      </c>
      <c r="V5" s="18" t="str">
        <f ca="1">IF('＠MFP (LSI name)'!V5="","",IF(COUNTIF('＠MFP (LSI name)'!V5,"Serial*")+COUNTIF('＠MFP (LSI name)'!V5,"Analog*")&gt;0,'＠MFP (LSI name)'!V5,OFFSET('＠グループ、表示名'!$H$4,MATCH('＠MFP (LSI name)'!V5,'＠グループ、表示名'!$D$4:$D$250,0)-1,0)))</f>
        <v/>
      </c>
      <c r="W5" s="18" t="str">
        <f ca="1">IF('＠MFP (LSI name)'!W5="","",IF(COUNTIF('＠MFP (LSI name)'!W5,"Serial*")+COUNTIF('＠MFP (LSI name)'!W5,"Analog*")&gt;0,'＠MFP (LSI name)'!W5,OFFSET('＠グループ、表示名'!$H$4,MATCH('＠MFP (LSI name)'!W5,'＠グループ、表示名'!$D$4:$D$250,0)-1,0)))</f>
        <v/>
      </c>
      <c r="X5" s="18" t="str">
        <f ca="1">IF('＠MFP (LSI name)'!X5="","",IF(COUNTIF('＠MFP (LSI name)'!X5,"Serial*")+COUNTIF('＠MFP (LSI name)'!X5,"Analog*")&gt;0,'＠MFP (LSI name)'!X5,OFFSET('＠グループ、表示名'!$H$4,MATCH('＠MFP (LSI name)'!X5,'＠グループ、表示名'!$D$4:$D$250,0)-1,0)))</f>
        <v/>
      </c>
      <c r="Y5" s="18" t="str">
        <f ca="1">IF('＠MFP (LSI name)'!Y5="","",IF(COUNTIF('＠MFP (LSI name)'!Y5,"Serial*")+COUNTIF('＠MFP (LSI name)'!Y5,"Analog*")&gt;0,'＠MFP (LSI name)'!Y5,OFFSET('＠グループ、表示名'!$H$4,MATCH('＠MFP (LSI name)'!Y5,'＠グループ、表示名'!$D$4:$D$250,0)-1,0)))</f>
        <v/>
      </c>
      <c r="Z5" s="18" t="str">
        <f ca="1">IF('＠MFP (LSI name)'!Z5="","",IF(COUNTIF('＠MFP (LSI name)'!Z5,"Serial*")+COUNTIF('＠MFP (LSI name)'!Z5,"Analog*")&gt;0,'＠MFP (LSI name)'!Z5,OFFSET('＠グループ、表示名'!$H$4,MATCH('＠MFP (LSI name)'!Z5,'＠グループ、表示名'!$D$4:$D$250,0)-1,0)))</f>
        <v/>
      </c>
      <c r="AA5" s="69" t="str">
        <f ca="1">IF('＠MFP (LSI name)'!AA5="","",IF(COUNTIF('＠MFP (LSI name)'!AA5,"Serial*")+COUNTIF('＠MFP (LSI name)'!AA5,"Analog*")&gt;0,'＠MFP (LSI name)'!AA5,OFFSET('＠グループ、表示名'!$H$4,MATCH('＠MFP (LSI name)'!AA5,'＠グループ、表示名'!$D$4:$D$250,0)-1,0)))</f>
        <v/>
      </c>
      <c r="AB5" s="18" t="str">
        <f ca="1">IF('＠MFP (LSI name)'!AB5="","",IF(COUNTIF('＠MFP (LSI name)'!AB5,"Serial*")+COUNTIF('＠MFP (LSI name)'!AB5,"Analog*")&gt;0,'＠MFP (LSI name)'!AB5,OFFSET('＠グループ、表示名'!$H$4,MATCH('＠MFP (LSI name)'!AB5,'＠グループ、表示名'!$D$4:$D$250,0)-1,0)))</f>
        <v/>
      </c>
      <c r="AC5" s="18" t="str">
        <f ca="1">IF('＠MFP (LSI name)'!AC5="","",IF(COUNTIF('＠MFP (LSI name)'!AC5,"Serial*")+COUNTIF('＠MFP (LSI name)'!AC5,"Analog*")&gt;0,'＠MFP (LSI name)'!AC5,OFFSET('＠グループ、表示名'!$H$4,MATCH('＠MFP (LSI name)'!AC5,'＠グループ、表示名'!$D$4:$D$250,0)-1,0)))</f>
        <v/>
      </c>
      <c r="AD5" s="18" t="str">
        <f ca="1">IF('＠MFP (LSI name)'!AD5="","",IF(COUNTIF('＠MFP (LSI name)'!AD5,"Serial*")+COUNTIF('＠MFP (LSI name)'!AD5,"Analog*")&gt;0,'＠MFP (LSI name)'!AD5,OFFSET('＠グループ、表示名'!$H$4,MATCH('＠MFP (LSI name)'!AD5,'＠グループ、表示名'!$D$4:$D$250,0)-1,0)))</f>
        <v/>
      </c>
      <c r="AE5" s="18" t="str">
        <f ca="1">IF('＠MFP (LSI name)'!AE5="","",IF(COUNTIF('＠MFP (LSI name)'!AE5,"Serial*")+COUNTIF('＠MFP (LSI name)'!AE5,"Analog*")&gt;0,'＠MFP (LSI name)'!AE5,OFFSET('＠グループ、表示名'!$H$4,MATCH('＠MFP (LSI name)'!AE5,'＠グループ、表示名'!$D$4:$D$250,0)-1,0)))</f>
        <v/>
      </c>
      <c r="AF5" s="69" t="str">
        <f ca="1">IF('＠MFP (LSI name)'!AF5="","",IF(COUNTIF('＠MFP (LSI name)'!AF5,"Serial*")+COUNTIF('＠MFP (LSI name)'!AF5,"Analog*")&gt;0,'＠MFP (LSI name)'!AF5,OFFSET('＠グループ、表示名'!$H$4,MATCH('＠MFP (LSI name)'!AF5,'＠グループ、表示名'!$D$4:$D$250,0)-1,0)))</f>
        <v/>
      </c>
      <c r="AG5" s="18" t="str">
        <f ca="1">IF('＠MFP (LSI name)'!AG5="","",IF(COUNTIF('＠MFP (LSI name)'!AG5,"Serial*")+COUNTIF('＠MFP (LSI name)'!AG5,"Analog*")&gt;0,'＠MFP (LSI name)'!AG5,OFFSET('＠グループ、表示名'!$H$4,MATCH('＠MFP (LSI name)'!AG5,'＠グループ、表示名'!$D$4:$D$250,0)-1,0)))</f>
        <v/>
      </c>
      <c r="AH5" s="18" t="str">
        <f ca="1">IF('＠MFP (LSI name)'!AH5="","",IF(COUNTIF('＠MFP (LSI name)'!AH5,"Serial*")+COUNTIF('＠MFP (LSI name)'!AH5,"Analog*")&gt;0,'＠MFP (LSI name)'!AH5,OFFSET('＠グループ、表示名'!$H$4,MATCH('＠MFP (LSI name)'!AH5,'＠グループ、表示名'!$D$4:$D$250,0)-1,0)))</f>
        <v/>
      </c>
      <c r="AI5" s="18" t="str">
        <f ca="1">IF('＠MFP (LSI name)'!AI5="","",IF(COUNTIF('＠MFP (LSI name)'!AI5,"Serial*")+COUNTIF('＠MFP (LSI name)'!AI5,"Analog*")&gt;0,'＠MFP (LSI name)'!AI5,OFFSET('＠グループ、表示名'!$H$4,MATCH('＠MFP (LSI name)'!AI5,'＠グループ、表示名'!$D$4:$D$250,0)-1,0)))</f>
        <v/>
      </c>
      <c r="AJ5" s="18" t="str">
        <f ca="1">IF('＠MFP (LSI name)'!AJ5="","",IF(COUNTIF('＠MFP (LSI name)'!AJ5,"Serial*")+COUNTIF('＠MFP (LSI name)'!AJ5,"Analog*")&gt;0,'＠MFP (LSI name)'!AJ5,OFFSET('＠グループ、表示名'!$H$4,MATCH('＠MFP (LSI name)'!AJ5,'＠グループ、表示名'!$D$4:$D$250,0)-1,0)))</f>
        <v/>
      </c>
      <c r="AK5" s="69" t="str">
        <f ca="1">IF('＠MFP (LSI name)'!AK5="","",IF(COUNTIF('＠MFP (LSI name)'!AK5,"Serial*")+COUNTIF('＠MFP (LSI name)'!AK5,"Analog*")&gt;0,'＠MFP (LSI name)'!AK5,OFFSET('＠グループ、表示名'!$H$4,MATCH('＠MFP (LSI name)'!AK5,'＠グループ、表示名'!$D$4:$D$250,0)-1,0)))</f>
        <v/>
      </c>
      <c r="AL5" s="9" t="str">
        <f t="shared" si="0"/>
        <v>IOP0MD[3]</v>
      </c>
      <c r="AM5" s="9" t="str">
        <f t="shared" si="1"/>
        <v>IOP0MD[2]</v>
      </c>
      <c r="AN5" s="9" t="str">
        <f t="shared" si="2"/>
        <v>IOP0MD[1]</v>
      </c>
      <c r="AO5" s="9" t="str">
        <f t="shared" si="3"/>
        <v>IOP0MD[0]</v>
      </c>
      <c r="AP5" s="86"/>
    </row>
    <row r="6" spans="1:42" ht="16.149999999999999">
      <c r="A6" s="60">
        <v>5</v>
      </c>
      <c r="B6" s="7">
        <v>5</v>
      </c>
      <c r="C6" s="7">
        <v>4</v>
      </c>
      <c r="D6" s="87">
        <v>3</v>
      </c>
      <c r="E6" s="87">
        <v>1</v>
      </c>
      <c r="F6" s="7">
        <v>5</v>
      </c>
      <c r="G6" s="7">
        <v>4</v>
      </c>
      <c r="H6" s="87">
        <v>3</v>
      </c>
      <c r="I6" s="45" t="s">
        <v>485</v>
      </c>
      <c r="J6" s="45" t="s">
        <v>485</v>
      </c>
      <c r="K6" s="69" t="str">
        <f ca="1">IF('＠MFP (LSI name)'!K6="","",IF(COUNTIF('＠MFP (LSI name)'!K6,"Serial*")+COUNTIF('＠MFP (LSI name)'!K6,"Analog*")&gt;0,'＠MFP (LSI name)'!K6,OFFSET('＠グループ、表示名'!$H$4,MATCH('＠MFP (LSI name)'!K6,'＠グループ、表示名'!$D$4:$D$250,0)-1,0)))</f>
        <v/>
      </c>
      <c r="L6" s="69" t="str">
        <f ca="1">IF('＠MFP (LSI name)'!L6="","",IF(COUNTIF('＠MFP (LSI name)'!L6,"Serial*")+COUNTIF('＠MFP (LSI name)'!L6,"Analog*")&gt;0,'＠MFP (LSI name)'!L6,OFFSET('＠グループ、表示名'!$H$4,MATCH('＠MFP (LSI name)'!L6,'＠グループ、表示名'!$D$4:$D$250,0)-1,0)))</f>
        <v/>
      </c>
      <c r="M6" s="69" t="str">
        <f ca="1">IF('＠MFP (LSI name)'!M6="","",IF(COUNTIF('＠MFP (LSI name)'!M6,"Serial*")+COUNTIF('＠MFP (LSI name)'!M6,"Analog*")&gt;0,'＠MFP (LSI name)'!M6,OFFSET('＠グループ、表示名'!$H$4,MATCH('＠MFP (LSI name)'!M6,'＠グループ、表示名'!$D$4:$D$250,0)-1,0)))</f>
        <v/>
      </c>
      <c r="N6" s="69" t="str">
        <f ca="1">IF('＠MFP (LSI name)'!N6="","",IF(COUNTIF('＠MFP (LSI name)'!N6,"Serial*")+COUNTIF('＠MFP (LSI name)'!N6,"Analog*")&gt;0,'＠MFP (LSI name)'!N6,OFFSET('＠グループ、表示名'!$H$4,MATCH('＠MFP (LSI name)'!N6,'＠グループ、表示名'!$D$4:$D$250,0)-1,0)))</f>
        <v/>
      </c>
      <c r="O6" s="69" t="str">
        <f ca="1">IF('＠MFP (LSI name)'!O6="","",IF(COUNTIF('＠MFP (LSI name)'!O6,"Serial*")+COUNTIF('＠MFP (LSI name)'!O6,"Analog*")&gt;0,'＠MFP (LSI name)'!O6,OFFSET('＠グループ、表示名'!$H$4,MATCH('＠MFP (LSI name)'!O6,'＠グループ、表示名'!$D$4:$D$250,0)-1,0)))</f>
        <v/>
      </c>
      <c r="P6" s="69" t="str">
        <f ca="1">IF('＠MFP (LSI name)'!P6="","",IF(COUNTIF('＠MFP (LSI name)'!P6,"Serial*")+COUNTIF('＠MFP (LSI name)'!P6,"Analog*")&gt;0,'＠MFP (LSI name)'!P6,OFFSET('＠グループ、表示名'!$H$4,MATCH('＠MFP (LSI name)'!P6,'＠グループ、表示名'!$D$4:$D$250,0)-1,0)))</f>
        <v/>
      </c>
      <c r="Q6" s="69" t="str">
        <f ca="1">IF('＠MFP (LSI name)'!Q6="","",IF(COUNTIF('＠MFP (LSI name)'!Q6,"Serial*")+COUNTIF('＠MFP (LSI name)'!Q6,"Analog*")&gt;0,'＠MFP (LSI name)'!Q6,OFFSET('＠グループ、表示名'!$H$4,MATCH('＠MFP (LSI name)'!Q6,'＠グループ、表示名'!$D$4:$D$250,0)-1,0)))</f>
        <v/>
      </c>
      <c r="R6" s="69" t="str">
        <f ca="1">IF('＠MFP (LSI name)'!R6="","",IF(COUNTIF('＠MFP (LSI name)'!R6,"Serial*")+COUNTIF('＠MFP (LSI name)'!R6,"Analog*")&gt;0,'＠MFP (LSI name)'!R6,OFFSET('＠グループ、表示名'!$H$4,MATCH('＠MFP (LSI name)'!R6,'＠グループ、表示名'!$D$4:$D$250,0)-1,0)))</f>
        <v/>
      </c>
      <c r="S6" s="69" t="str">
        <f ca="1">IF('＠MFP (LSI name)'!S6="","",IF(COUNTIF('＠MFP (LSI name)'!S6,"Serial*")+COUNTIF('＠MFP (LSI name)'!S6,"Analog*")&gt;0,'＠MFP (LSI name)'!S6,OFFSET('＠グループ、表示名'!$H$4,MATCH('＠MFP (LSI name)'!S6,'＠グループ、表示名'!$D$4:$D$250,0)-1,0)))</f>
        <v/>
      </c>
      <c r="T6" s="69" t="str">
        <f ca="1">IF('＠MFP (LSI name)'!T6="","",IF(COUNTIF('＠MFP (LSI name)'!T6,"Serial*")+COUNTIF('＠MFP (LSI name)'!T6,"Analog*")&gt;0,'＠MFP (LSI name)'!T6,OFFSET('＠グループ、表示名'!$H$4,MATCH('＠MFP (LSI name)'!T6,'＠グループ、表示名'!$D$4:$D$250,0)-1,0)))</f>
        <v/>
      </c>
      <c r="U6" s="69" t="str">
        <f ca="1">IF('＠MFP (LSI name)'!U6="","",IF(COUNTIF('＠MFP (LSI name)'!U6,"Serial*")+COUNTIF('＠MFP (LSI name)'!U6,"Analog*")&gt;0,'＠MFP (LSI name)'!U6,OFFSET('＠グループ、表示名'!$H$4,MATCH('＠MFP (LSI name)'!U6,'＠グループ、表示名'!$D$4:$D$250,0)-1,0)))</f>
        <v/>
      </c>
      <c r="V6" s="18" t="str">
        <f ca="1">IF('＠MFP (LSI name)'!V6="","",IF(COUNTIF('＠MFP (LSI name)'!V6,"Serial*")+COUNTIF('＠MFP (LSI name)'!V6,"Analog*")&gt;0,'＠MFP (LSI name)'!V6,OFFSET('＠グループ、表示名'!$H$4,MATCH('＠MFP (LSI name)'!V6,'＠グループ、表示名'!$D$4:$D$250,0)-1,0)))</f>
        <v/>
      </c>
      <c r="W6" s="18" t="str">
        <f ca="1">IF('＠MFP (LSI name)'!W6="","",IF(COUNTIF('＠MFP (LSI name)'!W6,"Serial*")+COUNTIF('＠MFP (LSI name)'!W6,"Analog*")&gt;0,'＠MFP (LSI name)'!W6,OFFSET('＠グループ、表示名'!$H$4,MATCH('＠MFP (LSI name)'!W6,'＠グループ、表示名'!$D$4:$D$250,0)-1,0)))</f>
        <v/>
      </c>
      <c r="X6" s="18" t="str">
        <f ca="1">IF('＠MFP (LSI name)'!X6="","",IF(COUNTIF('＠MFP (LSI name)'!X6,"Serial*")+COUNTIF('＠MFP (LSI name)'!X6,"Analog*")&gt;0,'＠MFP (LSI name)'!X6,OFFSET('＠グループ、表示名'!$H$4,MATCH('＠MFP (LSI name)'!X6,'＠グループ、表示名'!$D$4:$D$250,0)-1,0)))</f>
        <v/>
      </c>
      <c r="Y6" s="18" t="str">
        <f ca="1">IF('＠MFP (LSI name)'!Y6="","",IF(COUNTIF('＠MFP (LSI name)'!Y6,"Serial*")+COUNTIF('＠MFP (LSI name)'!Y6,"Analog*")&gt;0,'＠MFP (LSI name)'!Y6,OFFSET('＠グループ、表示名'!$H$4,MATCH('＠MFP (LSI name)'!Y6,'＠グループ、表示名'!$D$4:$D$250,0)-1,0)))</f>
        <v/>
      </c>
      <c r="Z6" s="18" t="str">
        <f ca="1">IF('＠MFP (LSI name)'!Z6="","",IF(COUNTIF('＠MFP (LSI name)'!Z6,"Serial*")+COUNTIF('＠MFP (LSI name)'!Z6,"Analog*")&gt;0,'＠MFP (LSI name)'!Z6,OFFSET('＠グループ、表示名'!$H$4,MATCH('＠MFP (LSI name)'!Z6,'＠グループ、表示名'!$D$4:$D$250,0)-1,0)))</f>
        <v/>
      </c>
      <c r="AA6" s="69" t="str">
        <f ca="1">IF('＠MFP (LSI name)'!AA6="","",IF(COUNTIF('＠MFP (LSI name)'!AA6,"Serial*")+COUNTIF('＠MFP (LSI name)'!AA6,"Analog*")&gt;0,'＠MFP (LSI name)'!AA6,OFFSET('＠グループ、表示名'!$H$4,MATCH('＠MFP (LSI name)'!AA6,'＠グループ、表示名'!$D$4:$D$250,0)-1,0)))</f>
        <v/>
      </c>
      <c r="AB6" s="18" t="str">
        <f ca="1">IF('＠MFP (LSI name)'!AB6="","",IF(COUNTIF('＠MFP (LSI name)'!AB6,"Serial*")+COUNTIF('＠MFP (LSI name)'!AB6,"Analog*")&gt;0,'＠MFP (LSI name)'!AB6,OFFSET('＠グループ、表示名'!$H$4,MATCH('＠MFP (LSI name)'!AB6,'＠グループ、表示名'!$D$4:$D$250,0)-1,0)))</f>
        <v/>
      </c>
      <c r="AC6" s="18" t="str">
        <f ca="1">IF('＠MFP (LSI name)'!AC6="","",IF(COUNTIF('＠MFP (LSI name)'!AC6,"Serial*")+COUNTIF('＠MFP (LSI name)'!AC6,"Analog*")&gt;0,'＠MFP (LSI name)'!AC6,OFFSET('＠グループ、表示名'!$H$4,MATCH('＠MFP (LSI name)'!AC6,'＠グループ、表示名'!$D$4:$D$250,0)-1,0)))</f>
        <v/>
      </c>
      <c r="AD6" s="18" t="str">
        <f ca="1">IF('＠MFP (LSI name)'!AD6="","",IF(COUNTIF('＠MFP (LSI name)'!AD6,"Serial*")+COUNTIF('＠MFP (LSI name)'!AD6,"Analog*")&gt;0,'＠MFP (LSI name)'!AD6,OFFSET('＠グループ、表示名'!$H$4,MATCH('＠MFP (LSI name)'!AD6,'＠グループ、表示名'!$D$4:$D$250,0)-1,0)))</f>
        <v/>
      </c>
      <c r="AE6" s="18" t="str">
        <f ca="1">IF('＠MFP (LSI name)'!AE6="","",IF(COUNTIF('＠MFP (LSI name)'!AE6,"Serial*")+COUNTIF('＠MFP (LSI name)'!AE6,"Analog*")&gt;0,'＠MFP (LSI name)'!AE6,OFFSET('＠グループ、表示名'!$H$4,MATCH('＠MFP (LSI name)'!AE6,'＠グループ、表示名'!$D$4:$D$250,0)-1,0)))</f>
        <v/>
      </c>
      <c r="AF6" s="69" t="str">
        <f ca="1">IF('＠MFP (LSI name)'!AF6="","",IF(COUNTIF('＠MFP (LSI name)'!AF6,"Serial*")+COUNTIF('＠MFP (LSI name)'!AF6,"Analog*")&gt;0,'＠MFP (LSI name)'!AF6,OFFSET('＠グループ、表示名'!$H$4,MATCH('＠MFP (LSI name)'!AF6,'＠グループ、表示名'!$D$4:$D$250,0)-1,0)))</f>
        <v/>
      </c>
      <c r="AG6" s="18" t="str">
        <f ca="1">IF('＠MFP (LSI name)'!AG6="","",IF(COUNTIF('＠MFP (LSI name)'!AG6,"Serial*")+COUNTIF('＠MFP (LSI name)'!AG6,"Analog*")&gt;0,'＠MFP (LSI name)'!AG6,OFFSET('＠グループ、表示名'!$H$4,MATCH('＠MFP (LSI name)'!AG6,'＠グループ、表示名'!$D$4:$D$250,0)-1,0)))</f>
        <v/>
      </c>
      <c r="AH6" s="18" t="str">
        <f ca="1">IF('＠MFP (LSI name)'!AH6="","",IF(COUNTIF('＠MFP (LSI name)'!AH6,"Serial*")+COUNTIF('＠MFP (LSI name)'!AH6,"Analog*")&gt;0,'＠MFP (LSI name)'!AH6,OFFSET('＠グループ、表示名'!$H$4,MATCH('＠MFP (LSI name)'!AH6,'＠グループ、表示名'!$D$4:$D$250,0)-1,0)))</f>
        <v/>
      </c>
      <c r="AI6" s="18" t="str">
        <f ca="1">IF('＠MFP (LSI name)'!AI6="","",IF(COUNTIF('＠MFP (LSI name)'!AI6,"Serial*")+COUNTIF('＠MFP (LSI name)'!AI6,"Analog*")&gt;0,'＠MFP (LSI name)'!AI6,OFFSET('＠グループ、表示名'!$H$4,MATCH('＠MFP (LSI name)'!AI6,'＠グループ、表示名'!$D$4:$D$250,0)-1,0)))</f>
        <v/>
      </c>
      <c r="AJ6" s="18" t="str">
        <f ca="1">IF('＠MFP (LSI name)'!AJ6="","",IF(COUNTIF('＠MFP (LSI name)'!AJ6,"Serial*")+COUNTIF('＠MFP (LSI name)'!AJ6,"Analog*")&gt;0,'＠MFP (LSI name)'!AJ6,OFFSET('＠グループ、表示名'!$H$4,MATCH('＠MFP (LSI name)'!AJ6,'＠グループ、表示名'!$D$4:$D$250,0)-1,0)))</f>
        <v/>
      </c>
      <c r="AK6" s="69" t="str">
        <f ca="1">IF('＠MFP (LSI name)'!AK6="","",IF(COUNTIF('＠MFP (LSI name)'!AK6,"Serial*")+COUNTIF('＠MFP (LSI name)'!AK6,"Analog*")&gt;0,'＠MFP (LSI name)'!AK6,OFFSET('＠グループ、表示名'!$H$4,MATCH('＠MFP (LSI name)'!AK6,'＠グループ、表示名'!$D$4:$D$250,0)-1,0)))</f>
        <v/>
      </c>
      <c r="AL6" s="9" t="str">
        <f t="shared" si="0"/>
        <v/>
      </c>
      <c r="AM6" s="9" t="str">
        <f t="shared" si="1"/>
        <v/>
      </c>
      <c r="AN6" s="9" t="str">
        <f t="shared" si="2"/>
        <v/>
      </c>
      <c r="AO6" s="9" t="str">
        <f t="shared" si="3"/>
        <v/>
      </c>
      <c r="AP6" s="86"/>
    </row>
    <row r="7" spans="1:42" ht="16.149999999999999">
      <c r="A7" s="60">
        <v>6</v>
      </c>
      <c r="B7" s="7">
        <v>6</v>
      </c>
      <c r="C7" s="7">
        <v>5</v>
      </c>
      <c r="D7" s="87">
        <v>4</v>
      </c>
      <c r="E7" s="87">
        <v>2</v>
      </c>
      <c r="F7" s="7">
        <v>6</v>
      </c>
      <c r="G7" s="7">
        <v>5</v>
      </c>
      <c r="H7" s="87">
        <v>4</v>
      </c>
      <c r="I7" s="45" t="s">
        <v>486</v>
      </c>
      <c r="J7" s="45" t="s">
        <v>486</v>
      </c>
      <c r="K7" s="69" t="str">
        <f ca="1">IF('＠MFP (LSI name)'!K7="","",IF(COUNTIF('＠MFP (LSI name)'!K7,"Serial*")+COUNTIF('＠MFP (LSI name)'!K7,"Analog*")&gt;0,'＠MFP (LSI name)'!K7,OFFSET('＠グループ、表示名'!$H$4,MATCH('＠MFP (LSI name)'!K7,'＠グループ、表示名'!$D$4:$D$250,0)-1,0)))</f>
        <v/>
      </c>
      <c r="L7" s="69" t="str">
        <f ca="1">IF('＠MFP (LSI name)'!L7="","",IF(COUNTIF('＠MFP (LSI name)'!L7,"Serial*")+COUNTIF('＠MFP (LSI name)'!L7,"Analog*")&gt;0,'＠MFP (LSI name)'!L7,OFFSET('＠グループ、表示名'!$H$4,MATCH('＠MFP (LSI name)'!L7,'＠グループ、表示名'!$D$4:$D$250,0)-1,0)))</f>
        <v/>
      </c>
      <c r="M7" s="69" t="str">
        <f ca="1">IF('＠MFP (LSI name)'!M7="","",IF(COUNTIF('＠MFP (LSI name)'!M7,"Serial*")+COUNTIF('＠MFP (LSI name)'!M7,"Analog*")&gt;0,'＠MFP (LSI name)'!M7,OFFSET('＠グループ、表示名'!$H$4,MATCH('＠MFP (LSI name)'!M7,'＠グループ、表示名'!$D$4:$D$250,0)-1,0)))</f>
        <v/>
      </c>
      <c r="N7" s="69" t="str">
        <f ca="1">IF('＠MFP (LSI name)'!N7="","",IF(COUNTIF('＠MFP (LSI name)'!N7,"Serial*")+COUNTIF('＠MFP (LSI name)'!N7,"Analog*")&gt;0,'＠MFP (LSI name)'!N7,OFFSET('＠グループ、表示名'!$H$4,MATCH('＠MFP (LSI name)'!N7,'＠グループ、表示名'!$D$4:$D$250,0)-1,0)))</f>
        <v/>
      </c>
      <c r="O7" s="69" t="str">
        <f ca="1">IF('＠MFP (LSI name)'!O7="","",IF(COUNTIF('＠MFP (LSI name)'!O7,"Serial*")+COUNTIF('＠MFP (LSI name)'!O7,"Analog*")&gt;0,'＠MFP (LSI name)'!O7,OFFSET('＠グループ、表示名'!$H$4,MATCH('＠MFP (LSI name)'!O7,'＠グループ、表示名'!$D$4:$D$250,0)-1,0)))</f>
        <v/>
      </c>
      <c r="P7" s="69" t="str">
        <f ca="1">IF('＠MFP (LSI name)'!P7="","",IF(COUNTIF('＠MFP (LSI name)'!P7,"Serial*")+COUNTIF('＠MFP (LSI name)'!P7,"Analog*")&gt;0,'＠MFP (LSI name)'!P7,OFFSET('＠グループ、表示名'!$H$4,MATCH('＠MFP (LSI name)'!P7,'＠グループ、表示名'!$D$4:$D$250,0)-1,0)))</f>
        <v/>
      </c>
      <c r="Q7" s="69" t="str">
        <f ca="1">IF('＠MFP (LSI name)'!Q7="","",IF(COUNTIF('＠MFP (LSI name)'!Q7,"Serial*")+COUNTIF('＠MFP (LSI name)'!Q7,"Analog*")&gt;0,'＠MFP (LSI name)'!Q7,OFFSET('＠グループ、表示名'!$H$4,MATCH('＠MFP (LSI name)'!Q7,'＠グループ、表示名'!$D$4:$D$250,0)-1,0)))</f>
        <v/>
      </c>
      <c r="R7" s="69" t="str">
        <f ca="1">IF('＠MFP (LSI name)'!R7="","",IF(COUNTIF('＠MFP (LSI name)'!R7,"Serial*")+COUNTIF('＠MFP (LSI name)'!R7,"Analog*")&gt;0,'＠MFP (LSI name)'!R7,OFFSET('＠グループ、表示名'!$H$4,MATCH('＠MFP (LSI name)'!R7,'＠グループ、表示名'!$D$4:$D$250,0)-1,0)))</f>
        <v/>
      </c>
      <c r="S7" s="69" t="str">
        <f ca="1">IF('＠MFP (LSI name)'!S7="","",IF(COUNTIF('＠MFP (LSI name)'!S7,"Serial*")+COUNTIF('＠MFP (LSI name)'!S7,"Analog*")&gt;0,'＠MFP (LSI name)'!S7,OFFSET('＠グループ、表示名'!$H$4,MATCH('＠MFP (LSI name)'!S7,'＠グループ、表示名'!$D$4:$D$250,0)-1,0)))</f>
        <v/>
      </c>
      <c r="T7" s="69" t="str">
        <f ca="1">IF('＠MFP (LSI name)'!T7="","",IF(COUNTIF('＠MFP (LSI name)'!T7,"Serial*")+COUNTIF('＠MFP (LSI name)'!T7,"Analog*")&gt;0,'＠MFP (LSI name)'!T7,OFFSET('＠グループ、表示名'!$H$4,MATCH('＠MFP (LSI name)'!T7,'＠グループ、表示名'!$D$4:$D$250,0)-1,0)))</f>
        <v/>
      </c>
      <c r="U7" s="69" t="str">
        <f ca="1">IF('＠MFP (LSI name)'!U7="","",IF(COUNTIF('＠MFP (LSI name)'!U7,"Serial*")+COUNTIF('＠MFP (LSI name)'!U7,"Analog*")&gt;0,'＠MFP (LSI name)'!U7,OFFSET('＠グループ、表示名'!$H$4,MATCH('＠MFP (LSI name)'!U7,'＠グループ、表示名'!$D$4:$D$250,0)-1,0)))</f>
        <v/>
      </c>
      <c r="V7" s="18" t="str">
        <f ca="1">IF('＠MFP (LSI name)'!V7="","",IF(COUNTIF('＠MFP (LSI name)'!V7,"Serial*")+COUNTIF('＠MFP (LSI name)'!V7,"Analog*")&gt;0,'＠MFP (LSI name)'!V7,OFFSET('＠グループ、表示名'!$H$4,MATCH('＠MFP (LSI name)'!V7,'＠グループ、表示名'!$D$4:$D$250,0)-1,0)))</f>
        <v/>
      </c>
      <c r="W7" s="18" t="str">
        <f ca="1">IF('＠MFP (LSI name)'!W7="","",IF(COUNTIF('＠MFP (LSI name)'!W7,"Serial*")+COUNTIF('＠MFP (LSI name)'!W7,"Analog*")&gt;0,'＠MFP (LSI name)'!W7,OFFSET('＠グループ、表示名'!$H$4,MATCH('＠MFP (LSI name)'!W7,'＠グループ、表示名'!$D$4:$D$250,0)-1,0)))</f>
        <v/>
      </c>
      <c r="X7" s="18" t="str">
        <f ca="1">IF('＠MFP (LSI name)'!X7="","",IF(COUNTIF('＠MFP (LSI name)'!X7,"Serial*")+COUNTIF('＠MFP (LSI name)'!X7,"Analog*")&gt;0,'＠MFP (LSI name)'!X7,OFFSET('＠グループ、表示名'!$H$4,MATCH('＠MFP (LSI name)'!X7,'＠グループ、表示名'!$D$4:$D$250,0)-1,0)))</f>
        <v/>
      </c>
      <c r="Y7" s="18" t="str">
        <f ca="1">IF('＠MFP (LSI name)'!Y7="","",IF(COUNTIF('＠MFP (LSI name)'!Y7,"Serial*")+COUNTIF('＠MFP (LSI name)'!Y7,"Analog*")&gt;0,'＠MFP (LSI name)'!Y7,OFFSET('＠グループ、表示名'!$H$4,MATCH('＠MFP (LSI name)'!Y7,'＠グループ、表示名'!$D$4:$D$250,0)-1,0)))</f>
        <v/>
      </c>
      <c r="Z7" s="18" t="str">
        <f ca="1">IF('＠MFP (LSI name)'!Z7="","",IF(COUNTIF('＠MFP (LSI name)'!Z7,"Serial*")+COUNTIF('＠MFP (LSI name)'!Z7,"Analog*")&gt;0,'＠MFP (LSI name)'!Z7,OFFSET('＠グループ、表示名'!$H$4,MATCH('＠MFP (LSI name)'!Z7,'＠グループ、表示名'!$D$4:$D$250,0)-1,0)))</f>
        <v/>
      </c>
      <c r="AA7" s="69" t="str">
        <f ca="1">IF('＠MFP (LSI name)'!AA7="","",IF(COUNTIF('＠MFP (LSI name)'!AA7,"Serial*")+COUNTIF('＠MFP (LSI name)'!AA7,"Analog*")&gt;0,'＠MFP (LSI name)'!AA7,OFFSET('＠グループ、表示名'!$H$4,MATCH('＠MFP (LSI name)'!AA7,'＠グループ、表示名'!$D$4:$D$250,0)-1,0)))</f>
        <v/>
      </c>
      <c r="AB7" s="18" t="str">
        <f ca="1">IF('＠MFP (LSI name)'!AB7="","",IF(COUNTIF('＠MFP (LSI name)'!AB7,"Serial*")+COUNTIF('＠MFP (LSI name)'!AB7,"Analog*")&gt;0,'＠MFP (LSI name)'!AB7,OFFSET('＠グループ、表示名'!$H$4,MATCH('＠MFP (LSI name)'!AB7,'＠グループ、表示名'!$D$4:$D$250,0)-1,0)))</f>
        <v/>
      </c>
      <c r="AC7" s="18" t="str">
        <f ca="1">IF('＠MFP (LSI name)'!AC7="","",IF(COUNTIF('＠MFP (LSI name)'!AC7,"Serial*")+COUNTIF('＠MFP (LSI name)'!AC7,"Analog*")&gt;0,'＠MFP (LSI name)'!AC7,OFFSET('＠グループ、表示名'!$H$4,MATCH('＠MFP (LSI name)'!AC7,'＠グループ、表示名'!$D$4:$D$250,0)-1,0)))</f>
        <v/>
      </c>
      <c r="AD7" s="18" t="str">
        <f ca="1">IF('＠MFP (LSI name)'!AD7="","",IF(COUNTIF('＠MFP (LSI name)'!AD7,"Serial*")+COUNTIF('＠MFP (LSI name)'!AD7,"Analog*")&gt;0,'＠MFP (LSI name)'!AD7,OFFSET('＠グループ、表示名'!$H$4,MATCH('＠MFP (LSI name)'!AD7,'＠グループ、表示名'!$D$4:$D$250,0)-1,0)))</f>
        <v/>
      </c>
      <c r="AE7" s="18" t="str">
        <f ca="1">IF('＠MFP (LSI name)'!AE7="","",IF(COUNTIF('＠MFP (LSI name)'!AE7,"Serial*")+COUNTIF('＠MFP (LSI name)'!AE7,"Analog*")&gt;0,'＠MFP (LSI name)'!AE7,OFFSET('＠グループ、表示名'!$H$4,MATCH('＠MFP (LSI name)'!AE7,'＠グループ、表示名'!$D$4:$D$250,0)-1,0)))</f>
        <v/>
      </c>
      <c r="AF7" s="69" t="str">
        <f ca="1">IF('＠MFP (LSI name)'!AF7="","",IF(COUNTIF('＠MFP (LSI name)'!AF7,"Serial*")+COUNTIF('＠MFP (LSI name)'!AF7,"Analog*")&gt;0,'＠MFP (LSI name)'!AF7,OFFSET('＠グループ、表示名'!$H$4,MATCH('＠MFP (LSI name)'!AF7,'＠グループ、表示名'!$D$4:$D$250,0)-1,0)))</f>
        <v/>
      </c>
      <c r="AG7" s="18" t="str">
        <f ca="1">IF('＠MFP (LSI name)'!AG7="","",IF(COUNTIF('＠MFP (LSI name)'!AG7,"Serial*")+COUNTIF('＠MFP (LSI name)'!AG7,"Analog*")&gt;0,'＠MFP (LSI name)'!AG7,OFFSET('＠グループ、表示名'!$H$4,MATCH('＠MFP (LSI name)'!AG7,'＠グループ、表示名'!$D$4:$D$250,0)-1,0)))</f>
        <v/>
      </c>
      <c r="AH7" s="18" t="str">
        <f ca="1">IF('＠MFP (LSI name)'!AH7="","",IF(COUNTIF('＠MFP (LSI name)'!AH7,"Serial*")+COUNTIF('＠MFP (LSI name)'!AH7,"Analog*")&gt;0,'＠MFP (LSI name)'!AH7,OFFSET('＠グループ、表示名'!$H$4,MATCH('＠MFP (LSI name)'!AH7,'＠グループ、表示名'!$D$4:$D$250,0)-1,0)))</f>
        <v/>
      </c>
      <c r="AI7" s="18" t="str">
        <f ca="1">IF('＠MFP (LSI name)'!AI7="","",IF(COUNTIF('＠MFP (LSI name)'!AI7,"Serial*")+COUNTIF('＠MFP (LSI name)'!AI7,"Analog*")&gt;0,'＠MFP (LSI name)'!AI7,OFFSET('＠グループ、表示名'!$H$4,MATCH('＠MFP (LSI name)'!AI7,'＠グループ、表示名'!$D$4:$D$250,0)-1,0)))</f>
        <v/>
      </c>
      <c r="AJ7" s="18" t="str">
        <f ca="1">IF('＠MFP (LSI name)'!AJ7="","",IF(COUNTIF('＠MFP (LSI name)'!AJ7,"Serial*")+COUNTIF('＠MFP (LSI name)'!AJ7,"Analog*")&gt;0,'＠MFP (LSI name)'!AJ7,OFFSET('＠グループ、表示名'!$H$4,MATCH('＠MFP (LSI name)'!AJ7,'＠グループ、表示名'!$D$4:$D$250,0)-1,0)))</f>
        <v/>
      </c>
      <c r="AK7" s="69" t="str">
        <f ca="1">IF('＠MFP (LSI name)'!AK7="","",IF(COUNTIF('＠MFP (LSI name)'!AK7,"Serial*")+COUNTIF('＠MFP (LSI name)'!AK7,"Analog*")&gt;0,'＠MFP (LSI name)'!AK7,OFFSET('＠グループ、表示名'!$H$4,MATCH('＠MFP (LSI name)'!AK7,'＠グループ、表示名'!$D$4:$D$250,0)-1,0)))</f>
        <v/>
      </c>
      <c r="AL7" s="9" t="str">
        <f t="shared" si="0"/>
        <v/>
      </c>
      <c r="AM7" s="9" t="str">
        <f t="shared" si="1"/>
        <v/>
      </c>
      <c r="AN7" s="9" t="str">
        <f t="shared" si="2"/>
        <v/>
      </c>
      <c r="AO7" s="9" t="str">
        <f t="shared" si="3"/>
        <v/>
      </c>
      <c r="AP7" s="86"/>
    </row>
    <row r="8" spans="1:42" ht="16.149999999999999" customHeight="1">
      <c r="A8" s="60">
        <v>7</v>
      </c>
      <c r="B8" s="87">
        <v>7</v>
      </c>
      <c r="C8" s="87">
        <v>6</v>
      </c>
      <c r="D8" s="87">
        <v>5</v>
      </c>
      <c r="E8" s="87">
        <v>3</v>
      </c>
      <c r="F8" s="87">
        <v>7</v>
      </c>
      <c r="G8" s="87">
        <v>6</v>
      </c>
      <c r="H8" s="87">
        <v>5</v>
      </c>
      <c r="I8" s="45" t="s">
        <v>487</v>
      </c>
      <c r="J8" s="45" t="s">
        <v>488</v>
      </c>
      <c r="K8" s="69" t="str">
        <f ca="1">IF('＠MFP (LSI name)'!K8="","",IF(COUNTIF('＠MFP (LSI name)'!K8,"Serial*")+COUNTIF('＠MFP (LSI name)'!K8,"Analog*")&gt;0,'＠MFP (LSI name)'!K8,OFFSET('＠グループ、表示名'!$H$4,MATCH('＠MFP (LSI name)'!K8,'＠グループ、表示名'!$D$4:$D$250,0)-1,0)))</f>
        <v>IRQ04</v>
      </c>
      <c r="L8" s="69" t="str">
        <f ca="1">IF('＠MFP (LSI name)'!L8="","",IF(COUNTIF('＠MFP (LSI name)'!L8,"Serial*")+COUNTIF('＠MFP (LSI name)'!L8,"Analog*")&gt;0,'＠MFP (LSI name)'!L8,OFFSET('＠グループ、表示名'!$H$4,MATCH('＠MFP (LSI name)'!L8,'＠グループ、表示名'!$D$4:$D$250,0)-1,0)))</f>
        <v>IRQ15</v>
      </c>
      <c r="M8" s="69" t="str">
        <f ca="1">IF('＠MFP (LSI name)'!M8="","",IF(COUNTIF('＠MFP (LSI name)'!M8,"Serial*")+COUNTIF('＠MFP (LSI name)'!M8,"Analog*")&gt;0,'＠MFP (LSI name)'!M8,OFFSET('＠グループ、表示名'!$H$4,MATCH('＠MFP (LSI name)'!M8,'＠グループ、表示名'!$D$4:$D$250,0)-1,0)))</f>
        <v>GPWM6_GPWMST6</v>
      </c>
      <c r="N8" s="69" t="str">
        <f ca="1">IF('＠MFP (LSI name)'!N8="","",IF(COUNTIF('＠MFP (LSI name)'!N8,"Serial*")+COUNTIF('＠MFP (LSI name)'!N8,"Analog*")&gt;0,'＠MFP (LSI name)'!N8,OFFSET('＠グループ、表示名'!$H$4,MATCH('＠MFP (LSI name)'!N8,'＠グループ、表示名'!$D$4:$D$250,0)-1,0)))</f>
        <v>ADST2</v>
      </c>
      <c r="O8" s="118" t="str">
        <f ca="1">IF('＠MFP (LSI name)'!O8="","",IF(COUNTIF('＠MFP (LSI name)'!O8,"Serial*")+COUNTIF('＠MFP (LSI name)'!O8,"Analog*")&gt;0,'＠MFP (LSI name)'!O8,OFFSET('＠グループ、表示名'!$H$4,MATCH('＠MFP (LSI name)'!O8,'＠グループ、表示名'!$D$4:$D$250,0)-1,0)))</f>
        <v>SIF4_SBT4</v>
      </c>
      <c r="P8" s="69" t="str">
        <f ca="1">IF('＠MFP (LSI name)'!P8="","",IF(COUNTIF('＠MFP (LSI name)'!P8,"Serial*")+COUNTIF('＠MFP (LSI name)'!P8,"Analog*")&gt;0,'＠MFP (LSI name)'!P8,OFFSET('＠グループ、表示名'!$H$4,MATCH('＠MFP (LSI name)'!P8,'＠グループ、表示名'!$D$4:$D$250,0)-1,0)))</f>
        <v/>
      </c>
      <c r="Q8" s="69" t="str">
        <f ca="1">IF('＠MFP (LSI name)'!Q8="","",IF(COUNTIF('＠MFP (LSI name)'!Q8,"Serial*")+COUNTIF('＠MFP (LSI name)'!Q8,"Analog*")&gt;0,'＠MFP (LSI name)'!Q8,OFFSET('＠グループ、表示名'!$H$4,MATCH('＠MFP (LSI name)'!Q8,'＠グループ、表示名'!$D$4:$D$250,0)-1,0)))</f>
        <v/>
      </c>
      <c r="R8" s="69" t="str">
        <f ca="1">IF('＠MFP (LSI name)'!R8="","",IF(COUNTIF('＠MFP (LSI name)'!R8,"Serial*")+COUNTIF('＠MFP (LSI name)'!R8,"Analog*")&gt;0,'＠MFP (LSI name)'!R8,OFFSET('＠グループ、表示名'!$H$4,MATCH('＠MFP (LSI name)'!R8,'＠グループ、表示名'!$D$4:$D$250,0)-1,0)))</f>
        <v/>
      </c>
      <c r="S8" s="69" t="str">
        <f ca="1">IF('＠MFP (LSI name)'!S8="","",IF(COUNTIF('＠MFP (LSI name)'!S8,"Serial*")+COUNTIF('＠MFP (LSI name)'!S8,"Analog*")&gt;0,'＠MFP (LSI name)'!S8,OFFSET('＠グループ、表示名'!$H$4,MATCH('＠MFP (LSI name)'!S8,'＠グループ、表示名'!$D$4:$D$250,0)-1,0)))</f>
        <v/>
      </c>
      <c r="T8" s="69" t="str">
        <f ca="1">IF('＠MFP (LSI name)'!T8="","",IF(COUNTIF('＠MFP (LSI name)'!T8,"Serial*")+COUNTIF('＠MFP (LSI name)'!T8,"Analog*")&gt;0,'＠MFP (LSI name)'!T8,OFFSET('＠グループ、表示名'!$H$4,MATCH('＠MFP (LSI name)'!T8,'＠グループ、表示名'!$D$4:$D$250,0)-1,0)))</f>
        <v/>
      </c>
      <c r="U8" s="69" t="str">
        <f ca="1">IF('＠MFP (LSI name)'!U8="","",IF(COUNTIF('＠MFP (LSI name)'!U8,"Serial*")+COUNTIF('＠MFP (LSI name)'!U8,"Analog*")&gt;0,'＠MFP (LSI name)'!U8,OFFSET('＠グループ、表示名'!$H$4,MATCH('＠MFP (LSI name)'!U8,'＠グループ、表示名'!$D$4:$D$250,0)-1,0)))</f>
        <v/>
      </c>
      <c r="V8" s="18" t="str">
        <f ca="1">IF('＠MFP (LSI name)'!V8="","",IF(COUNTIF('＠MFP (LSI name)'!V8,"Serial*")+COUNTIF('＠MFP (LSI name)'!V8,"Analog*")&gt;0,'＠MFP (LSI name)'!V8,OFFSET('＠グループ、表示名'!$H$4,MATCH('＠MFP (LSI name)'!V8,'＠グループ、表示名'!$D$4:$D$250,0)-1,0)))</f>
        <v/>
      </c>
      <c r="W8" s="18" t="str">
        <f ca="1">IF('＠MFP (LSI name)'!W8="","",IF(COUNTIF('＠MFP (LSI name)'!W8,"Serial*")+COUNTIF('＠MFP (LSI name)'!W8,"Analog*")&gt;0,'＠MFP (LSI name)'!W8,OFFSET('＠グループ、表示名'!$H$4,MATCH('＠MFP (LSI name)'!W8,'＠グループ、表示名'!$D$4:$D$250,0)-1,0)))</f>
        <v/>
      </c>
      <c r="X8" s="18" t="str">
        <f ca="1">IF('＠MFP (LSI name)'!X8="","",IF(COUNTIF('＠MFP (LSI name)'!X8,"Serial*")+COUNTIF('＠MFP (LSI name)'!X8,"Analog*")&gt;0,'＠MFP (LSI name)'!X8,OFFSET('＠グループ、表示名'!$H$4,MATCH('＠MFP (LSI name)'!X8,'＠グループ、表示名'!$D$4:$D$250,0)-1,0)))</f>
        <v/>
      </c>
      <c r="Y8" s="18" t="str">
        <f ca="1">IF('＠MFP (LSI name)'!Y8="","",IF(COUNTIF('＠MFP (LSI name)'!Y8,"Serial*")+COUNTIF('＠MFP (LSI name)'!Y8,"Analog*")&gt;0,'＠MFP (LSI name)'!Y8,OFFSET('＠グループ、表示名'!$H$4,MATCH('＠MFP (LSI name)'!Y8,'＠グループ、表示名'!$D$4:$D$250,0)-1,0)))</f>
        <v/>
      </c>
      <c r="Z8" s="18" t="str">
        <f ca="1">IF('＠MFP (LSI name)'!Z8="","",IF(COUNTIF('＠MFP (LSI name)'!Z8,"Serial*")+COUNTIF('＠MFP (LSI name)'!Z8,"Analog*")&gt;0,'＠MFP (LSI name)'!Z8,OFFSET('＠グループ、表示名'!$H$4,MATCH('＠MFP (LSI name)'!Z8,'＠グループ、表示名'!$D$4:$D$250,0)-1,0)))</f>
        <v/>
      </c>
      <c r="AA8" s="69" t="str">
        <f ca="1">IF('＠MFP (LSI name)'!AA8="","",IF(COUNTIF('＠MFP (LSI name)'!AA8,"Serial*")+COUNTIF('＠MFP (LSI name)'!AA8,"Analog*")&gt;0,'＠MFP (LSI name)'!AA8,OFFSET('＠グループ、表示名'!$H$4,MATCH('＠MFP (LSI name)'!AA8,'＠グループ、表示名'!$D$4:$D$250,0)-1,0)))</f>
        <v/>
      </c>
      <c r="AB8" s="18" t="str">
        <f ca="1">IF('＠MFP (LSI name)'!AB8="","",IF(COUNTIF('＠MFP (LSI name)'!AB8,"Serial*")+COUNTIF('＠MFP (LSI name)'!AB8,"Analog*")&gt;0,'＠MFP (LSI name)'!AB8,OFFSET('＠グループ、表示名'!$H$4,MATCH('＠MFP (LSI name)'!AB8,'＠グループ、表示名'!$D$4:$D$250,0)-1,0)))</f>
        <v/>
      </c>
      <c r="AC8" s="18" t="str">
        <f ca="1">IF('＠MFP (LSI name)'!AC8="","",IF(COUNTIF('＠MFP (LSI name)'!AC8,"Serial*")+COUNTIF('＠MFP (LSI name)'!AC8,"Analog*")&gt;0,'＠MFP (LSI name)'!AC8,OFFSET('＠グループ、表示名'!$H$4,MATCH('＠MFP (LSI name)'!AC8,'＠グループ、表示名'!$D$4:$D$250,0)-1,0)))</f>
        <v/>
      </c>
      <c r="AD8" s="18" t="str">
        <f ca="1">IF('＠MFP (LSI name)'!AD8="","",IF(COUNTIF('＠MFP (LSI name)'!AD8,"Serial*")+COUNTIF('＠MFP (LSI name)'!AD8,"Analog*")&gt;0,'＠MFP (LSI name)'!AD8,OFFSET('＠グループ、表示名'!$H$4,MATCH('＠MFP (LSI name)'!AD8,'＠グループ、表示名'!$D$4:$D$250,0)-1,0)))</f>
        <v/>
      </c>
      <c r="AE8" s="18" t="str">
        <f ca="1">IF('＠MFP (LSI name)'!AE8="","",IF(COUNTIF('＠MFP (LSI name)'!AE8,"Serial*")+COUNTIF('＠MFP (LSI name)'!AE8,"Analog*")&gt;0,'＠MFP (LSI name)'!AE8,OFFSET('＠グループ、表示名'!$H$4,MATCH('＠MFP (LSI name)'!AE8,'＠グループ、表示名'!$D$4:$D$250,0)-1,0)))</f>
        <v/>
      </c>
      <c r="AF8" s="69" t="str">
        <f ca="1">IF('＠MFP (LSI name)'!AF8="","",IF(COUNTIF('＠MFP (LSI name)'!AF8,"Serial*")+COUNTIF('＠MFP (LSI name)'!AF8,"Analog*")&gt;0,'＠MFP (LSI name)'!AF8,OFFSET('＠グループ、表示名'!$H$4,MATCH('＠MFP (LSI name)'!AF8,'＠グループ、表示名'!$D$4:$D$250,0)-1,0)))</f>
        <v/>
      </c>
      <c r="AG8" s="18" t="str">
        <f ca="1">IF('＠MFP (LSI name)'!AG8="","",IF(COUNTIF('＠MFP (LSI name)'!AG8,"Serial*")+COUNTIF('＠MFP (LSI name)'!AG8,"Analog*")&gt;0,'＠MFP (LSI name)'!AG8,OFFSET('＠グループ、表示名'!$H$4,MATCH('＠MFP (LSI name)'!AG8,'＠グループ、表示名'!$D$4:$D$250,0)-1,0)))</f>
        <v/>
      </c>
      <c r="AH8" s="18" t="str">
        <f ca="1">IF('＠MFP (LSI name)'!AH8="","",IF(COUNTIF('＠MFP (LSI name)'!AH8,"Serial*")+COUNTIF('＠MFP (LSI name)'!AH8,"Analog*")&gt;0,'＠MFP (LSI name)'!AH8,OFFSET('＠グループ、表示名'!$H$4,MATCH('＠MFP (LSI name)'!AH8,'＠グループ、表示名'!$D$4:$D$250,0)-1,0)))</f>
        <v/>
      </c>
      <c r="AI8" s="18" t="str">
        <f ca="1">IF('＠MFP (LSI name)'!AI8="","",IF(COUNTIF('＠MFP (LSI name)'!AI8,"Serial*")+COUNTIF('＠MFP (LSI name)'!AI8,"Analog*")&gt;0,'＠MFP (LSI name)'!AI8,OFFSET('＠グループ、表示名'!$H$4,MATCH('＠MFP (LSI name)'!AI8,'＠グループ、表示名'!$D$4:$D$250,0)-1,0)))</f>
        <v/>
      </c>
      <c r="AJ8" s="18" t="str">
        <f ca="1">IF('＠MFP (LSI name)'!AJ8="","",IF(COUNTIF('＠MFP (LSI name)'!AJ8,"Serial*")+COUNTIF('＠MFP (LSI name)'!AJ8,"Analog*")&gt;0,'＠MFP (LSI name)'!AJ8,OFFSET('＠グループ、表示名'!$H$4,MATCH('＠MFP (LSI name)'!AJ8,'＠グループ、表示名'!$D$4:$D$250,0)-1,0)))</f>
        <v/>
      </c>
      <c r="AK8" s="69" t="str">
        <f ca="1">IF('＠MFP (LSI name)'!AK8="","",IF(COUNTIF('＠MFP (LSI name)'!AK8,"Serial*")+COUNTIF('＠MFP (LSI name)'!AK8,"Analog*")&gt;0,'＠MFP (LSI name)'!AK8,OFFSET('＠グループ、表示名'!$H$4,MATCH('＠MFP (LSI name)'!AK8,'＠グループ、表示名'!$D$4:$D$250,0)-1,0)))</f>
        <v/>
      </c>
      <c r="AL8" s="9" t="str">
        <f t="shared" si="0"/>
        <v>IOP0MD[7]</v>
      </c>
      <c r="AM8" s="9" t="str">
        <f t="shared" si="1"/>
        <v>IOP0MD[6]</v>
      </c>
      <c r="AN8" s="9" t="str">
        <f t="shared" si="2"/>
        <v>IOP0MD[5]</v>
      </c>
      <c r="AO8" s="9" t="str">
        <f t="shared" si="3"/>
        <v>IOP0MD[4]</v>
      </c>
      <c r="AP8" s="86"/>
    </row>
    <row r="9" spans="1:42" ht="16.149999999999999">
      <c r="A9" s="60">
        <v>8</v>
      </c>
      <c r="B9" s="87">
        <v>8</v>
      </c>
      <c r="C9" s="87">
        <v>7</v>
      </c>
      <c r="D9" s="87"/>
      <c r="E9" s="87"/>
      <c r="F9" s="87">
        <v>8</v>
      </c>
      <c r="G9" s="87">
        <v>7</v>
      </c>
      <c r="H9" s="87"/>
      <c r="I9" s="45" t="s">
        <v>425</v>
      </c>
      <c r="J9" s="45" t="s">
        <v>426</v>
      </c>
      <c r="K9" s="69" t="str">
        <f ca="1">IF('＠MFP (LSI name)'!K9="","",IF(COUNTIF('＠MFP (LSI name)'!K9,"Serial*")+COUNTIF('＠MFP (LSI name)'!K9,"Analog*")&gt;0,'＠MFP (LSI name)'!K9,OFFSET('＠グループ、表示名'!$H$4,MATCH('＠MFP (LSI name)'!K9,'＠グループ、表示名'!$D$4:$D$250,0)-1,0)))</f>
        <v>IRQ01</v>
      </c>
      <c r="L9" s="69" t="str">
        <f ca="1">IF('＠MFP (LSI name)'!L9="","",IF(COUNTIF('＠MFP (LSI name)'!L9,"Serial*")+COUNTIF('＠MFP (LSI name)'!L9,"Analog*")&gt;0,'＠MFP (LSI name)'!L9,OFFSET('＠グループ、表示名'!$H$4,MATCH('＠MFP (LSI name)'!L9,'＠グループ、表示名'!$D$4:$D$250,0)-1,0)))</f>
        <v>IRQ13</v>
      </c>
      <c r="M9" s="69" t="str">
        <f ca="1">IF('＠MFP (LSI name)'!M9="","",IF(COUNTIF('＠MFP (LSI name)'!M9,"Serial*")+COUNTIF('＠MFP (LSI name)'!M9,"Analog*")&gt;0,'＠MFP (LSI name)'!M9,OFFSET('＠グループ、表示名'!$H$4,MATCH('＠MFP (LSI name)'!M9,'＠グループ、表示名'!$D$4:$D$250,0)-1,0)))</f>
        <v>TM12A</v>
      </c>
      <c r="N9" s="18" t="str">
        <f ca="1">IF('＠MFP (LSI name)'!N9="","",IF(COUNTIF('＠MFP (LSI name)'!N9,"Serial*")+COUNTIF('＠MFP (LSI name)'!N9,"Analog*")&gt;0,'＠MFP (LSI name)'!N9,OFFSET('＠グループ、表示名'!$H$4,MATCH('＠MFP (LSI name)'!N9,'＠グループ、表示名'!$D$4:$D$250,0)-1,0)))</f>
        <v>SIF4_SBCS4</v>
      </c>
      <c r="O9" s="69" t="str">
        <f ca="1">IF('＠MFP (LSI name)'!O9="","",IF(COUNTIF('＠MFP (LSI name)'!O9,"Serial*")+COUNTIF('＠MFP (LSI name)'!O9,"Analog*")&gt;0,'＠MFP (LSI name)'!O9,OFFSET('＠グループ、表示名'!$H$4,MATCH('＠MFP (LSI name)'!O9,'＠グループ、表示名'!$D$4:$D$250,0)-1,0)))</f>
        <v/>
      </c>
      <c r="P9" s="69" t="str">
        <f ca="1">IF('＠MFP (LSI name)'!P9="","",IF(COUNTIF('＠MFP (LSI name)'!P9,"Serial*")+COUNTIF('＠MFP (LSI name)'!P9,"Analog*")&gt;0,'＠MFP (LSI name)'!P9,OFFSET('＠グループ、表示名'!$H$4,MATCH('＠MFP (LSI name)'!P9,'＠グループ、表示名'!$D$4:$D$250,0)-1,0)))</f>
        <v/>
      </c>
      <c r="Q9" s="69" t="str">
        <f ca="1">IF('＠MFP (LSI name)'!Q9="","",IF(COUNTIF('＠MFP (LSI name)'!Q9,"Serial*")+COUNTIF('＠MFP (LSI name)'!Q9,"Analog*")&gt;0,'＠MFP (LSI name)'!Q9,OFFSET('＠グループ、表示名'!$H$4,MATCH('＠MFP (LSI name)'!Q9,'＠グループ、表示名'!$D$4:$D$250,0)-1,0)))</f>
        <v/>
      </c>
      <c r="R9" s="69" t="str">
        <f ca="1">IF('＠MFP (LSI name)'!R9="","",IF(COUNTIF('＠MFP (LSI name)'!R9,"Serial*")+COUNTIF('＠MFP (LSI name)'!R9,"Analog*")&gt;0,'＠MFP (LSI name)'!R9,OFFSET('＠グループ、表示名'!$H$4,MATCH('＠MFP (LSI name)'!R9,'＠グループ、表示名'!$D$4:$D$250,0)-1,0)))</f>
        <v/>
      </c>
      <c r="S9" s="69" t="str">
        <f ca="1">IF('＠MFP (LSI name)'!S9="","",IF(COUNTIF('＠MFP (LSI name)'!S9,"Serial*")+COUNTIF('＠MFP (LSI name)'!S9,"Analog*")&gt;0,'＠MFP (LSI name)'!S9,OFFSET('＠グループ、表示名'!$H$4,MATCH('＠MFP (LSI name)'!S9,'＠グループ、表示名'!$D$4:$D$250,0)-1,0)))</f>
        <v/>
      </c>
      <c r="T9" s="69" t="str">
        <f ca="1">IF('＠MFP (LSI name)'!T9="","",IF(COUNTIF('＠MFP (LSI name)'!T9,"Serial*")+COUNTIF('＠MFP (LSI name)'!T9,"Analog*")&gt;0,'＠MFP (LSI name)'!T9,OFFSET('＠グループ、表示名'!$H$4,MATCH('＠MFP (LSI name)'!T9,'＠グループ、表示名'!$D$4:$D$250,0)-1,0)))</f>
        <v/>
      </c>
      <c r="U9" s="69" t="str">
        <f ca="1">IF('＠MFP (LSI name)'!U9="","",IF(COUNTIF('＠MFP (LSI name)'!U9,"Serial*")+COUNTIF('＠MFP (LSI name)'!U9,"Analog*")&gt;0,'＠MFP (LSI name)'!U9,OFFSET('＠グループ、表示名'!$H$4,MATCH('＠MFP (LSI name)'!U9,'＠グループ、表示名'!$D$4:$D$250,0)-1,0)))</f>
        <v/>
      </c>
      <c r="V9" s="18" t="str">
        <f ca="1">IF('＠MFP (LSI name)'!V9="","",IF(COUNTIF('＠MFP (LSI name)'!V9,"Serial*")+COUNTIF('＠MFP (LSI name)'!V9,"Analog*")&gt;0,'＠MFP (LSI name)'!V9,OFFSET('＠グループ、表示名'!$H$4,MATCH('＠MFP (LSI name)'!V9,'＠グループ、表示名'!$D$4:$D$250,0)-1,0)))</f>
        <v/>
      </c>
      <c r="W9" s="18" t="str">
        <f ca="1">IF('＠MFP (LSI name)'!W9="","",IF(COUNTIF('＠MFP (LSI name)'!W9,"Serial*")+COUNTIF('＠MFP (LSI name)'!W9,"Analog*")&gt;0,'＠MFP (LSI name)'!W9,OFFSET('＠グループ、表示名'!$H$4,MATCH('＠MFP (LSI name)'!W9,'＠グループ、表示名'!$D$4:$D$250,0)-1,0)))</f>
        <v/>
      </c>
      <c r="X9" s="18" t="str">
        <f ca="1">IF('＠MFP (LSI name)'!X9="","",IF(COUNTIF('＠MFP (LSI name)'!X9,"Serial*")+COUNTIF('＠MFP (LSI name)'!X9,"Analog*")&gt;0,'＠MFP (LSI name)'!X9,OFFSET('＠グループ、表示名'!$H$4,MATCH('＠MFP (LSI name)'!X9,'＠グループ、表示名'!$D$4:$D$250,0)-1,0)))</f>
        <v/>
      </c>
      <c r="Y9" s="18" t="str">
        <f ca="1">IF('＠MFP (LSI name)'!Y9="","",IF(COUNTIF('＠MFP (LSI name)'!Y9,"Serial*")+COUNTIF('＠MFP (LSI name)'!Y9,"Analog*")&gt;0,'＠MFP (LSI name)'!Y9,OFFSET('＠グループ、表示名'!$H$4,MATCH('＠MFP (LSI name)'!Y9,'＠グループ、表示名'!$D$4:$D$250,0)-1,0)))</f>
        <v/>
      </c>
      <c r="Z9" s="18" t="str">
        <f ca="1">IF('＠MFP (LSI name)'!Z9="","",IF(COUNTIF('＠MFP (LSI name)'!Z9,"Serial*")+COUNTIF('＠MFP (LSI name)'!Z9,"Analog*")&gt;0,'＠MFP (LSI name)'!Z9,OFFSET('＠グループ、表示名'!$H$4,MATCH('＠MFP (LSI name)'!Z9,'＠グループ、表示名'!$D$4:$D$250,0)-1,0)))</f>
        <v/>
      </c>
      <c r="AA9" s="69" t="str">
        <f ca="1">IF('＠MFP (LSI name)'!AA9="","",IF(COUNTIF('＠MFP (LSI name)'!AA9,"Serial*")+COUNTIF('＠MFP (LSI name)'!AA9,"Analog*")&gt;0,'＠MFP (LSI name)'!AA9,OFFSET('＠グループ、表示名'!$H$4,MATCH('＠MFP (LSI name)'!AA9,'＠グループ、表示名'!$D$4:$D$250,0)-1,0)))</f>
        <v/>
      </c>
      <c r="AB9" s="18" t="str">
        <f ca="1">IF('＠MFP (LSI name)'!AB9="","",IF(COUNTIF('＠MFP (LSI name)'!AB9,"Serial*")+COUNTIF('＠MFP (LSI name)'!AB9,"Analog*")&gt;0,'＠MFP (LSI name)'!AB9,OFFSET('＠グループ、表示名'!$H$4,MATCH('＠MFP (LSI name)'!AB9,'＠グループ、表示名'!$D$4:$D$250,0)-1,0)))</f>
        <v/>
      </c>
      <c r="AC9" s="18" t="str">
        <f ca="1">IF('＠MFP (LSI name)'!AC9="","",IF(COUNTIF('＠MFP (LSI name)'!AC9,"Serial*")+COUNTIF('＠MFP (LSI name)'!AC9,"Analog*")&gt;0,'＠MFP (LSI name)'!AC9,OFFSET('＠グループ、表示名'!$H$4,MATCH('＠MFP (LSI name)'!AC9,'＠グループ、表示名'!$D$4:$D$250,0)-1,0)))</f>
        <v/>
      </c>
      <c r="AD9" s="18" t="str">
        <f ca="1">IF('＠MFP (LSI name)'!AD9="","",IF(COUNTIF('＠MFP (LSI name)'!AD9,"Serial*")+COUNTIF('＠MFP (LSI name)'!AD9,"Analog*")&gt;0,'＠MFP (LSI name)'!AD9,OFFSET('＠グループ、表示名'!$H$4,MATCH('＠MFP (LSI name)'!AD9,'＠グループ、表示名'!$D$4:$D$250,0)-1,0)))</f>
        <v/>
      </c>
      <c r="AE9" s="18" t="str">
        <f ca="1">IF('＠MFP (LSI name)'!AE9="","",IF(COUNTIF('＠MFP (LSI name)'!AE9,"Serial*")+COUNTIF('＠MFP (LSI name)'!AE9,"Analog*")&gt;0,'＠MFP (LSI name)'!AE9,OFFSET('＠グループ、表示名'!$H$4,MATCH('＠MFP (LSI name)'!AE9,'＠グループ、表示名'!$D$4:$D$250,0)-1,0)))</f>
        <v/>
      </c>
      <c r="AF9" s="69" t="str">
        <f ca="1">IF('＠MFP (LSI name)'!AF9="","",IF(COUNTIF('＠MFP (LSI name)'!AF9,"Serial*")+COUNTIF('＠MFP (LSI name)'!AF9,"Analog*")&gt;0,'＠MFP (LSI name)'!AF9,OFFSET('＠グループ、表示名'!$H$4,MATCH('＠MFP (LSI name)'!AF9,'＠グループ、表示名'!$D$4:$D$250,0)-1,0)))</f>
        <v/>
      </c>
      <c r="AG9" s="18" t="str">
        <f ca="1">IF('＠MFP (LSI name)'!AG9="","",IF(COUNTIF('＠MFP (LSI name)'!AG9,"Serial*")+COUNTIF('＠MFP (LSI name)'!AG9,"Analog*")&gt;0,'＠MFP (LSI name)'!AG9,OFFSET('＠グループ、表示名'!$H$4,MATCH('＠MFP (LSI name)'!AG9,'＠グループ、表示名'!$D$4:$D$250,0)-1,0)))</f>
        <v/>
      </c>
      <c r="AH9" s="18" t="str">
        <f ca="1">IF('＠MFP (LSI name)'!AH9="","",IF(COUNTIF('＠MFP (LSI name)'!AH9,"Serial*")+COUNTIF('＠MFP (LSI name)'!AH9,"Analog*")&gt;0,'＠MFP (LSI name)'!AH9,OFFSET('＠グループ、表示名'!$H$4,MATCH('＠MFP (LSI name)'!AH9,'＠グループ、表示名'!$D$4:$D$250,0)-1,0)))</f>
        <v/>
      </c>
      <c r="AI9" s="18" t="str">
        <f ca="1">IF('＠MFP (LSI name)'!AI9="","",IF(COUNTIF('＠MFP (LSI name)'!AI9,"Serial*")+COUNTIF('＠MFP (LSI name)'!AI9,"Analog*")&gt;0,'＠MFP (LSI name)'!AI9,OFFSET('＠グループ、表示名'!$H$4,MATCH('＠MFP (LSI name)'!AI9,'＠グループ、表示名'!$D$4:$D$250,0)-1,0)))</f>
        <v/>
      </c>
      <c r="AJ9" s="18" t="str">
        <f ca="1">IF('＠MFP (LSI name)'!AJ9="","",IF(COUNTIF('＠MFP (LSI name)'!AJ9,"Serial*")+COUNTIF('＠MFP (LSI name)'!AJ9,"Analog*")&gt;0,'＠MFP (LSI name)'!AJ9,OFFSET('＠グループ、表示名'!$H$4,MATCH('＠MFP (LSI name)'!AJ9,'＠グループ、表示名'!$D$4:$D$250,0)-1,0)))</f>
        <v/>
      </c>
      <c r="AK9" s="69" t="str">
        <f ca="1">IF('＠MFP (LSI name)'!AK9="","",IF(COUNTIF('＠MFP (LSI name)'!AK9,"Serial*")+COUNTIF('＠MFP (LSI name)'!AK9,"Analog*")&gt;0,'＠MFP (LSI name)'!AK9,OFFSET('＠グループ、表示名'!$H$4,MATCH('＠MFP (LSI name)'!AK9,'＠グループ、表示名'!$D$4:$D$250,0)-1,0)))</f>
        <v/>
      </c>
      <c r="AL9" s="9" t="str">
        <f t="shared" si="0"/>
        <v>IOPEMD[19]</v>
      </c>
      <c r="AM9" s="9" t="str">
        <f t="shared" si="1"/>
        <v>IOPEMD[18]</v>
      </c>
      <c r="AN9" s="9" t="str">
        <f t="shared" si="2"/>
        <v>IOPEMD[17]</v>
      </c>
      <c r="AO9" s="9" t="str">
        <f t="shared" si="3"/>
        <v>IOPEMD[16]</v>
      </c>
      <c r="AP9" s="86"/>
    </row>
    <row r="10" spans="1:42" ht="16.149999999999999">
      <c r="A10" s="60">
        <v>9</v>
      </c>
      <c r="B10" s="87">
        <v>9</v>
      </c>
      <c r="C10" s="87">
        <v>8</v>
      </c>
      <c r="D10" s="87"/>
      <c r="E10" s="87"/>
      <c r="F10" s="87">
        <v>9</v>
      </c>
      <c r="G10" s="87">
        <v>8</v>
      </c>
      <c r="H10" s="87"/>
      <c r="I10" s="45" t="s">
        <v>427</v>
      </c>
      <c r="J10" s="45" t="s">
        <v>428</v>
      </c>
      <c r="K10" s="69" t="str">
        <f ca="1">IF('＠MFP (LSI name)'!K10="","",IF(COUNTIF('＠MFP (LSI name)'!K10,"Serial*")+COUNTIF('＠MFP (LSI name)'!K10,"Analog*")&gt;0,'＠MFP (LSI name)'!K10,OFFSET('＠グループ、表示名'!$H$4,MATCH('＠MFP (LSI name)'!K10,'＠グループ、表示名'!$D$4:$D$250,0)-1,0)))</f>
        <v>IRQ02</v>
      </c>
      <c r="L10" s="69" t="str">
        <f ca="1">IF('＠MFP (LSI name)'!L10="","",IF(COUNTIF('＠MFP (LSI name)'!L10,"Serial*")+COUNTIF('＠MFP (LSI name)'!L10,"Analog*")&gt;0,'＠MFP (LSI name)'!L10,OFFSET('＠グループ、表示名'!$H$4,MATCH('＠MFP (LSI name)'!L10,'＠グループ、表示名'!$D$4:$D$250,0)-1,0)))</f>
        <v>IRQ14</v>
      </c>
      <c r="M10" s="69" t="str">
        <f ca="1">IF('＠MFP (LSI name)'!M10="","",IF(COUNTIF('＠MFP (LSI name)'!M10,"Serial*")+COUNTIF('＠MFP (LSI name)'!M10,"Analog*")&gt;0,'＠MFP (LSI name)'!M10,OFFSET('＠グループ、表示名'!$H$4,MATCH('＠MFP (LSI name)'!M10,'＠グループ、表示名'!$D$4:$D$250,0)-1,0)))</f>
        <v>TM12B</v>
      </c>
      <c r="N10" s="69" t="str">
        <f ca="1">IF('＠MFP (LSI name)'!N10="","",IF(COUNTIF('＠MFP (LSI name)'!N10,"Serial*")+COUNTIF('＠MFP (LSI name)'!N10,"Analog*")&gt;0,'＠MFP (LSI name)'!N10,OFFSET('＠グループ、表示名'!$H$4,MATCH('＠MFP (LSI name)'!N10,'＠グループ、表示名'!$D$4:$D$250,0)-1,0)))</f>
        <v/>
      </c>
      <c r="O10" s="69" t="str">
        <f ca="1">IF('＠MFP (LSI name)'!O10="","",IF(COUNTIF('＠MFP (LSI name)'!O10,"Serial*")+COUNTIF('＠MFP (LSI name)'!O10,"Analog*")&gt;0,'＠MFP (LSI name)'!O10,OFFSET('＠グループ、表示名'!$H$4,MATCH('＠MFP (LSI name)'!O10,'＠グループ、表示名'!$D$4:$D$250,0)-1,0)))</f>
        <v/>
      </c>
      <c r="P10" s="69" t="str">
        <f ca="1">IF('＠MFP (LSI name)'!P10="","",IF(COUNTIF('＠MFP (LSI name)'!P10,"Serial*")+COUNTIF('＠MFP (LSI name)'!P10,"Analog*")&gt;0,'＠MFP (LSI name)'!P10,OFFSET('＠グループ、表示名'!$H$4,MATCH('＠MFP (LSI name)'!P10,'＠グループ、表示名'!$D$4:$D$250,0)-1,0)))</f>
        <v/>
      </c>
      <c r="Q10" s="69" t="str">
        <f ca="1">IF('＠MFP (LSI name)'!Q10="","",IF(COUNTIF('＠MFP (LSI name)'!Q10,"Serial*")+COUNTIF('＠MFP (LSI name)'!Q10,"Analog*")&gt;0,'＠MFP (LSI name)'!Q10,OFFSET('＠グループ、表示名'!$H$4,MATCH('＠MFP (LSI name)'!Q10,'＠グループ、表示名'!$D$4:$D$250,0)-1,0)))</f>
        <v/>
      </c>
      <c r="R10" s="69" t="str">
        <f ca="1">IF('＠MFP (LSI name)'!R10="","",IF(COUNTIF('＠MFP (LSI name)'!R10,"Serial*")+COUNTIF('＠MFP (LSI name)'!R10,"Analog*")&gt;0,'＠MFP (LSI name)'!R10,OFFSET('＠グループ、表示名'!$H$4,MATCH('＠MFP (LSI name)'!R10,'＠グループ、表示名'!$D$4:$D$250,0)-1,0)))</f>
        <v/>
      </c>
      <c r="S10" s="69" t="str">
        <f ca="1">IF('＠MFP (LSI name)'!S10="","",IF(COUNTIF('＠MFP (LSI name)'!S10,"Serial*")+COUNTIF('＠MFP (LSI name)'!S10,"Analog*")&gt;0,'＠MFP (LSI name)'!S10,OFFSET('＠グループ、表示名'!$H$4,MATCH('＠MFP (LSI name)'!S10,'＠グループ、表示名'!$D$4:$D$250,0)-1,0)))</f>
        <v/>
      </c>
      <c r="T10" s="69" t="str">
        <f ca="1">IF('＠MFP (LSI name)'!T10="","",IF(COUNTIF('＠MFP (LSI name)'!T10,"Serial*")+COUNTIF('＠MFP (LSI name)'!T10,"Analog*")&gt;0,'＠MFP (LSI name)'!T10,OFFSET('＠グループ、表示名'!$H$4,MATCH('＠MFP (LSI name)'!T10,'＠グループ、表示名'!$D$4:$D$250,0)-1,0)))</f>
        <v/>
      </c>
      <c r="U10" s="69" t="str">
        <f ca="1">IF('＠MFP (LSI name)'!U10="","",IF(COUNTIF('＠MFP (LSI name)'!U10,"Serial*")+COUNTIF('＠MFP (LSI name)'!U10,"Analog*")&gt;0,'＠MFP (LSI name)'!U10,OFFSET('＠グループ、表示名'!$H$4,MATCH('＠MFP (LSI name)'!U10,'＠グループ、表示名'!$D$4:$D$250,0)-1,0)))</f>
        <v/>
      </c>
      <c r="V10" s="18" t="str">
        <f ca="1">IF('＠MFP (LSI name)'!V10="","",IF(COUNTIF('＠MFP (LSI name)'!V10,"Serial*")+COUNTIF('＠MFP (LSI name)'!V10,"Analog*")&gt;0,'＠MFP (LSI name)'!V10,OFFSET('＠グループ、表示名'!$H$4,MATCH('＠MFP (LSI name)'!V10,'＠グループ、表示名'!$D$4:$D$250,0)-1,0)))</f>
        <v/>
      </c>
      <c r="W10" s="18" t="str">
        <f ca="1">IF('＠MFP (LSI name)'!W10="","",IF(COUNTIF('＠MFP (LSI name)'!W10,"Serial*")+COUNTIF('＠MFP (LSI name)'!W10,"Analog*")&gt;0,'＠MFP (LSI name)'!W10,OFFSET('＠グループ、表示名'!$H$4,MATCH('＠MFP (LSI name)'!W10,'＠グループ、表示名'!$D$4:$D$250,0)-1,0)))</f>
        <v/>
      </c>
      <c r="X10" s="18" t="str">
        <f ca="1">IF('＠MFP (LSI name)'!X10="","",IF(COUNTIF('＠MFP (LSI name)'!X10,"Serial*")+COUNTIF('＠MFP (LSI name)'!X10,"Analog*")&gt;0,'＠MFP (LSI name)'!X10,OFFSET('＠グループ、表示名'!$H$4,MATCH('＠MFP (LSI name)'!X10,'＠グループ、表示名'!$D$4:$D$250,0)-1,0)))</f>
        <v/>
      </c>
      <c r="Y10" s="18" t="str">
        <f ca="1">IF('＠MFP (LSI name)'!Y10="","",IF(COUNTIF('＠MFP (LSI name)'!Y10,"Serial*")+COUNTIF('＠MFP (LSI name)'!Y10,"Analog*")&gt;0,'＠MFP (LSI name)'!Y10,OFFSET('＠グループ、表示名'!$H$4,MATCH('＠MFP (LSI name)'!Y10,'＠グループ、表示名'!$D$4:$D$250,0)-1,0)))</f>
        <v/>
      </c>
      <c r="Z10" s="18" t="str">
        <f ca="1">IF('＠MFP (LSI name)'!Z10="","",IF(COUNTIF('＠MFP (LSI name)'!Z10,"Serial*")+COUNTIF('＠MFP (LSI name)'!Z10,"Analog*")&gt;0,'＠MFP (LSI name)'!Z10,OFFSET('＠グループ、表示名'!$H$4,MATCH('＠MFP (LSI name)'!Z10,'＠グループ、表示名'!$D$4:$D$250,0)-1,0)))</f>
        <v/>
      </c>
      <c r="AA10" s="69" t="str">
        <f ca="1">IF('＠MFP (LSI name)'!AA10="","",IF(COUNTIF('＠MFP (LSI name)'!AA10,"Serial*")+COUNTIF('＠MFP (LSI name)'!AA10,"Analog*")&gt;0,'＠MFP (LSI name)'!AA10,OFFSET('＠グループ、表示名'!$H$4,MATCH('＠MFP (LSI name)'!AA10,'＠グループ、表示名'!$D$4:$D$250,0)-1,0)))</f>
        <v/>
      </c>
      <c r="AB10" s="18" t="str">
        <f ca="1">IF('＠MFP (LSI name)'!AB10="","",IF(COUNTIF('＠MFP (LSI name)'!AB10,"Serial*")+COUNTIF('＠MFP (LSI name)'!AB10,"Analog*")&gt;0,'＠MFP (LSI name)'!AB10,OFFSET('＠グループ、表示名'!$H$4,MATCH('＠MFP (LSI name)'!AB10,'＠グループ、表示名'!$D$4:$D$250,0)-1,0)))</f>
        <v/>
      </c>
      <c r="AC10" s="18" t="str">
        <f ca="1">IF('＠MFP (LSI name)'!AC10="","",IF(COUNTIF('＠MFP (LSI name)'!AC10,"Serial*")+COUNTIF('＠MFP (LSI name)'!AC10,"Analog*")&gt;0,'＠MFP (LSI name)'!AC10,OFFSET('＠グループ、表示名'!$H$4,MATCH('＠MFP (LSI name)'!AC10,'＠グループ、表示名'!$D$4:$D$250,0)-1,0)))</f>
        <v/>
      </c>
      <c r="AD10" s="18" t="str">
        <f ca="1">IF('＠MFP (LSI name)'!AD10="","",IF(COUNTIF('＠MFP (LSI name)'!AD10,"Serial*")+COUNTIF('＠MFP (LSI name)'!AD10,"Analog*")&gt;0,'＠MFP (LSI name)'!AD10,OFFSET('＠グループ、表示名'!$H$4,MATCH('＠MFP (LSI name)'!AD10,'＠グループ、表示名'!$D$4:$D$250,0)-1,0)))</f>
        <v/>
      </c>
      <c r="AE10" s="18" t="str">
        <f ca="1">IF('＠MFP (LSI name)'!AE10="","",IF(COUNTIF('＠MFP (LSI name)'!AE10,"Serial*")+COUNTIF('＠MFP (LSI name)'!AE10,"Analog*")&gt;0,'＠MFP (LSI name)'!AE10,OFFSET('＠グループ、表示名'!$H$4,MATCH('＠MFP (LSI name)'!AE10,'＠グループ、表示名'!$D$4:$D$250,0)-1,0)))</f>
        <v/>
      </c>
      <c r="AF10" s="69" t="str">
        <f ca="1">IF('＠MFP (LSI name)'!AF10="","",IF(COUNTIF('＠MFP (LSI name)'!AF10,"Serial*")+COUNTIF('＠MFP (LSI name)'!AF10,"Analog*")&gt;0,'＠MFP (LSI name)'!AF10,OFFSET('＠グループ、表示名'!$H$4,MATCH('＠MFP (LSI name)'!AF10,'＠グループ、表示名'!$D$4:$D$250,0)-1,0)))</f>
        <v/>
      </c>
      <c r="AG10" s="18" t="str">
        <f ca="1">IF('＠MFP (LSI name)'!AG10="","",IF(COUNTIF('＠MFP (LSI name)'!AG10,"Serial*")+COUNTIF('＠MFP (LSI name)'!AG10,"Analog*")&gt;0,'＠MFP (LSI name)'!AG10,OFFSET('＠グループ、表示名'!$H$4,MATCH('＠MFP (LSI name)'!AG10,'＠グループ、表示名'!$D$4:$D$250,0)-1,0)))</f>
        <v/>
      </c>
      <c r="AH10" s="18" t="str">
        <f ca="1">IF('＠MFP (LSI name)'!AH10="","",IF(COUNTIF('＠MFP (LSI name)'!AH10,"Serial*")+COUNTIF('＠MFP (LSI name)'!AH10,"Analog*")&gt;0,'＠MFP (LSI name)'!AH10,OFFSET('＠グループ、表示名'!$H$4,MATCH('＠MFP (LSI name)'!AH10,'＠グループ、表示名'!$D$4:$D$250,0)-1,0)))</f>
        <v/>
      </c>
      <c r="AI10" s="18" t="str">
        <f ca="1">IF('＠MFP (LSI name)'!AI10="","",IF(COUNTIF('＠MFP (LSI name)'!AI10,"Serial*")+COUNTIF('＠MFP (LSI name)'!AI10,"Analog*")&gt;0,'＠MFP (LSI name)'!AI10,OFFSET('＠グループ、表示名'!$H$4,MATCH('＠MFP (LSI name)'!AI10,'＠グループ、表示名'!$D$4:$D$250,0)-1,0)))</f>
        <v/>
      </c>
      <c r="AJ10" s="18" t="str">
        <f ca="1">IF('＠MFP (LSI name)'!AJ10="","",IF(COUNTIF('＠MFP (LSI name)'!AJ10,"Serial*")+COUNTIF('＠MFP (LSI name)'!AJ10,"Analog*")&gt;0,'＠MFP (LSI name)'!AJ10,OFFSET('＠グループ、表示名'!$H$4,MATCH('＠MFP (LSI name)'!AJ10,'＠グループ、表示名'!$D$4:$D$250,0)-1,0)))</f>
        <v/>
      </c>
      <c r="AK10" s="69" t="str">
        <f ca="1">IF('＠MFP (LSI name)'!AK10="","",IF(COUNTIF('＠MFP (LSI name)'!AK10,"Serial*")+COUNTIF('＠MFP (LSI name)'!AK10,"Analog*")&gt;0,'＠MFP (LSI name)'!AK10,OFFSET('＠グループ、表示名'!$H$4,MATCH('＠MFP (LSI name)'!AK10,'＠グループ、表示名'!$D$4:$D$250,0)-1,0)))</f>
        <v/>
      </c>
      <c r="AL10" s="9" t="str">
        <f t="shared" si="0"/>
        <v>IOPEMD[15]</v>
      </c>
      <c r="AM10" s="9" t="str">
        <f t="shared" si="1"/>
        <v>IOPEMD[14]</v>
      </c>
      <c r="AN10" s="9" t="str">
        <f t="shared" si="2"/>
        <v>IOPEMD[13]</v>
      </c>
      <c r="AO10" s="9" t="str">
        <f t="shared" si="3"/>
        <v>IOPEMD[12]</v>
      </c>
      <c r="AP10" s="86"/>
    </row>
    <row r="11" spans="1:42" ht="16.149999999999999">
      <c r="A11" s="60">
        <v>10</v>
      </c>
      <c r="B11" s="87">
        <v>10</v>
      </c>
      <c r="C11" s="87">
        <v>9</v>
      </c>
      <c r="D11" s="87">
        <v>6</v>
      </c>
      <c r="E11" s="87">
        <v>4</v>
      </c>
      <c r="F11" s="87">
        <v>10</v>
      </c>
      <c r="G11" s="87">
        <v>9</v>
      </c>
      <c r="H11" s="87">
        <v>6</v>
      </c>
      <c r="I11" s="45" t="s">
        <v>319</v>
      </c>
      <c r="J11" s="45" t="s">
        <v>489</v>
      </c>
      <c r="K11" s="69" t="str">
        <f ca="1">IF('＠MFP (LSI name)'!K11="","",IF(COUNTIF('＠MFP (LSI name)'!K11,"Serial*")+COUNTIF('＠MFP (LSI name)'!K11,"Analog*")&gt;0,'＠MFP (LSI name)'!K11,OFFSET('＠グループ、表示名'!$H$4,MATCH('＠MFP (LSI name)'!K11,'＠グループ、表示名'!$D$4:$D$250,0)-1,0)))</f>
        <v/>
      </c>
      <c r="L11" s="69" t="str">
        <f ca="1">IF('＠MFP (LSI name)'!L11="","",IF(COUNTIF('＠MFP (LSI name)'!L11,"Serial*")+COUNTIF('＠MFP (LSI name)'!L11,"Analog*")&gt;0,'＠MFP (LSI name)'!L11,OFFSET('＠グループ、表示名'!$H$4,MATCH('＠MFP (LSI name)'!L11,'＠グループ、表示名'!$D$4:$D$250,0)-1,0)))</f>
        <v/>
      </c>
      <c r="M11" s="69" t="str">
        <f ca="1">IF('＠MFP (LSI name)'!M11="","",IF(COUNTIF('＠MFP (LSI name)'!M11,"Serial*")+COUNTIF('＠MFP (LSI name)'!M11,"Analog*")&gt;0,'＠MFP (LSI name)'!M11,OFFSET('＠グループ、表示名'!$H$4,MATCH('＠MFP (LSI name)'!M11,'＠グループ、表示名'!$D$4:$D$250,0)-1,0)))</f>
        <v/>
      </c>
      <c r="N11" s="69" t="str">
        <f ca="1">IF('＠MFP (LSI name)'!N11="","",IF(COUNTIF('＠MFP (LSI name)'!N11,"Serial*")+COUNTIF('＠MFP (LSI name)'!N11,"Analog*")&gt;0,'＠MFP (LSI name)'!N11,OFFSET('＠グループ、表示名'!$H$4,MATCH('＠MFP (LSI name)'!N11,'＠グループ、表示名'!$D$4:$D$250,0)-1,0)))</f>
        <v/>
      </c>
      <c r="O11" s="69" t="str">
        <f ca="1">IF('＠MFP (LSI name)'!O11="","",IF(COUNTIF('＠MFP (LSI name)'!O11,"Serial*")+COUNTIF('＠MFP (LSI name)'!O11,"Analog*")&gt;0,'＠MFP (LSI name)'!O11,OFFSET('＠グループ、表示名'!$H$4,MATCH('＠MFP (LSI name)'!O11,'＠グループ、表示名'!$D$4:$D$250,0)-1,0)))</f>
        <v/>
      </c>
      <c r="P11" s="69" t="str">
        <f ca="1">IF('＠MFP (LSI name)'!P11="","",IF(COUNTIF('＠MFP (LSI name)'!P11,"Serial*")+COUNTIF('＠MFP (LSI name)'!P11,"Analog*")&gt;0,'＠MFP (LSI name)'!P11,OFFSET('＠グループ、表示名'!$H$4,MATCH('＠MFP (LSI name)'!P11,'＠グループ、表示名'!$D$4:$D$250,0)-1,0)))</f>
        <v/>
      </c>
      <c r="Q11" s="69" t="str">
        <f ca="1">IF('＠MFP (LSI name)'!Q11="","",IF(COUNTIF('＠MFP (LSI name)'!Q11,"Serial*")+COUNTIF('＠MFP (LSI name)'!Q11,"Analog*")&gt;0,'＠MFP (LSI name)'!Q11,OFFSET('＠グループ、表示名'!$H$4,MATCH('＠MFP (LSI name)'!Q11,'＠グループ、表示名'!$D$4:$D$250,0)-1,0)))</f>
        <v/>
      </c>
      <c r="R11" s="69" t="str">
        <f ca="1">IF('＠MFP (LSI name)'!R11="","",IF(COUNTIF('＠MFP (LSI name)'!R11,"Serial*")+COUNTIF('＠MFP (LSI name)'!R11,"Analog*")&gt;0,'＠MFP (LSI name)'!R11,OFFSET('＠グループ、表示名'!$H$4,MATCH('＠MFP (LSI name)'!R11,'＠グループ、表示名'!$D$4:$D$250,0)-1,0)))</f>
        <v/>
      </c>
      <c r="S11" s="69" t="str">
        <f ca="1">IF('＠MFP (LSI name)'!S11="","",IF(COUNTIF('＠MFP (LSI name)'!S11,"Serial*")+COUNTIF('＠MFP (LSI name)'!S11,"Analog*")&gt;0,'＠MFP (LSI name)'!S11,OFFSET('＠グループ、表示名'!$H$4,MATCH('＠MFP (LSI name)'!S11,'＠グループ、表示名'!$D$4:$D$250,0)-1,0)))</f>
        <v/>
      </c>
      <c r="T11" s="69" t="str">
        <f ca="1">IF('＠MFP (LSI name)'!T11="","",IF(COUNTIF('＠MFP (LSI name)'!T11,"Serial*")+COUNTIF('＠MFP (LSI name)'!T11,"Analog*")&gt;0,'＠MFP (LSI name)'!T11,OFFSET('＠グループ、表示名'!$H$4,MATCH('＠MFP (LSI name)'!T11,'＠グループ、表示名'!$D$4:$D$250,0)-1,0)))</f>
        <v/>
      </c>
      <c r="U11" s="69" t="str">
        <f ca="1">IF('＠MFP (LSI name)'!U11="","",IF(COUNTIF('＠MFP (LSI name)'!U11,"Serial*")+COUNTIF('＠MFP (LSI name)'!U11,"Analog*")&gt;0,'＠MFP (LSI name)'!U11,OFFSET('＠グループ、表示名'!$H$4,MATCH('＠MFP (LSI name)'!U11,'＠グループ、表示名'!$D$4:$D$250,0)-1,0)))</f>
        <v/>
      </c>
      <c r="V11" s="18" t="str">
        <f ca="1">IF('＠MFP (LSI name)'!V11="","",IF(COUNTIF('＠MFP (LSI name)'!V11,"Serial*")+COUNTIF('＠MFP (LSI name)'!V11,"Analog*")&gt;0,'＠MFP (LSI name)'!V11,OFFSET('＠グループ、表示名'!$H$4,MATCH('＠MFP (LSI name)'!V11,'＠グループ、表示名'!$D$4:$D$250,0)-1,0)))</f>
        <v/>
      </c>
      <c r="W11" s="18" t="str">
        <f ca="1">IF('＠MFP (LSI name)'!W11="","",IF(COUNTIF('＠MFP (LSI name)'!W11,"Serial*")+COUNTIF('＠MFP (LSI name)'!W11,"Analog*")&gt;0,'＠MFP (LSI name)'!W11,OFFSET('＠グループ、表示名'!$H$4,MATCH('＠MFP (LSI name)'!W11,'＠グループ、表示名'!$D$4:$D$250,0)-1,0)))</f>
        <v/>
      </c>
      <c r="X11" s="18" t="str">
        <f ca="1">IF('＠MFP (LSI name)'!X11="","",IF(COUNTIF('＠MFP (LSI name)'!X11,"Serial*")+COUNTIF('＠MFP (LSI name)'!X11,"Analog*")&gt;0,'＠MFP (LSI name)'!X11,OFFSET('＠グループ、表示名'!$H$4,MATCH('＠MFP (LSI name)'!X11,'＠グループ、表示名'!$D$4:$D$250,0)-1,0)))</f>
        <v/>
      </c>
      <c r="Y11" s="18" t="str">
        <f ca="1">IF('＠MFP (LSI name)'!Y11="","",IF(COUNTIF('＠MFP (LSI name)'!Y11,"Serial*")+COUNTIF('＠MFP (LSI name)'!Y11,"Analog*")&gt;0,'＠MFP (LSI name)'!Y11,OFFSET('＠グループ、表示名'!$H$4,MATCH('＠MFP (LSI name)'!Y11,'＠グループ、表示名'!$D$4:$D$250,0)-1,0)))</f>
        <v/>
      </c>
      <c r="Z11" s="18" t="str">
        <f ca="1">IF('＠MFP (LSI name)'!Z11="","",IF(COUNTIF('＠MFP (LSI name)'!Z11,"Serial*")+COUNTIF('＠MFP (LSI name)'!Z11,"Analog*")&gt;0,'＠MFP (LSI name)'!Z11,OFFSET('＠グループ、表示名'!$H$4,MATCH('＠MFP (LSI name)'!Z11,'＠グループ、表示名'!$D$4:$D$250,0)-1,0)))</f>
        <v/>
      </c>
      <c r="AA11" s="69" t="str">
        <f ca="1">IF('＠MFP (LSI name)'!AA11="","",IF(COUNTIF('＠MFP (LSI name)'!AA11,"Serial*")+COUNTIF('＠MFP (LSI name)'!AA11,"Analog*")&gt;0,'＠MFP (LSI name)'!AA11,OFFSET('＠グループ、表示名'!$H$4,MATCH('＠MFP (LSI name)'!AA11,'＠グループ、表示名'!$D$4:$D$250,0)-1,0)))</f>
        <v/>
      </c>
      <c r="AB11" s="18" t="str">
        <f ca="1">IF('＠MFP (LSI name)'!AB11="","",IF(COUNTIF('＠MFP (LSI name)'!AB11,"Serial*")+COUNTIF('＠MFP (LSI name)'!AB11,"Analog*")&gt;0,'＠MFP (LSI name)'!AB11,OFFSET('＠グループ、表示名'!$H$4,MATCH('＠MFP (LSI name)'!AB11,'＠グループ、表示名'!$D$4:$D$250,0)-1,0)))</f>
        <v/>
      </c>
      <c r="AC11" s="18" t="str">
        <f ca="1">IF('＠MFP (LSI name)'!AC11="","",IF(COUNTIF('＠MFP (LSI name)'!AC11,"Serial*")+COUNTIF('＠MFP (LSI name)'!AC11,"Analog*")&gt;0,'＠MFP (LSI name)'!AC11,OFFSET('＠グループ、表示名'!$H$4,MATCH('＠MFP (LSI name)'!AC11,'＠グループ、表示名'!$D$4:$D$250,0)-1,0)))</f>
        <v/>
      </c>
      <c r="AD11" s="18" t="str">
        <f ca="1">IF('＠MFP (LSI name)'!AD11="","",IF(COUNTIF('＠MFP (LSI name)'!AD11,"Serial*")+COUNTIF('＠MFP (LSI name)'!AD11,"Analog*")&gt;0,'＠MFP (LSI name)'!AD11,OFFSET('＠グループ、表示名'!$H$4,MATCH('＠MFP (LSI name)'!AD11,'＠グループ、表示名'!$D$4:$D$250,0)-1,0)))</f>
        <v/>
      </c>
      <c r="AE11" s="18" t="str">
        <f ca="1">IF('＠MFP (LSI name)'!AE11="","",IF(COUNTIF('＠MFP (LSI name)'!AE11,"Serial*")+COUNTIF('＠MFP (LSI name)'!AE11,"Analog*")&gt;0,'＠MFP (LSI name)'!AE11,OFFSET('＠グループ、表示名'!$H$4,MATCH('＠MFP (LSI name)'!AE11,'＠グループ、表示名'!$D$4:$D$250,0)-1,0)))</f>
        <v/>
      </c>
      <c r="AF11" s="69" t="str">
        <f ca="1">IF('＠MFP (LSI name)'!AF11="","",IF(COUNTIF('＠MFP (LSI name)'!AF11,"Serial*")+COUNTIF('＠MFP (LSI name)'!AF11,"Analog*")&gt;0,'＠MFP (LSI name)'!AF11,OFFSET('＠グループ、表示名'!$H$4,MATCH('＠MFP (LSI name)'!AF11,'＠グループ、表示名'!$D$4:$D$250,0)-1,0)))</f>
        <v/>
      </c>
      <c r="AG11" s="18" t="str">
        <f ca="1">IF('＠MFP (LSI name)'!AG11="","",IF(COUNTIF('＠MFP (LSI name)'!AG11,"Serial*")+COUNTIF('＠MFP (LSI name)'!AG11,"Analog*")&gt;0,'＠MFP (LSI name)'!AG11,OFFSET('＠グループ、表示名'!$H$4,MATCH('＠MFP (LSI name)'!AG11,'＠グループ、表示名'!$D$4:$D$250,0)-1,0)))</f>
        <v/>
      </c>
      <c r="AH11" s="18" t="str">
        <f ca="1">IF('＠MFP (LSI name)'!AH11="","",IF(COUNTIF('＠MFP (LSI name)'!AH11,"Serial*")+COUNTIF('＠MFP (LSI name)'!AH11,"Analog*")&gt;0,'＠MFP (LSI name)'!AH11,OFFSET('＠グループ、表示名'!$H$4,MATCH('＠MFP (LSI name)'!AH11,'＠グループ、表示名'!$D$4:$D$250,0)-1,0)))</f>
        <v/>
      </c>
      <c r="AI11" s="18" t="str">
        <f ca="1">IF('＠MFP (LSI name)'!AI11="","",IF(COUNTIF('＠MFP (LSI name)'!AI11,"Serial*")+COUNTIF('＠MFP (LSI name)'!AI11,"Analog*")&gt;0,'＠MFP (LSI name)'!AI11,OFFSET('＠グループ、表示名'!$H$4,MATCH('＠MFP (LSI name)'!AI11,'＠グループ、表示名'!$D$4:$D$250,0)-1,0)))</f>
        <v/>
      </c>
      <c r="AJ11" s="18" t="str">
        <f ca="1">IF('＠MFP (LSI name)'!AJ11="","",IF(COUNTIF('＠MFP (LSI name)'!AJ11,"Serial*")+COUNTIF('＠MFP (LSI name)'!AJ11,"Analog*")&gt;0,'＠MFP (LSI name)'!AJ11,OFFSET('＠グループ、表示名'!$H$4,MATCH('＠MFP (LSI name)'!AJ11,'＠グループ、表示名'!$D$4:$D$250,0)-1,0)))</f>
        <v/>
      </c>
      <c r="AK11" s="69" t="str">
        <f ca="1">IF('＠MFP (LSI name)'!AK11="","",IF(COUNTIF('＠MFP (LSI name)'!AK11,"Serial*")+COUNTIF('＠MFP (LSI name)'!AK11,"Analog*")&gt;0,'＠MFP (LSI name)'!AK11,OFFSET('＠グループ、表示名'!$H$4,MATCH('＠MFP (LSI name)'!AK11,'＠グループ、表示名'!$D$4:$D$250,0)-1,0)))</f>
        <v/>
      </c>
      <c r="AL11" s="9" t="str">
        <f t="shared" si="0"/>
        <v/>
      </c>
      <c r="AM11" s="9" t="str">
        <f t="shared" si="1"/>
        <v/>
      </c>
      <c r="AN11" s="9" t="str">
        <f t="shared" si="2"/>
        <v/>
      </c>
      <c r="AO11" s="9" t="str">
        <f t="shared" si="3"/>
        <v/>
      </c>
      <c r="AP11" s="86"/>
    </row>
    <row r="12" spans="1:42" ht="16.149999999999999">
      <c r="A12" s="60">
        <v>11</v>
      </c>
      <c r="B12" s="7">
        <v>11</v>
      </c>
      <c r="C12" s="7">
        <v>10</v>
      </c>
      <c r="D12" s="87">
        <v>7</v>
      </c>
      <c r="E12" s="87">
        <v>5</v>
      </c>
      <c r="F12" s="7">
        <v>11</v>
      </c>
      <c r="G12" s="7">
        <v>10</v>
      </c>
      <c r="H12" s="87">
        <v>7</v>
      </c>
      <c r="I12" s="45" t="s">
        <v>490</v>
      </c>
      <c r="J12" s="45" t="s">
        <v>490</v>
      </c>
      <c r="K12" s="69" t="str">
        <f ca="1">IF('＠MFP (LSI name)'!K12="","",IF(COUNTIF('＠MFP (LSI name)'!K12,"Serial*")+COUNTIF('＠MFP (LSI name)'!K12,"Analog*")&gt;0,'＠MFP (LSI name)'!K12,OFFSET('＠グループ、表示名'!$H$4,MATCH('＠MFP (LSI name)'!K12,'＠グループ、表示名'!$D$4:$D$250,0)-1,0)))</f>
        <v/>
      </c>
      <c r="L12" s="69" t="str">
        <f ca="1">IF('＠MFP (LSI name)'!L12="","",IF(COUNTIF('＠MFP (LSI name)'!L12,"Serial*")+COUNTIF('＠MFP (LSI name)'!L12,"Analog*")&gt;0,'＠MFP (LSI name)'!L12,OFFSET('＠グループ、表示名'!$H$4,MATCH('＠MFP (LSI name)'!L12,'＠グループ、表示名'!$D$4:$D$250,0)-1,0)))</f>
        <v/>
      </c>
      <c r="M12" s="69" t="str">
        <f ca="1">IF('＠MFP (LSI name)'!M12="","",IF(COUNTIF('＠MFP (LSI name)'!M12,"Serial*")+COUNTIF('＠MFP (LSI name)'!M12,"Analog*")&gt;0,'＠MFP (LSI name)'!M12,OFFSET('＠グループ、表示名'!$H$4,MATCH('＠MFP (LSI name)'!M12,'＠グループ、表示名'!$D$4:$D$250,0)-1,0)))</f>
        <v/>
      </c>
      <c r="N12" s="69" t="str">
        <f ca="1">IF('＠MFP (LSI name)'!N12="","",IF(COUNTIF('＠MFP (LSI name)'!N12,"Serial*")+COUNTIF('＠MFP (LSI name)'!N12,"Analog*")&gt;0,'＠MFP (LSI name)'!N12,OFFSET('＠グループ、表示名'!$H$4,MATCH('＠MFP (LSI name)'!N12,'＠グループ、表示名'!$D$4:$D$250,0)-1,0)))</f>
        <v/>
      </c>
      <c r="O12" s="69" t="str">
        <f ca="1">IF('＠MFP (LSI name)'!O12="","",IF(COUNTIF('＠MFP (LSI name)'!O12,"Serial*")+COUNTIF('＠MFP (LSI name)'!O12,"Analog*")&gt;0,'＠MFP (LSI name)'!O12,OFFSET('＠グループ、表示名'!$H$4,MATCH('＠MFP (LSI name)'!O12,'＠グループ、表示名'!$D$4:$D$250,0)-1,0)))</f>
        <v/>
      </c>
      <c r="P12" s="69" t="str">
        <f ca="1">IF('＠MFP (LSI name)'!P12="","",IF(COUNTIF('＠MFP (LSI name)'!P12,"Serial*")+COUNTIF('＠MFP (LSI name)'!P12,"Analog*")&gt;0,'＠MFP (LSI name)'!P12,OFFSET('＠グループ、表示名'!$H$4,MATCH('＠MFP (LSI name)'!P12,'＠グループ、表示名'!$D$4:$D$250,0)-1,0)))</f>
        <v/>
      </c>
      <c r="Q12" s="69" t="str">
        <f ca="1">IF('＠MFP (LSI name)'!Q12="","",IF(COUNTIF('＠MFP (LSI name)'!Q12,"Serial*")+COUNTIF('＠MFP (LSI name)'!Q12,"Analog*")&gt;0,'＠MFP (LSI name)'!Q12,OFFSET('＠グループ、表示名'!$H$4,MATCH('＠MFP (LSI name)'!Q12,'＠グループ、表示名'!$D$4:$D$250,0)-1,0)))</f>
        <v/>
      </c>
      <c r="R12" s="69" t="str">
        <f ca="1">IF('＠MFP (LSI name)'!R12="","",IF(COUNTIF('＠MFP (LSI name)'!R12,"Serial*")+COUNTIF('＠MFP (LSI name)'!R12,"Analog*")&gt;0,'＠MFP (LSI name)'!R12,OFFSET('＠グループ、表示名'!$H$4,MATCH('＠MFP (LSI name)'!R12,'＠グループ、表示名'!$D$4:$D$250,0)-1,0)))</f>
        <v/>
      </c>
      <c r="S12" s="69" t="str">
        <f ca="1">IF('＠MFP (LSI name)'!S12="","",IF(COUNTIF('＠MFP (LSI name)'!S12,"Serial*")+COUNTIF('＠MFP (LSI name)'!S12,"Analog*")&gt;0,'＠MFP (LSI name)'!S12,OFFSET('＠グループ、表示名'!$H$4,MATCH('＠MFP (LSI name)'!S12,'＠グループ、表示名'!$D$4:$D$250,0)-1,0)))</f>
        <v/>
      </c>
      <c r="T12" s="69" t="str">
        <f ca="1">IF('＠MFP (LSI name)'!T12="","",IF(COUNTIF('＠MFP (LSI name)'!T12,"Serial*")+COUNTIF('＠MFP (LSI name)'!T12,"Analog*")&gt;0,'＠MFP (LSI name)'!T12,OFFSET('＠グループ、表示名'!$H$4,MATCH('＠MFP (LSI name)'!T12,'＠グループ、表示名'!$D$4:$D$250,0)-1,0)))</f>
        <v/>
      </c>
      <c r="U12" s="69" t="str">
        <f ca="1">IF('＠MFP (LSI name)'!U12="","",IF(COUNTIF('＠MFP (LSI name)'!U12,"Serial*")+COUNTIF('＠MFP (LSI name)'!U12,"Analog*")&gt;0,'＠MFP (LSI name)'!U12,OFFSET('＠グループ、表示名'!$H$4,MATCH('＠MFP (LSI name)'!U12,'＠グループ、表示名'!$D$4:$D$250,0)-1,0)))</f>
        <v/>
      </c>
      <c r="V12" s="18" t="str">
        <f ca="1">IF('＠MFP (LSI name)'!V12="","",IF(COUNTIF('＠MFP (LSI name)'!V12,"Serial*")+COUNTIF('＠MFP (LSI name)'!V12,"Analog*")&gt;0,'＠MFP (LSI name)'!V12,OFFSET('＠グループ、表示名'!$H$4,MATCH('＠MFP (LSI name)'!V12,'＠グループ、表示名'!$D$4:$D$250,0)-1,0)))</f>
        <v/>
      </c>
      <c r="W12" s="18" t="str">
        <f ca="1">IF('＠MFP (LSI name)'!W12="","",IF(COUNTIF('＠MFP (LSI name)'!W12,"Serial*")+COUNTIF('＠MFP (LSI name)'!W12,"Analog*")&gt;0,'＠MFP (LSI name)'!W12,OFFSET('＠グループ、表示名'!$H$4,MATCH('＠MFP (LSI name)'!W12,'＠グループ、表示名'!$D$4:$D$250,0)-1,0)))</f>
        <v/>
      </c>
      <c r="X12" s="18" t="str">
        <f ca="1">IF('＠MFP (LSI name)'!X12="","",IF(COUNTIF('＠MFP (LSI name)'!X12,"Serial*")+COUNTIF('＠MFP (LSI name)'!X12,"Analog*")&gt;0,'＠MFP (LSI name)'!X12,OFFSET('＠グループ、表示名'!$H$4,MATCH('＠MFP (LSI name)'!X12,'＠グループ、表示名'!$D$4:$D$250,0)-1,0)))</f>
        <v/>
      </c>
      <c r="Y12" s="18" t="str">
        <f ca="1">IF('＠MFP (LSI name)'!Y12="","",IF(COUNTIF('＠MFP (LSI name)'!Y12,"Serial*")+COUNTIF('＠MFP (LSI name)'!Y12,"Analog*")&gt;0,'＠MFP (LSI name)'!Y12,OFFSET('＠グループ、表示名'!$H$4,MATCH('＠MFP (LSI name)'!Y12,'＠グループ、表示名'!$D$4:$D$250,0)-1,0)))</f>
        <v/>
      </c>
      <c r="Z12" s="18" t="str">
        <f ca="1">IF('＠MFP (LSI name)'!Z12="","",IF(COUNTIF('＠MFP (LSI name)'!Z12,"Serial*")+COUNTIF('＠MFP (LSI name)'!Z12,"Analog*")&gt;0,'＠MFP (LSI name)'!Z12,OFFSET('＠グループ、表示名'!$H$4,MATCH('＠MFP (LSI name)'!Z12,'＠グループ、表示名'!$D$4:$D$250,0)-1,0)))</f>
        <v/>
      </c>
      <c r="AA12" s="69" t="str">
        <f ca="1">IF('＠MFP (LSI name)'!AA12="","",IF(COUNTIF('＠MFP (LSI name)'!AA12,"Serial*")+COUNTIF('＠MFP (LSI name)'!AA12,"Analog*")&gt;0,'＠MFP (LSI name)'!AA12,OFFSET('＠グループ、表示名'!$H$4,MATCH('＠MFP (LSI name)'!AA12,'＠グループ、表示名'!$D$4:$D$250,0)-1,0)))</f>
        <v/>
      </c>
      <c r="AB12" s="18" t="str">
        <f ca="1">IF('＠MFP (LSI name)'!AB12="","",IF(COUNTIF('＠MFP (LSI name)'!AB12,"Serial*")+COUNTIF('＠MFP (LSI name)'!AB12,"Analog*")&gt;0,'＠MFP (LSI name)'!AB12,OFFSET('＠グループ、表示名'!$H$4,MATCH('＠MFP (LSI name)'!AB12,'＠グループ、表示名'!$D$4:$D$250,0)-1,0)))</f>
        <v/>
      </c>
      <c r="AC12" s="18" t="str">
        <f ca="1">IF('＠MFP (LSI name)'!AC12="","",IF(COUNTIF('＠MFP (LSI name)'!AC12,"Serial*")+COUNTIF('＠MFP (LSI name)'!AC12,"Analog*")&gt;0,'＠MFP (LSI name)'!AC12,OFFSET('＠グループ、表示名'!$H$4,MATCH('＠MFP (LSI name)'!AC12,'＠グループ、表示名'!$D$4:$D$250,0)-1,0)))</f>
        <v/>
      </c>
      <c r="AD12" s="18" t="str">
        <f ca="1">IF('＠MFP (LSI name)'!AD12="","",IF(COUNTIF('＠MFP (LSI name)'!AD12,"Serial*")+COUNTIF('＠MFP (LSI name)'!AD12,"Analog*")&gt;0,'＠MFP (LSI name)'!AD12,OFFSET('＠グループ、表示名'!$H$4,MATCH('＠MFP (LSI name)'!AD12,'＠グループ、表示名'!$D$4:$D$250,0)-1,0)))</f>
        <v/>
      </c>
      <c r="AE12" s="18" t="str">
        <f ca="1">IF('＠MFP (LSI name)'!AE12="","",IF(COUNTIF('＠MFP (LSI name)'!AE12,"Serial*")+COUNTIF('＠MFP (LSI name)'!AE12,"Analog*")&gt;0,'＠MFP (LSI name)'!AE12,OFFSET('＠グループ、表示名'!$H$4,MATCH('＠MFP (LSI name)'!AE12,'＠グループ、表示名'!$D$4:$D$250,0)-1,0)))</f>
        <v/>
      </c>
      <c r="AF12" s="69" t="str">
        <f ca="1">IF('＠MFP (LSI name)'!AF12="","",IF(COUNTIF('＠MFP (LSI name)'!AF12,"Serial*")+COUNTIF('＠MFP (LSI name)'!AF12,"Analog*")&gt;0,'＠MFP (LSI name)'!AF12,OFFSET('＠グループ、表示名'!$H$4,MATCH('＠MFP (LSI name)'!AF12,'＠グループ、表示名'!$D$4:$D$250,0)-1,0)))</f>
        <v/>
      </c>
      <c r="AG12" s="18" t="str">
        <f ca="1">IF('＠MFP (LSI name)'!AG12="","",IF(COUNTIF('＠MFP (LSI name)'!AG12,"Serial*")+COUNTIF('＠MFP (LSI name)'!AG12,"Analog*")&gt;0,'＠MFP (LSI name)'!AG12,OFFSET('＠グループ、表示名'!$H$4,MATCH('＠MFP (LSI name)'!AG12,'＠グループ、表示名'!$D$4:$D$250,0)-1,0)))</f>
        <v/>
      </c>
      <c r="AH12" s="18" t="str">
        <f ca="1">IF('＠MFP (LSI name)'!AH12="","",IF(COUNTIF('＠MFP (LSI name)'!AH12,"Serial*")+COUNTIF('＠MFP (LSI name)'!AH12,"Analog*")&gt;0,'＠MFP (LSI name)'!AH12,OFFSET('＠グループ、表示名'!$H$4,MATCH('＠MFP (LSI name)'!AH12,'＠グループ、表示名'!$D$4:$D$250,0)-1,0)))</f>
        <v/>
      </c>
      <c r="AI12" s="18" t="str">
        <f ca="1">IF('＠MFP (LSI name)'!AI12="","",IF(COUNTIF('＠MFP (LSI name)'!AI12,"Serial*")+COUNTIF('＠MFP (LSI name)'!AI12,"Analog*")&gt;0,'＠MFP (LSI name)'!AI12,OFFSET('＠グループ、表示名'!$H$4,MATCH('＠MFP (LSI name)'!AI12,'＠グループ、表示名'!$D$4:$D$250,0)-1,0)))</f>
        <v/>
      </c>
      <c r="AJ12" s="18" t="str">
        <f ca="1">IF('＠MFP (LSI name)'!AJ12="","",IF(COUNTIF('＠MFP (LSI name)'!AJ12,"Serial*")+COUNTIF('＠MFP (LSI name)'!AJ12,"Analog*")&gt;0,'＠MFP (LSI name)'!AJ12,OFFSET('＠グループ、表示名'!$H$4,MATCH('＠MFP (LSI name)'!AJ12,'＠グループ、表示名'!$D$4:$D$250,0)-1,0)))</f>
        <v/>
      </c>
      <c r="AK12" s="69" t="str">
        <f ca="1">IF('＠MFP (LSI name)'!AK12="","",IF(COUNTIF('＠MFP (LSI name)'!AK12,"Serial*")+COUNTIF('＠MFP (LSI name)'!AK12,"Analog*")&gt;0,'＠MFP (LSI name)'!AK12,OFFSET('＠グループ、表示名'!$H$4,MATCH('＠MFP (LSI name)'!AK12,'＠グループ、表示名'!$D$4:$D$250,0)-1,0)))</f>
        <v/>
      </c>
      <c r="AL12" s="9" t="str">
        <f>IF(COUNTIF(J12,"P*")&gt;0,"IO"&amp;LEFT(J12,2)&amp;"MD["&amp;RIGHT(J12,1)*4+3&amp;"]","")</f>
        <v/>
      </c>
      <c r="AM12" s="9" t="str">
        <f>IF(COUNTIF(J12,"P*")&gt;0,"IO"&amp;LEFT(J12,2)&amp;"MD["&amp;RIGHT(J12,1)*4+2&amp;"]","")</f>
        <v/>
      </c>
      <c r="AN12" s="9" t="str">
        <f>IF(COUNTIF(J12,"P*")&gt;0,"IO"&amp;LEFT(J12,2)&amp;"MD["&amp;RIGHT(J12,1)*4+1&amp;"]","")</f>
        <v/>
      </c>
      <c r="AO12" s="9" t="str">
        <f>IF(COUNTIF(J12,"P*")&gt;0,"IO"&amp;LEFT(J12,2)&amp;"MD["&amp;RIGHT(J12,1)*4&amp;"]","")</f>
        <v/>
      </c>
      <c r="AP12" s="86"/>
    </row>
    <row r="13" spans="1:42" ht="16.149999999999999">
      <c r="A13" s="60">
        <v>12</v>
      </c>
      <c r="B13" s="7">
        <v>12</v>
      </c>
      <c r="C13" s="7">
        <v>11</v>
      </c>
      <c r="D13" s="87">
        <v>8</v>
      </c>
      <c r="E13" s="87">
        <v>6</v>
      </c>
      <c r="F13" s="7">
        <v>12</v>
      </c>
      <c r="G13" s="7">
        <v>11</v>
      </c>
      <c r="H13" s="87">
        <v>8</v>
      </c>
      <c r="I13" s="45" t="s">
        <v>108</v>
      </c>
      <c r="J13" s="45" t="s">
        <v>109</v>
      </c>
      <c r="K13" s="69" t="str">
        <f ca="1">IF('＠MFP (LSI name)'!K13="","",IF(COUNTIF('＠MFP (LSI name)'!K13,"Serial*")+COUNTIF('＠MFP (LSI name)'!K13,"Analog*")&gt;0,'＠MFP (LSI name)'!K13,OFFSET('＠グループ、表示名'!$H$4,MATCH('＠MFP (LSI name)'!K13,'＠グループ、表示名'!$D$4:$D$250,0)-1,0)))</f>
        <v/>
      </c>
      <c r="L13" s="69" t="str">
        <f ca="1">IF('＠MFP (LSI name)'!L13="","",IF(COUNTIF('＠MFP (LSI name)'!L13,"Serial*")+COUNTIF('＠MFP (LSI name)'!L13,"Analog*")&gt;0,'＠MFP (LSI name)'!L13,OFFSET('＠グループ、表示名'!$H$4,MATCH('＠MFP (LSI name)'!L13,'＠グループ、表示名'!$D$4:$D$250,0)-1,0)))</f>
        <v/>
      </c>
      <c r="M13" s="69" t="str">
        <f ca="1">IF('＠MFP (LSI name)'!M13="","",IF(COUNTIF('＠MFP (LSI name)'!M13,"Serial*")+COUNTIF('＠MFP (LSI name)'!M13,"Analog*")&gt;0,'＠MFP (LSI name)'!M13,OFFSET('＠グループ、表示名'!$H$4,MATCH('＠MFP (LSI name)'!M13,'＠グループ、表示名'!$D$4:$D$250,0)-1,0)))</f>
        <v/>
      </c>
      <c r="N13" s="69" t="str">
        <f ca="1">IF('＠MFP (LSI name)'!N13="","",IF(COUNTIF('＠MFP (LSI name)'!N13,"Serial*")+COUNTIF('＠MFP (LSI name)'!N13,"Analog*")&gt;0,'＠MFP (LSI name)'!N13,OFFSET('＠グループ、表示名'!$H$4,MATCH('＠MFP (LSI name)'!N13,'＠グループ、表示名'!$D$4:$D$250,0)-1,0)))</f>
        <v/>
      </c>
      <c r="O13" s="69" t="str">
        <f ca="1">IF('＠MFP (LSI name)'!O13="","",IF(COUNTIF('＠MFP (LSI name)'!O13,"Serial*")+COUNTIF('＠MFP (LSI name)'!O13,"Analog*")&gt;0,'＠MFP (LSI name)'!O13,OFFSET('＠グループ、表示名'!$H$4,MATCH('＠MFP (LSI name)'!O13,'＠グループ、表示名'!$D$4:$D$250,0)-1,0)))</f>
        <v/>
      </c>
      <c r="P13" s="69" t="str">
        <f ca="1">IF('＠MFP (LSI name)'!P13="","",IF(COUNTIF('＠MFP (LSI name)'!P13,"Serial*")+COUNTIF('＠MFP (LSI name)'!P13,"Analog*")&gt;0,'＠MFP (LSI name)'!P13,OFFSET('＠グループ、表示名'!$H$4,MATCH('＠MFP (LSI name)'!P13,'＠グループ、表示名'!$D$4:$D$250,0)-1,0)))</f>
        <v/>
      </c>
      <c r="Q13" s="69" t="str">
        <f ca="1">IF('＠MFP (LSI name)'!Q13="","",IF(COUNTIF('＠MFP (LSI name)'!Q13,"Serial*")+COUNTIF('＠MFP (LSI name)'!Q13,"Analog*")&gt;0,'＠MFP (LSI name)'!Q13,OFFSET('＠グループ、表示名'!$H$4,MATCH('＠MFP (LSI name)'!Q13,'＠グループ、表示名'!$D$4:$D$250,0)-1,0)))</f>
        <v/>
      </c>
      <c r="R13" s="69" t="str">
        <f ca="1">IF('＠MFP (LSI name)'!R13="","",IF(COUNTIF('＠MFP (LSI name)'!R13,"Serial*")+COUNTIF('＠MFP (LSI name)'!R13,"Analog*")&gt;0,'＠MFP (LSI name)'!R13,OFFSET('＠グループ、表示名'!$H$4,MATCH('＠MFP (LSI name)'!R13,'＠グループ、表示名'!$D$4:$D$250,0)-1,0)))</f>
        <v/>
      </c>
      <c r="S13" s="69" t="str">
        <f ca="1">IF('＠MFP (LSI name)'!S13="","",IF(COUNTIF('＠MFP (LSI name)'!S13,"Serial*")+COUNTIF('＠MFP (LSI name)'!S13,"Analog*")&gt;0,'＠MFP (LSI name)'!S13,OFFSET('＠グループ、表示名'!$H$4,MATCH('＠MFP (LSI name)'!S13,'＠グループ、表示名'!$D$4:$D$250,0)-1,0)))</f>
        <v/>
      </c>
      <c r="T13" s="69" t="str">
        <f ca="1">IF('＠MFP (LSI name)'!T13="","",IF(COUNTIF('＠MFP (LSI name)'!T13,"Serial*")+COUNTIF('＠MFP (LSI name)'!T13,"Analog*")&gt;0,'＠MFP (LSI name)'!T13,OFFSET('＠グループ、表示名'!$H$4,MATCH('＠MFP (LSI name)'!T13,'＠グループ、表示名'!$D$4:$D$250,0)-1,0)))</f>
        <v/>
      </c>
      <c r="U13" s="69" t="str">
        <f ca="1">IF('＠MFP (LSI name)'!U13="","",IF(COUNTIF('＠MFP (LSI name)'!U13,"Serial*")+COUNTIF('＠MFP (LSI name)'!U13,"Analog*")&gt;0,'＠MFP (LSI name)'!U13,OFFSET('＠グループ、表示名'!$H$4,MATCH('＠MFP (LSI name)'!U13,'＠グループ、表示名'!$D$4:$D$250,0)-1,0)))</f>
        <v/>
      </c>
      <c r="V13" s="18" t="str">
        <f ca="1">IF('＠MFP (LSI name)'!V13="","",IF(COUNTIF('＠MFP (LSI name)'!V13,"Serial*")+COUNTIF('＠MFP (LSI name)'!V13,"Analog*")&gt;0,'＠MFP (LSI name)'!V13,OFFSET('＠グループ、表示名'!$H$4,MATCH('＠MFP (LSI name)'!V13,'＠グループ、表示名'!$D$4:$D$250,0)-1,0)))</f>
        <v/>
      </c>
      <c r="W13" s="18" t="str">
        <f ca="1">IF('＠MFP (LSI name)'!W13="","",IF(COUNTIF('＠MFP (LSI name)'!W13,"Serial*")+COUNTIF('＠MFP (LSI name)'!W13,"Analog*")&gt;0,'＠MFP (LSI name)'!W13,OFFSET('＠グループ、表示名'!$H$4,MATCH('＠MFP (LSI name)'!W13,'＠グループ、表示名'!$D$4:$D$250,0)-1,0)))</f>
        <v/>
      </c>
      <c r="X13" s="18" t="str">
        <f ca="1">IF('＠MFP (LSI name)'!X13="","",IF(COUNTIF('＠MFP (LSI name)'!X13,"Serial*")+COUNTIF('＠MFP (LSI name)'!X13,"Analog*")&gt;0,'＠MFP (LSI name)'!X13,OFFSET('＠グループ、表示名'!$H$4,MATCH('＠MFP (LSI name)'!X13,'＠グループ、表示名'!$D$4:$D$250,0)-1,0)))</f>
        <v/>
      </c>
      <c r="Y13" s="18" t="str">
        <f ca="1">IF('＠MFP (LSI name)'!Y13="","",IF(COUNTIF('＠MFP (LSI name)'!Y13,"Serial*")+COUNTIF('＠MFP (LSI name)'!Y13,"Analog*")&gt;0,'＠MFP (LSI name)'!Y13,OFFSET('＠グループ、表示名'!$H$4,MATCH('＠MFP (LSI name)'!Y13,'＠グループ、表示名'!$D$4:$D$250,0)-1,0)))</f>
        <v/>
      </c>
      <c r="Z13" s="18" t="str">
        <f ca="1">IF('＠MFP (LSI name)'!Z13="","",IF(COUNTIF('＠MFP (LSI name)'!Z13,"Serial*")+COUNTIF('＠MFP (LSI name)'!Z13,"Analog*")&gt;0,'＠MFP (LSI name)'!Z13,OFFSET('＠グループ、表示名'!$H$4,MATCH('＠MFP (LSI name)'!Z13,'＠グループ、表示名'!$D$4:$D$250,0)-1,0)))</f>
        <v/>
      </c>
      <c r="AA13" s="69" t="str">
        <f ca="1">IF('＠MFP (LSI name)'!AA13="","",IF(COUNTIF('＠MFP (LSI name)'!AA13,"Serial*")+COUNTIF('＠MFP (LSI name)'!AA13,"Analog*")&gt;0,'＠MFP (LSI name)'!AA13,OFFSET('＠グループ、表示名'!$H$4,MATCH('＠MFP (LSI name)'!AA13,'＠グループ、表示名'!$D$4:$D$250,0)-1,0)))</f>
        <v/>
      </c>
      <c r="AB13" s="18" t="str">
        <f ca="1">IF('＠MFP (LSI name)'!AB13="","",IF(COUNTIF('＠MFP (LSI name)'!AB13,"Serial*")+COUNTIF('＠MFP (LSI name)'!AB13,"Analog*")&gt;0,'＠MFP (LSI name)'!AB13,OFFSET('＠グループ、表示名'!$H$4,MATCH('＠MFP (LSI name)'!AB13,'＠グループ、表示名'!$D$4:$D$250,0)-1,0)))</f>
        <v/>
      </c>
      <c r="AC13" s="18" t="str">
        <f ca="1">IF('＠MFP (LSI name)'!AC13="","",IF(COUNTIF('＠MFP (LSI name)'!AC13,"Serial*")+COUNTIF('＠MFP (LSI name)'!AC13,"Analog*")&gt;0,'＠MFP (LSI name)'!AC13,OFFSET('＠グループ、表示名'!$H$4,MATCH('＠MFP (LSI name)'!AC13,'＠グループ、表示名'!$D$4:$D$250,0)-1,0)))</f>
        <v/>
      </c>
      <c r="AD13" s="18" t="str">
        <f ca="1">IF('＠MFP (LSI name)'!AD13="","",IF(COUNTIF('＠MFP (LSI name)'!AD13,"Serial*")+COUNTIF('＠MFP (LSI name)'!AD13,"Analog*")&gt;0,'＠MFP (LSI name)'!AD13,OFFSET('＠グループ、表示名'!$H$4,MATCH('＠MFP (LSI name)'!AD13,'＠グループ、表示名'!$D$4:$D$250,0)-1,0)))</f>
        <v/>
      </c>
      <c r="AE13" s="18" t="str">
        <f ca="1">IF('＠MFP (LSI name)'!AE13="","",IF(COUNTIF('＠MFP (LSI name)'!AE13,"Serial*")+COUNTIF('＠MFP (LSI name)'!AE13,"Analog*")&gt;0,'＠MFP (LSI name)'!AE13,OFFSET('＠グループ、表示名'!$H$4,MATCH('＠MFP (LSI name)'!AE13,'＠グループ、表示名'!$D$4:$D$250,0)-1,0)))</f>
        <v/>
      </c>
      <c r="AF13" s="69" t="str">
        <f ca="1">IF('＠MFP (LSI name)'!AF13="","",IF(COUNTIF('＠MFP (LSI name)'!AF13,"Serial*")+COUNTIF('＠MFP (LSI name)'!AF13,"Analog*")&gt;0,'＠MFP (LSI name)'!AF13,OFFSET('＠グループ、表示名'!$H$4,MATCH('＠MFP (LSI name)'!AF13,'＠グループ、表示名'!$D$4:$D$250,0)-1,0)))</f>
        <v/>
      </c>
      <c r="AG13" s="18" t="str">
        <f ca="1">IF('＠MFP (LSI name)'!AG13="","",IF(COUNTIF('＠MFP (LSI name)'!AG13,"Serial*")+COUNTIF('＠MFP (LSI name)'!AG13,"Analog*")&gt;0,'＠MFP (LSI name)'!AG13,OFFSET('＠グループ、表示名'!$H$4,MATCH('＠MFP (LSI name)'!AG13,'＠グループ、表示名'!$D$4:$D$250,0)-1,0)))</f>
        <v/>
      </c>
      <c r="AH13" s="18" t="str">
        <f ca="1">IF('＠MFP (LSI name)'!AH13="","",IF(COUNTIF('＠MFP (LSI name)'!AH13,"Serial*")+COUNTIF('＠MFP (LSI name)'!AH13,"Analog*")&gt;0,'＠MFP (LSI name)'!AH13,OFFSET('＠グループ、表示名'!$H$4,MATCH('＠MFP (LSI name)'!AH13,'＠グループ、表示名'!$D$4:$D$250,0)-1,0)))</f>
        <v/>
      </c>
      <c r="AI13" s="18" t="str">
        <f ca="1">IF('＠MFP (LSI name)'!AI13="","",IF(COUNTIF('＠MFP (LSI name)'!AI13,"Serial*")+COUNTIF('＠MFP (LSI name)'!AI13,"Analog*")&gt;0,'＠MFP (LSI name)'!AI13,OFFSET('＠グループ、表示名'!$H$4,MATCH('＠MFP (LSI name)'!AI13,'＠グループ、表示名'!$D$4:$D$250,0)-1,0)))</f>
        <v/>
      </c>
      <c r="AJ13" s="18" t="str">
        <f ca="1">IF('＠MFP (LSI name)'!AJ13="","",IF(COUNTIF('＠MFP (LSI name)'!AJ13,"Serial*")+COUNTIF('＠MFP (LSI name)'!AJ13,"Analog*")&gt;0,'＠MFP (LSI name)'!AJ13,OFFSET('＠グループ、表示名'!$H$4,MATCH('＠MFP (LSI name)'!AJ13,'＠グループ、表示名'!$D$4:$D$250,0)-1,0)))</f>
        <v/>
      </c>
      <c r="AK13" s="69" t="str">
        <f ca="1">IF('＠MFP (LSI name)'!AK13="","",IF(COUNTIF('＠MFP (LSI name)'!AK13,"Serial*")+COUNTIF('＠MFP (LSI name)'!AK13,"Analog*")&gt;0,'＠MFP (LSI name)'!AK13,OFFSET('＠グループ、表示名'!$H$4,MATCH('＠MFP (LSI name)'!AK13,'＠グループ、表示名'!$D$4:$D$250,0)-1,0)))</f>
        <v/>
      </c>
      <c r="AL13" s="9" t="str">
        <f t="shared" ref="AL13:AL76" si="4">IF(COUNTIF(J13,"P*")&gt;0,"IO"&amp;LEFT(J13,2)&amp;"MD["&amp;RIGHT(J13,1)*4+3&amp;"]","")</f>
        <v/>
      </c>
      <c r="AM13" s="9" t="str">
        <f t="shared" ref="AM13:AM76" si="5">IF(COUNTIF(J13,"P*")&gt;0,"IO"&amp;LEFT(J13,2)&amp;"MD["&amp;RIGHT(J13,1)*4+2&amp;"]","")</f>
        <v/>
      </c>
      <c r="AN13" s="9" t="str">
        <f t="shared" ref="AN13:AN76" si="6">IF(COUNTIF(J13,"P*")&gt;0,"IO"&amp;LEFT(J13,2)&amp;"MD["&amp;RIGHT(J13,1)*4+1&amp;"]","")</f>
        <v/>
      </c>
      <c r="AO13" s="9" t="str">
        <f t="shared" ref="AO13:AO76" si="7">IF(COUNTIF(J13,"P*")&gt;0,"IO"&amp;LEFT(J13,2)&amp;"MD["&amp;RIGHT(J13,1)*4&amp;"]","")</f>
        <v/>
      </c>
      <c r="AP13" s="86"/>
    </row>
    <row r="14" spans="1:42" ht="16.149999999999999">
      <c r="A14" s="60">
        <v>13</v>
      </c>
      <c r="B14" s="7">
        <v>13</v>
      </c>
      <c r="C14" s="7">
        <v>12</v>
      </c>
      <c r="D14" s="87">
        <v>9</v>
      </c>
      <c r="E14" s="87">
        <v>7</v>
      </c>
      <c r="F14" s="7">
        <v>13</v>
      </c>
      <c r="G14" s="7">
        <v>12</v>
      </c>
      <c r="H14" s="87">
        <v>9</v>
      </c>
      <c r="I14" s="45" t="s">
        <v>491</v>
      </c>
      <c r="J14" s="45" t="s">
        <v>491</v>
      </c>
      <c r="K14" s="69" t="str">
        <f ca="1">IF('＠MFP (LSI name)'!K14="","",IF(COUNTIF('＠MFP (LSI name)'!K14,"Serial*")+COUNTIF('＠MFP (LSI name)'!K14,"Analog*")&gt;0,'＠MFP (LSI name)'!K14,OFFSET('＠グループ、表示名'!$H$4,MATCH('＠MFP (LSI name)'!K14,'＠グループ、表示名'!$D$4:$D$250,0)-1,0)))</f>
        <v/>
      </c>
      <c r="L14" s="69" t="str">
        <f ca="1">IF('＠MFP (LSI name)'!L14="","",IF(COUNTIF('＠MFP (LSI name)'!L14,"Serial*")+COUNTIF('＠MFP (LSI name)'!L14,"Analog*")&gt;0,'＠MFP (LSI name)'!L14,OFFSET('＠グループ、表示名'!$H$4,MATCH('＠MFP (LSI name)'!L14,'＠グループ、表示名'!$D$4:$D$250,0)-1,0)))</f>
        <v/>
      </c>
      <c r="M14" s="69" t="str">
        <f ca="1">IF('＠MFP (LSI name)'!M14="","",IF(COUNTIF('＠MFP (LSI name)'!M14,"Serial*")+COUNTIF('＠MFP (LSI name)'!M14,"Analog*")&gt;0,'＠MFP (LSI name)'!M14,OFFSET('＠グループ、表示名'!$H$4,MATCH('＠MFP (LSI name)'!M14,'＠グループ、表示名'!$D$4:$D$250,0)-1,0)))</f>
        <v/>
      </c>
      <c r="N14" s="69" t="str">
        <f ca="1">IF('＠MFP (LSI name)'!N14="","",IF(COUNTIF('＠MFP (LSI name)'!N14,"Serial*")+COUNTIF('＠MFP (LSI name)'!N14,"Analog*")&gt;0,'＠MFP (LSI name)'!N14,OFFSET('＠グループ、表示名'!$H$4,MATCH('＠MFP (LSI name)'!N14,'＠グループ、表示名'!$D$4:$D$250,0)-1,0)))</f>
        <v/>
      </c>
      <c r="O14" s="69" t="str">
        <f ca="1">IF('＠MFP (LSI name)'!O14="","",IF(COUNTIF('＠MFP (LSI name)'!O14,"Serial*")+COUNTIF('＠MFP (LSI name)'!O14,"Analog*")&gt;0,'＠MFP (LSI name)'!O14,OFFSET('＠グループ、表示名'!$H$4,MATCH('＠MFP (LSI name)'!O14,'＠グループ、表示名'!$D$4:$D$250,0)-1,0)))</f>
        <v/>
      </c>
      <c r="P14" s="69" t="str">
        <f ca="1">IF('＠MFP (LSI name)'!P14="","",IF(COUNTIF('＠MFP (LSI name)'!P14,"Serial*")+COUNTIF('＠MFP (LSI name)'!P14,"Analog*")&gt;0,'＠MFP (LSI name)'!P14,OFFSET('＠グループ、表示名'!$H$4,MATCH('＠MFP (LSI name)'!P14,'＠グループ、表示名'!$D$4:$D$250,0)-1,0)))</f>
        <v/>
      </c>
      <c r="Q14" s="69" t="str">
        <f ca="1">IF('＠MFP (LSI name)'!Q14="","",IF(COUNTIF('＠MFP (LSI name)'!Q14,"Serial*")+COUNTIF('＠MFP (LSI name)'!Q14,"Analog*")&gt;0,'＠MFP (LSI name)'!Q14,OFFSET('＠グループ、表示名'!$H$4,MATCH('＠MFP (LSI name)'!Q14,'＠グループ、表示名'!$D$4:$D$250,0)-1,0)))</f>
        <v/>
      </c>
      <c r="R14" s="69" t="str">
        <f ca="1">IF('＠MFP (LSI name)'!R14="","",IF(COUNTIF('＠MFP (LSI name)'!R14,"Serial*")+COUNTIF('＠MFP (LSI name)'!R14,"Analog*")&gt;0,'＠MFP (LSI name)'!R14,OFFSET('＠グループ、表示名'!$H$4,MATCH('＠MFP (LSI name)'!R14,'＠グループ、表示名'!$D$4:$D$250,0)-1,0)))</f>
        <v/>
      </c>
      <c r="S14" s="69" t="str">
        <f ca="1">IF('＠MFP (LSI name)'!S14="","",IF(COUNTIF('＠MFP (LSI name)'!S14,"Serial*")+COUNTIF('＠MFP (LSI name)'!S14,"Analog*")&gt;0,'＠MFP (LSI name)'!S14,OFFSET('＠グループ、表示名'!$H$4,MATCH('＠MFP (LSI name)'!S14,'＠グループ、表示名'!$D$4:$D$250,0)-1,0)))</f>
        <v/>
      </c>
      <c r="T14" s="69" t="str">
        <f ca="1">IF('＠MFP (LSI name)'!T14="","",IF(COUNTIF('＠MFP (LSI name)'!T14,"Serial*")+COUNTIF('＠MFP (LSI name)'!T14,"Analog*")&gt;0,'＠MFP (LSI name)'!T14,OFFSET('＠グループ、表示名'!$H$4,MATCH('＠MFP (LSI name)'!T14,'＠グループ、表示名'!$D$4:$D$250,0)-1,0)))</f>
        <v/>
      </c>
      <c r="U14" s="69" t="str">
        <f ca="1">IF('＠MFP (LSI name)'!U14="","",IF(COUNTIF('＠MFP (LSI name)'!U14,"Serial*")+COUNTIF('＠MFP (LSI name)'!U14,"Analog*")&gt;0,'＠MFP (LSI name)'!U14,OFFSET('＠グループ、表示名'!$H$4,MATCH('＠MFP (LSI name)'!U14,'＠グループ、表示名'!$D$4:$D$250,0)-1,0)))</f>
        <v/>
      </c>
      <c r="V14" s="18" t="str">
        <f ca="1">IF('＠MFP (LSI name)'!V14="","",IF(COUNTIF('＠MFP (LSI name)'!V14,"Serial*")+COUNTIF('＠MFP (LSI name)'!V14,"Analog*")&gt;0,'＠MFP (LSI name)'!V14,OFFSET('＠グループ、表示名'!$H$4,MATCH('＠MFP (LSI name)'!V14,'＠グループ、表示名'!$D$4:$D$250,0)-1,0)))</f>
        <v/>
      </c>
      <c r="W14" s="18" t="str">
        <f ca="1">IF('＠MFP (LSI name)'!W14="","",IF(COUNTIF('＠MFP (LSI name)'!W14,"Serial*")+COUNTIF('＠MFP (LSI name)'!W14,"Analog*")&gt;0,'＠MFP (LSI name)'!W14,OFFSET('＠グループ、表示名'!$H$4,MATCH('＠MFP (LSI name)'!W14,'＠グループ、表示名'!$D$4:$D$250,0)-1,0)))</f>
        <v/>
      </c>
      <c r="X14" s="18" t="str">
        <f ca="1">IF('＠MFP (LSI name)'!X14="","",IF(COUNTIF('＠MFP (LSI name)'!X14,"Serial*")+COUNTIF('＠MFP (LSI name)'!X14,"Analog*")&gt;0,'＠MFP (LSI name)'!X14,OFFSET('＠グループ、表示名'!$H$4,MATCH('＠MFP (LSI name)'!X14,'＠グループ、表示名'!$D$4:$D$250,0)-1,0)))</f>
        <v/>
      </c>
      <c r="Y14" s="18" t="str">
        <f ca="1">IF('＠MFP (LSI name)'!Y14="","",IF(COUNTIF('＠MFP (LSI name)'!Y14,"Serial*")+COUNTIF('＠MFP (LSI name)'!Y14,"Analog*")&gt;0,'＠MFP (LSI name)'!Y14,OFFSET('＠グループ、表示名'!$H$4,MATCH('＠MFP (LSI name)'!Y14,'＠グループ、表示名'!$D$4:$D$250,0)-1,0)))</f>
        <v/>
      </c>
      <c r="Z14" s="18" t="str">
        <f ca="1">IF('＠MFP (LSI name)'!Z14="","",IF(COUNTIF('＠MFP (LSI name)'!Z14,"Serial*")+COUNTIF('＠MFP (LSI name)'!Z14,"Analog*")&gt;0,'＠MFP (LSI name)'!Z14,OFFSET('＠グループ、表示名'!$H$4,MATCH('＠MFP (LSI name)'!Z14,'＠グループ、表示名'!$D$4:$D$250,0)-1,0)))</f>
        <v/>
      </c>
      <c r="AA14" s="69" t="str">
        <f ca="1">IF('＠MFP (LSI name)'!AA14="","",IF(COUNTIF('＠MFP (LSI name)'!AA14,"Serial*")+COUNTIF('＠MFP (LSI name)'!AA14,"Analog*")&gt;0,'＠MFP (LSI name)'!AA14,OFFSET('＠グループ、表示名'!$H$4,MATCH('＠MFP (LSI name)'!AA14,'＠グループ、表示名'!$D$4:$D$250,0)-1,0)))</f>
        <v/>
      </c>
      <c r="AB14" s="18" t="str">
        <f ca="1">IF('＠MFP (LSI name)'!AB14="","",IF(COUNTIF('＠MFP (LSI name)'!AB14,"Serial*")+COUNTIF('＠MFP (LSI name)'!AB14,"Analog*")&gt;0,'＠MFP (LSI name)'!AB14,OFFSET('＠グループ、表示名'!$H$4,MATCH('＠MFP (LSI name)'!AB14,'＠グループ、表示名'!$D$4:$D$250,0)-1,0)))</f>
        <v/>
      </c>
      <c r="AC14" s="18" t="str">
        <f ca="1">IF('＠MFP (LSI name)'!AC14="","",IF(COUNTIF('＠MFP (LSI name)'!AC14,"Serial*")+COUNTIF('＠MFP (LSI name)'!AC14,"Analog*")&gt;0,'＠MFP (LSI name)'!AC14,OFFSET('＠グループ、表示名'!$H$4,MATCH('＠MFP (LSI name)'!AC14,'＠グループ、表示名'!$D$4:$D$250,0)-1,0)))</f>
        <v/>
      </c>
      <c r="AD14" s="18" t="str">
        <f ca="1">IF('＠MFP (LSI name)'!AD14="","",IF(COUNTIF('＠MFP (LSI name)'!AD14,"Serial*")+COUNTIF('＠MFP (LSI name)'!AD14,"Analog*")&gt;0,'＠MFP (LSI name)'!AD14,OFFSET('＠グループ、表示名'!$H$4,MATCH('＠MFP (LSI name)'!AD14,'＠グループ、表示名'!$D$4:$D$250,0)-1,0)))</f>
        <v/>
      </c>
      <c r="AE14" s="18" t="str">
        <f ca="1">IF('＠MFP (LSI name)'!AE14="","",IF(COUNTIF('＠MFP (LSI name)'!AE14,"Serial*")+COUNTIF('＠MFP (LSI name)'!AE14,"Analog*")&gt;0,'＠MFP (LSI name)'!AE14,OFFSET('＠グループ、表示名'!$H$4,MATCH('＠MFP (LSI name)'!AE14,'＠グループ、表示名'!$D$4:$D$250,0)-1,0)))</f>
        <v/>
      </c>
      <c r="AF14" s="69" t="str">
        <f ca="1">IF('＠MFP (LSI name)'!AF14="","",IF(COUNTIF('＠MFP (LSI name)'!AF14,"Serial*")+COUNTIF('＠MFP (LSI name)'!AF14,"Analog*")&gt;0,'＠MFP (LSI name)'!AF14,OFFSET('＠グループ、表示名'!$H$4,MATCH('＠MFP (LSI name)'!AF14,'＠グループ、表示名'!$D$4:$D$250,0)-1,0)))</f>
        <v/>
      </c>
      <c r="AG14" s="18" t="str">
        <f ca="1">IF('＠MFP (LSI name)'!AG14="","",IF(COUNTIF('＠MFP (LSI name)'!AG14,"Serial*")+COUNTIF('＠MFP (LSI name)'!AG14,"Analog*")&gt;0,'＠MFP (LSI name)'!AG14,OFFSET('＠グループ、表示名'!$H$4,MATCH('＠MFP (LSI name)'!AG14,'＠グループ、表示名'!$D$4:$D$250,0)-1,0)))</f>
        <v/>
      </c>
      <c r="AH14" s="18" t="str">
        <f ca="1">IF('＠MFP (LSI name)'!AH14="","",IF(COUNTIF('＠MFP (LSI name)'!AH14,"Serial*")+COUNTIF('＠MFP (LSI name)'!AH14,"Analog*")&gt;0,'＠MFP (LSI name)'!AH14,OFFSET('＠グループ、表示名'!$H$4,MATCH('＠MFP (LSI name)'!AH14,'＠グループ、表示名'!$D$4:$D$250,0)-1,0)))</f>
        <v/>
      </c>
      <c r="AI14" s="18" t="str">
        <f ca="1">IF('＠MFP (LSI name)'!AI14="","",IF(COUNTIF('＠MFP (LSI name)'!AI14,"Serial*")+COUNTIF('＠MFP (LSI name)'!AI14,"Analog*")&gt;0,'＠MFP (LSI name)'!AI14,OFFSET('＠グループ、表示名'!$H$4,MATCH('＠MFP (LSI name)'!AI14,'＠グループ、表示名'!$D$4:$D$250,0)-1,0)))</f>
        <v/>
      </c>
      <c r="AJ14" s="18" t="str">
        <f ca="1">IF('＠MFP (LSI name)'!AJ14="","",IF(COUNTIF('＠MFP (LSI name)'!AJ14,"Serial*")+COUNTIF('＠MFP (LSI name)'!AJ14,"Analog*")&gt;0,'＠MFP (LSI name)'!AJ14,OFFSET('＠グループ、表示名'!$H$4,MATCH('＠MFP (LSI name)'!AJ14,'＠グループ、表示名'!$D$4:$D$250,0)-1,0)))</f>
        <v/>
      </c>
      <c r="AK14" s="69" t="str">
        <f ca="1">IF('＠MFP (LSI name)'!AK14="","",IF(COUNTIF('＠MFP (LSI name)'!AK14,"Serial*")+COUNTIF('＠MFP (LSI name)'!AK14,"Analog*")&gt;0,'＠MFP (LSI name)'!AK14,OFFSET('＠グループ、表示名'!$H$4,MATCH('＠MFP (LSI name)'!AK14,'＠グループ、表示名'!$D$4:$D$250,0)-1,0)))</f>
        <v/>
      </c>
      <c r="AL14" s="9" t="str">
        <f t="shared" si="4"/>
        <v/>
      </c>
      <c r="AM14" s="9" t="str">
        <f t="shared" si="5"/>
        <v/>
      </c>
      <c r="AN14" s="9" t="str">
        <f t="shared" si="6"/>
        <v/>
      </c>
      <c r="AO14" s="9" t="str">
        <f t="shared" si="7"/>
        <v/>
      </c>
      <c r="AP14" s="86"/>
    </row>
    <row r="15" spans="1:42" ht="16.149999999999999">
      <c r="A15" s="60">
        <v>14</v>
      </c>
      <c r="B15" s="7">
        <v>14</v>
      </c>
      <c r="C15" s="7">
        <v>13</v>
      </c>
      <c r="D15" s="87">
        <v>10</v>
      </c>
      <c r="E15" s="87">
        <v>8</v>
      </c>
      <c r="F15" s="7">
        <v>14</v>
      </c>
      <c r="G15" s="7">
        <v>13</v>
      </c>
      <c r="H15" s="87">
        <v>10</v>
      </c>
      <c r="I15" s="45" t="s">
        <v>110</v>
      </c>
      <c r="J15" s="45" t="s">
        <v>492</v>
      </c>
      <c r="K15" s="69" t="str">
        <f ca="1">IF('＠MFP (LSI name)'!K15="","",IF(COUNTIF('＠MFP (LSI name)'!K15,"Serial*")+COUNTIF('＠MFP (LSI name)'!K15,"Analog*")&gt;0,'＠MFP (LSI name)'!K15,OFFSET('＠グループ、表示名'!$H$4,MATCH('＠MFP (LSI name)'!K15,'＠グループ、表示名'!$D$4:$D$250,0)-1,0)))</f>
        <v/>
      </c>
      <c r="L15" s="69" t="str">
        <f ca="1">IF('＠MFP (LSI name)'!L15="","",IF(COUNTIF('＠MFP (LSI name)'!L15,"Serial*")+COUNTIF('＠MFP (LSI name)'!L15,"Analog*")&gt;0,'＠MFP (LSI name)'!L15,OFFSET('＠グループ、表示名'!$H$4,MATCH('＠MFP (LSI name)'!L15,'＠グループ、表示名'!$D$4:$D$250,0)-1,0)))</f>
        <v/>
      </c>
      <c r="M15" s="18" t="str">
        <f ca="1">IF('＠MFP (LSI name)'!M15="","",IF(COUNTIF('＠MFP (LSI name)'!M15,"Serial*")+COUNTIF('＠MFP (LSI name)'!M15,"Analog*")&gt;0,'＠MFP (LSI name)'!M15,OFFSET('＠グループ、表示名'!$H$4,MATCH('＠MFP (LSI name)'!M15,'＠グループ、表示名'!$D$4:$D$250,0)-1,0)))</f>
        <v/>
      </c>
      <c r="N15" s="18" t="str">
        <f ca="1">IF('＠MFP (LSI name)'!N15="","",IF(COUNTIF('＠MFP (LSI name)'!N15,"Serial*")+COUNTIF('＠MFP (LSI name)'!N15,"Analog*")&gt;0,'＠MFP (LSI name)'!N15,OFFSET('＠グループ、表示名'!$H$4,MATCH('＠MFP (LSI name)'!N15,'＠グループ、表示名'!$D$4:$D$250,0)-1,0)))</f>
        <v/>
      </c>
      <c r="O15" s="69" t="str">
        <f ca="1">IF('＠MFP (LSI name)'!O15="","",IF(COUNTIF('＠MFP (LSI name)'!O15,"Serial*")+COUNTIF('＠MFP (LSI name)'!O15,"Analog*")&gt;0,'＠MFP (LSI name)'!O15,OFFSET('＠グループ、表示名'!$H$4,MATCH('＠MFP (LSI name)'!O15,'＠グループ、表示名'!$D$4:$D$250,0)-1,0)))</f>
        <v/>
      </c>
      <c r="P15" s="69" t="str">
        <f ca="1">IF('＠MFP (LSI name)'!P15="","",IF(COUNTIF('＠MFP (LSI name)'!P15,"Serial*")+COUNTIF('＠MFP (LSI name)'!P15,"Analog*")&gt;0,'＠MFP (LSI name)'!P15,OFFSET('＠グループ、表示名'!$H$4,MATCH('＠MFP (LSI name)'!P15,'＠グループ、表示名'!$D$4:$D$250,0)-1,0)))</f>
        <v/>
      </c>
      <c r="Q15" s="69" t="str">
        <f ca="1">IF('＠MFP (LSI name)'!Q15="","",IF(COUNTIF('＠MFP (LSI name)'!Q15,"Serial*")+COUNTIF('＠MFP (LSI name)'!Q15,"Analog*")&gt;0,'＠MFP (LSI name)'!Q15,OFFSET('＠グループ、表示名'!$H$4,MATCH('＠MFP (LSI name)'!Q15,'＠グループ、表示名'!$D$4:$D$250,0)-1,0)))</f>
        <v/>
      </c>
      <c r="R15" s="69" t="str">
        <f ca="1">IF('＠MFP (LSI name)'!R15="","",IF(COUNTIF('＠MFP (LSI name)'!R15,"Serial*")+COUNTIF('＠MFP (LSI name)'!R15,"Analog*")&gt;0,'＠MFP (LSI name)'!R15,OFFSET('＠グループ、表示名'!$H$4,MATCH('＠MFP (LSI name)'!R15,'＠グループ、表示名'!$D$4:$D$250,0)-1,0)))</f>
        <v/>
      </c>
      <c r="S15" s="69" t="str">
        <f ca="1">IF('＠MFP (LSI name)'!S15="","",IF(COUNTIF('＠MFP (LSI name)'!S15,"Serial*")+COUNTIF('＠MFP (LSI name)'!S15,"Analog*")&gt;0,'＠MFP (LSI name)'!S15,OFFSET('＠グループ、表示名'!$H$4,MATCH('＠MFP (LSI name)'!S15,'＠グループ、表示名'!$D$4:$D$250,0)-1,0)))</f>
        <v/>
      </c>
      <c r="T15" s="69" t="str">
        <f ca="1">IF('＠MFP (LSI name)'!T15="","",IF(COUNTIF('＠MFP (LSI name)'!T15,"Serial*")+COUNTIF('＠MFP (LSI name)'!T15,"Analog*")&gt;0,'＠MFP (LSI name)'!T15,OFFSET('＠グループ、表示名'!$H$4,MATCH('＠MFP (LSI name)'!T15,'＠グループ、表示名'!$D$4:$D$250,0)-1,0)))</f>
        <v/>
      </c>
      <c r="U15" s="69" t="str">
        <f ca="1">IF('＠MFP (LSI name)'!U15="","",IF(COUNTIF('＠MFP (LSI name)'!U15,"Serial*")+COUNTIF('＠MFP (LSI name)'!U15,"Analog*")&gt;0,'＠MFP (LSI name)'!U15,OFFSET('＠グループ、表示名'!$H$4,MATCH('＠MFP (LSI name)'!U15,'＠グループ、表示名'!$D$4:$D$250,0)-1,0)))</f>
        <v/>
      </c>
      <c r="V15" s="18" t="str">
        <f ca="1">IF('＠MFP (LSI name)'!V15="","",IF(COUNTIF('＠MFP (LSI name)'!V15,"Serial*")+COUNTIF('＠MFP (LSI name)'!V15,"Analog*")&gt;0,'＠MFP (LSI name)'!V15,OFFSET('＠グループ、表示名'!$H$4,MATCH('＠MFP (LSI name)'!V15,'＠グループ、表示名'!$D$4:$D$250,0)-1,0)))</f>
        <v/>
      </c>
      <c r="W15" s="18" t="str">
        <f ca="1">IF('＠MFP (LSI name)'!W15="","",IF(COUNTIF('＠MFP (LSI name)'!W15,"Serial*")+COUNTIF('＠MFP (LSI name)'!W15,"Analog*")&gt;0,'＠MFP (LSI name)'!W15,OFFSET('＠グループ、表示名'!$H$4,MATCH('＠MFP (LSI name)'!W15,'＠グループ、表示名'!$D$4:$D$250,0)-1,0)))</f>
        <v/>
      </c>
      <c r="X15" s="18" t="str">
        <f ca="1">IF('＠MFP (LSI name)'!X15="","",IF(COUNTIF('＠MFP (LSI name)'!X15,"Serial*")+COUNTIF('＠MFP (LSI name)'!X15,"Analog*")&gt;0,'＠MFP (LSI name)'!X15,OFFSET('＠グループ、表示名'!$H$4,MATCH('＠MFP (LSI name)'!X15,'＠グループ、表示名'!$D$4:$D$250,0)-1,0)))</f>
        <v/>
      </c>
      <c r="Y15" s="18" t="str">
        <f ca="1">IF('＠MFP (LSI name)'!Y15="","",IF(COUNTIF('＠MFP (LSI name)'!Y15,"Serial*")+COUNTIF('＠MFP (LSI name)'!Y15,"Analog*")&gt;0,'＠MFP (LSI name)'!Y15,OFFSET('＠グループ、表示名'!$H$4,MATCH('＠MFP (LSI name)'!Y15,'＠グループ、表示名'!$D$4:$D$250,0)-1,0)))</f>
        <v/>
      </c>
      <c r="Z15" s="18" t="str">
        <f ca="1">IF('＠MFP (LSI name)'!Z15="","",IF(COUNTIF('＠MFP (LSI name)'!Z15,"Serial*")+COUNTIF('＠MFP (LSI name)'!Z15,"Analog*")&gt;0,'＠MFP (LSI name)'!Z15,OFFSET('＠グループ、表示名'!$H$4,MATCH('＠MFP (LSI name)'!Z15,'＠グループ、表示名'!$D$4:$D$250,0)-1,0)))</f>
        <v/>
      </c>
      <c r="AA15" s="69" t="str">
        <f ca="1">IF('＠MFP (LSI name)'!AA15="","",IF(COUNTIF('＠MFP (LSI name)'!AA15,"Serial*")+COUNTIF('＠MFP (LSI name)'!AA15,"Analog*")&gt;0,'＠MFP (LSI name)'!AA15,OFFSET('＠グループ、表示名'!$H$4,MATCH('＠MFP (LSI name)'!AA15,'＠グループ、表示名'!$D$4:$D$250,0)-1,0)))</f>
        <v/>
      </c>
      <c r="AB15" s="18" t="str">
        <f ca="1">IF('＠MFP (LSI name)'!AB15="","",IF(COUNTIF('＠MFP (LSI name)'!AB15,"Serial*")+COUNTIF('＠MFP (LSI name)'!AB15,"Analog*")&gt;0,'＠MFP (LSI name)'!AB15,OFFSET('＠グループ、表示名'!$H$4,MATCH('＠MFP (LSI name)'!AB15,'＠グループ、表示名'!$D$4:$D$250,0)-1,0)))</f>
        <v/>
      </c>
      <c r="AC15" s="18" t="str">
        <f ca="1">IF('＠MFP (LSI name)'!AC15="","",IF(COUNTIF('＠MFP (LSI name)'!AC15,"Serial*")+COUNTIF('＠MFP (LSI name)'!AC15,"Analog*")&gt;0,'＠MFP (LSI name)'!AC15,OFFSET('＠グループ、表示名'!$H$4,MATCH('＠MFP (LSI name)'!AC15,'＠グループ、表示名'!$D$4:$D$250,0)-1,0)))</f>
        <v/>
      </c>
      <c r="AD15" s="18" t="str">
        <f ca="1">IF('＠MFP (LSI name)'!AD15="","",IF(COUNTIF('＠MFP (LSI name)'!AD15,"Serial*")+COUNTIF('＠MFP (LSI name)'!AD15,"Analog*")&gt;0,'＠MFP (LSI name)'!AD15,OFFSET('＠グループ、表示名'!$H$4,MATCH('＠MFP (LSI name)'!AD15,'＠グループ、表示名'!$D$4:$D$250,0)-1,0)))</f>
        <v/>
      </c>
      <c r="AE15" s="18" t="str">
        <f ca="1">IF('＠MFP (LSI name)'!AE15="","",IF(COUNTIF('＠MFP (LSI name)'!AE15,"Serial*")+COUNTIF('＠MFP (LSI name)'!AE15,"Analog*")&gt;0,'＠MFP (LSI name)'!AE15,OFFSET('＠グループ、表示名'!$H$4,MATCH('＠MFP (LSI name)'!AE15,'＠グループ、表示名'!$D$4:$D$250,0)-1,0)))</f>
        <v/>
      </c>
      <c r="AF15" s="69" t="str">
        <f ca="1">IF('＠MFP (LSI name)'!AF15="","",IF(COUNTIF('＠MFP (LSI name)'!AF15,"Serial*")+COUNTIF('＠MFP (LSI name)'!AF15,"Analog*")&gt;0,'＠MFP (LSI name)'!AF15,OFFSET('＠グループ、表示名'!$H$4,MATCH('＠MFP (LSI name)'!AF15,'＠グループ、表示名'!$D$4:$D$250,0)-1,0)))</f>
        <v/>
      </c>
      <c r="AG15" s="18" t="str">
        <f ca="1">IF('＠MFP (LSI name)'!AG15="","",IF(COUNTIF('＠MFP (LSI name)'!AG15,"Serial*")+COUNTIF('＠MFP (LSI name)'!AG15,"Analog*")&gt;0,'＠MFP (LSI name)'!AG15,OFFSET('＠グループ、表示名'!$H$4,MATCH('＠MFP (LSI name)'!AG15,'＠グループ、表示名'!$D$4:$D$250,0)-1,0)))</f>
        <v/>
      </c>
      <c r="AH15" s="18" t="str">
        <f ca="1">IF('＠MFP (LSI name)'!AH15="","",IF(COUNTIF('＠MFP (LSI name)'!AH15,"Serial*")+COUNTIF('＠MFP (LSI name)'!AH15,"Analog*")&gt;0,'＠MFP (LSI name)'!AH15,OFFSET('＠グループ、表示名'!$H$4,MATCH('＠MFP (LSI name)'!AH15,'＠グループ、表示名'!$D$4:$D$250,0)-1,0)))</f>
        <v/>
      </c>
      <c r="AI15" s="18" t="str">
        <f ca="1">IF('＠MFP (LSI name)'!AI15="","",IF(COUNTIF('＠MFP (LSI name)'!AI15,"Serial*")+COUNTIF('＠MFP (LSI name)'!AI15,"Analog*")&gt;0,'＠MFP (LSI name)'!AI15,OFFSET('＠グループ、表示名'!$H$4,MATCH('＠MFP (LSI name)'!AI15,'＠グループ、表示名'!$D$4:$D$250,0)-1,0)))</f>
        <v/>
      </c>
      <c r="AJ15" s="18" t="str">
        <f ca="1">IF('＠MFP (LSI name)'!AJ15="","",IF(COUNTIF('＠MFP (LSI name)'!AJ15,"Serial*")+COUNTIF('＠MFP (LSI name)'!AJ15,"Analog*")&gt;0,'＠MFP (LSI name)'!AJ15,OFFSET('＠グループ、表示名'!$H$4,MATCH('＠MFP (LSI name)'!AJ15,'＠グループ、表示名'!$D$4:$D$250,0)-1,0)))</f>
        <v/>
      </c>
      <c r="AK15" s="69" t="str">
        <f ca="1">IF('＠MFP (LSI name)'!AK15="","",IF(COUNTIF('＠MFP (LSI name)'!AK15,"Serial*")+COUNTIF('＠MFP (LSI name)'!AK15,"Analog*")&gt;0,'＠MFP (LSI name)'!AK15,OFFSET('＠グループ、表示名'!$H$4,MATCH('＠MFP (LSI name)'!AK15,'＠グループ、表示名'!$D$4:$D$250,0)-1,0)))</f>
        <v/>
      </c>
      <c r="AL15" s="9" t="str">
        <f t="shared" si="4"/>
        <v/>
      </c>
      <c r="AM15" s="9" t="str">
        <f t="shared" si="5"/>
        <v/>
      </c>
      <c r="AN15" s="9" t="str">
        <f t="shared" si="6"/>
        <v/>
      </c>
      <c r="AO15" s="9" t="str">
        <f t="shared" si="7"/>
        <v/>
      </c>
      <c r="AP15" s="86"/>
    </row>
    <row r="16" spans="1:42" ht="16.149999999999999">
      <c r="A16" s="60">
        <v>15</v>
      </c>
      <c r="B16" s="7">
        <v>15</v>
      </c>
      <c r="C16" s="7">
        <v>14</v>
      </c>
      <c r="D16" s="87">
        <v>11</v>
      </c>
      <c r="E16" s="87">
        <v>9</v>
      </c>
      <c r="F16" s="7">
        <v>15</v>
      </c>
      <c r="G16" s="7">
        <v>14</v>
      </c>
      <c r="H16" s="87">
        <v>11</v>
      </c>
      <c r="I16" s="45" t="s">
        <v>429</v>
      </c>
      <c r="J16" s="45" t="s">
        <v>430</v>
      </c>
      <c r="K16" s="69" t="str">
        <f ca="1">IF('＠MFP (LSI name)'!K16="","",IF(COUNTIF('＠MFP (LSI name)'!K16,"Serial*")+COUNTIF('＠MFP (LSI name)'!K16,"Analog*")&gt;0,'＠MFP (LSI name)'!K16,OFFSET('＠グループ、表示名'!$H$4,MATCH('＠MFP (LSI name)'!K16,'＠グループ、表示名'!$D$4:$D$250,0)-1,0)))</f>
        <v>NMI</v>
      </c>
      <c r="L16" s="69" t="str">
        <f ca="1">IF('＠MFP (LSI name)'!L16="","",IF(COUNTIF('＠MFP (LSI name)'!L16,"Serial*")+COUNTIF('＠MFP (LSI name)'!L16,"Analog*")&gt;0,'＠MFP (LSI name)'!L16,OFFSET('＠グループ、表示名'!$H$4,MATCH('＠MFP (LSI name)'!L16,'＠グループ、表示名'!$D$4:$D$250,0)-1,0)))</f>
        <v>IRQ13</v>
      </c>
      <c r="M16" s="18" t="str">
        <f ca="1">IF('＠MFP (LSI name)'!M16="","",IF(COUNTIF('＠MFP (LSI name)'!M16,"Serial*")+COUNTIF('＠MFP (LSI name)'!M16,"Analog*")&gt;0,'＠MFP (LSI name)'!M16,OFFSET('＠グループ、表示名'!$H$4,MATCH('＠MFP (LSI name)'!M16,'＠グループ、表示名'!$D$4:$D$250,0)-1,0)))</f>
        <v/>
      </c>
      <c r="N16" s="18" t="str">
        <f ca="1">IF('＠MFP (LSI name)'!N16="","",IF(COUNTIF('＠MFP (LSI name)'!N16,"Serial*")+COUNTIF('＠MFP (LSI name)'!N16,"Analog*")&gt;0,'＠MFP (LSI name)'!N16,OFFSET('＠グループ、表示名'!$H$4,MATCH('＠MFP (LSI name)'!N16,'＠グループ、表示名'!$D$4:$D$250,0)-1,0)))</f>
        <v/>
      </c>
      <c r="O16" s="18" t="str">
        <f ca="1">IF('＠MFP (LSI name)'!O16="","",IF(COUNTIF('＠MFP (LSI name)'!O16,"Serial*")+COUNTIF('＠MFP (LSI name)'!O16,"Analog*")&gt;0,'＠MFP (LSI name)'!O16,OFFSET('＠グループ、表示名'!$H$4,MATCH('＠MFP (LSI name)'!O16,'＠グループ、表示名'!$D$4:$D$250,0)-1,0)))</f>
        <v/>
      </c>
      <c r="P16" s="69" t="str">
        <f ca="1">IF('＠MFP (LSI name)'!P16="","",IF(COUNTIF('＠MFP (LSI name)'!P16,"Serial*")+COUNTIF('＠MFP (LSI name)'!P16,"Analog*")&gt;0,'＠MFP (LSI name)'!P16,OFFSET('＠グループ、表示名'!$H$4,MATCH('＠MFP (LSI name)'!P16,'＠グループ、表示名'!$D$4:$D$250,0)-1,0)))</f>
        <v/>
      </c>
      <c r="Q16" s="69" t="str">
        <f ca="1">IF('＠MFP (LSI name)'!Q16="","",IF(COUNTIF('＠MFP (LSI name)'!Q16,"Serial*")+COUNTIF('＠MFP (LSI name)'!Q16,"Analog*")&gt;0,'＠MFP (LSI name)'!Q16,OFFSET('＠グループ、表示名'!$H$4,MATCH('＠MFP (LSI name)'!Q16,'＠グループ、表示名'!$D$4:$D$250,0)-1,0)))</f>
        <v/>
      </c>
      <c r="R16" s="69" t="str">
        <f ca="1">IF('＠MFP (LSI name)'!R16="","",IF(COUNTIF('＠MFP (LSI name)'!R16,"Serial*")+COUNTIF('＠MFP (LSI name)'!R16,"Analog*")&gt;0,'＠MFP (LSI name)'!R16,OFFSET('＠グループ、表示名'!$H$4,MATCH('＠MFP (LSI name)'!R16,'＠グループ、表示名'!$D$4:$D$250,0)-1,0)))</f>
        <v/>
      </c>
      <c r="S16" s="69" t="str">
        <f ca="1">IF('＠MFP (LSI name)'!S16="","",IF(COUNTIF('＠MFP (LSI name)'!S16,"Serial*")+COUNTIF('＠MFP (LSI name)'!S16,"Analog*")&gt;0,'＠MFP (LSI name)'!S16,OFFSET('＠グループ、表示名'!$H$4,MATCH('＠MFP (LSI name)'!S16,'＠グループ、表示名'!$D$4:$D$250,0)-1,0)))</f>
        <v/>
      </c>
      <c r="T16" s="69" t="str">
        <f ca="1">IF('＠MFP (LSI name)'!T16="","",IF(COUNTIF('＠MFP (LSI name)'!T16,"Serial*")+COUNTIF('＠MFP (LSI name)'!T16,"Analog*")&gt;0,'＠MFP (LSI name)'!T16,OFFSET('＠グループ、表示名'!$H$4,MATCH('＠MFP (LSI name)'!T16,'＠グループ、表示名'!$D$4:$D$250,0)-1,0)))</f>
        <v/>
      </c>
      <c r="U16" s="69" t="str">
        <f ca="1">IF('＠MFP (LSI name)'!U16="","",IF(COUNTIF('＠MFP (LSI name)'!U16,"Serial*")+COUNTIF('＠MFP (LSI name)'!U16,"Analog*")&gt;0,'＠MFP (LSI name)'!U16,OFFSET('＠グループ、表示名'!$H$4,MATCH('＠MFP (LSI name)'!U16,'＠グループ、表示名'!$D$4:$D$250,0)-1,0)))</f>
        <v/>
      </c>
      <c r="V16" s="69" t="str">
        <f ca="1">IF('＠MFP (LSI name)'!V16="","",IF(COUNTIF('＠MFP (LSI name)'!V16,"Serial*")+COUNTIF('＠MFP (LSI name)'!V16,"Analog*")&gt;0,'＠MFP (LSI name)'!V16,OFFSET('＠グループ、表示名'!$H$4,MATCH('＠MFP (LSI name)'!V16,'＠グループ、表示名'!$D$4:$D$250,0)-1,0)))</f>
        <v/>
      </c>
      <c r="W16" s="18" t="str">
        <f ca="1">IF('＠MFP (LSI name)'!W16="","",IF(COUNTIF('＠MFP (LSI name)'!W16,"Serial*")+COUNTIF('＠MFP (LSI name)'!W16,"Analog*")&gt;0,'＠MFP (LSI name)'!W16,OFFSET('＠グループ、表示名'!$H$4,MATCH('＠MFP (LSI name)'!W16,'＠グループ、表示名'!$D$4:$D$250,0)-1,0)))</f>
        <v/>
      </c>
      <c r="X16" s="18" t="str">
        <f ca="1">IF('＠MFP (LSI name)'!X16="","",IF(COUNTIF('＠MFP (LSI name)'!X16,"Serial*")+COUNTIF('＠MFP (LSI name)'!X16,"Analog*")&gt;0,'＠MFP (LSI name)'!X16,OFFSET('＠グループ、表示名'!$H$4,MATCH('＠MFP (LSI name)'!X16,'＠グループ、表示名'!$D$4:$D$250,0)-1,0)))</f>
        <v/>
      </c>
      <c r="Y16" s="18" t="str">
        <f ca="1">IF('＠MFP (LSI name)'!Y16="","",IF(COUNTIF('＠MFP (LSI name)'!Y16,"Serial*")+COUNTIF('＠MFP (LSI name)'!Y16,"Analog*")&gt;0,'＠MFP (LSI name)'!Y16,OFFSET('＠グループ、表示名'!$H$4,MATCH('＠MFP (LSI name)'!Y16,'＠グループ、表示名'!$D$4:$D$250,0)-1,0)))</f>
        <v/>
      </c>
      <c r="Z16" s="18" t="str">
        <f ca="1">IF('＠MFP (LSI name)'!Z16="","",IF(COUNTIF('＠MFP (LSI name)'!Z16,"Serial*")+COUNTIF('＠MFP (LSI name)'!Z16,"Analog*")&gt;0,'＠MFP (LSI name)'!Z16,OFFSET('＠グループ、表示名'!$H$4,MATCH('＠MFP (LSI name)'!Z16,'＠グループ、表示名'!$D$4:$D$250,0)-1,0)))</f>
        <v/>
      </c>
      <c r="AA16" s="69" t="str">
        <f ca="1">IF('＠MFP (LSI name)'!AA16="","",IF(COUNTIF('＠MFP (LSI name)'!AA16,"Serial*")+COUNTIF('＠MFP (LSI name)'!AA16,"Analog*")&gt;0,'＠MFP (LSI name)'!AA16,OFFSET('＠グループ、表示名'!$H$4,MATCH('＠MFP (LSI name)'!AA16,'＠グループ、表示名'!$D$4:$D$250,0)-1,0)))</f>
        <v/>
      </c>
      <c r="AB16" s="69" t="str">
        <f ca="1">IF('＠MFP (LSI name)'!AB16="","",IF(COUNTIF('＠MFP (LSI name)'!AB16,"Serial*")+COUNTIF('＠MFP (LSI name)'!AB16,"Analog*")&gt;0,'＠MFP (LSI name)'!AB16,OFFSET('＠グループ、表示名'!$H$4,MATCH('＠MFP (LSI name)'!AB16,'＠グループ、表示名'!$D$4:$D$250,0)-1,0)))</f>
        <v/>
      </c>
      <c r="AC16" s="18" t="str">
        <f ca="1">IF('＠MFP (LSI name)'!AC16="","",IF(COUNTIF('＠MFP (LSI name)'!AC16,"Serial*")+COUNTIF('＠MFP (LSI name)'!AC16,"Analog*")&gt;0,'＠MFP (LSI name)'!AC16,OFFSET('＠グループ、表示名'!$H$4,MATCH('＠MFP (LSI name)'!AC16,'＠グループ、表示名'!$D$4:$D$250,0)-1,0)))</f>
        <v/>
      </c>
      <c r="AD16" s="18" t="str">
        <f ca="1">IF('＠MFP (LSI name)'!AD16="","",IF(COUNTIF('＠MFP (LSI name)'!AD16,"Serial*")+COUNTIF('＠MFP (LSI name)'!AD16,"Analog*")&gt;0,'＠MFP (LSI name)'!AD16,OFFSET('＠グループ、表示名'!$H$4,MATCH('＠MFP (LSI name)'!AD16,'＠グループ、表示名'!$D$4:$D$250,0)-1,0)))</f>
        <v/>
      </c>
      <c r="AE16" s="18" t="str">
        <f ca="1">IF('＠MFP (LSI name)'!AE16="","",IF(COUNTIF('＠MFP (LSI name)'!AE16,"Serial*")+COUNTIF('＠MFP (LSI name)'!AE16,"Analog*")&gt;0,'＠MFP (LSI name)'!AE16,OFFSET('＠グループ、表示名'!$H$4,MATCH('＠MFP (LSI name)'!AE16,'＠グループ、表示名'!$D$4:$D$250,0)-1,0)))</f>
        <v/>
      </c>
      <c r="AF16" s="69" t="str">
        <f ca="1">IF('＠MFP (LSI name)'!AF16="","",IF(COUNTIF('＠MFP (LSI name)'!AF16,"Serial*")+COUNTIF('＠MFP (LSI name)'!AF16,"Analog*")&gt;0,'＠MFP (LSI name)'!AF16,OFFSET('＠グループ、表示名'!$H$4,MATCH('＠MFP (LSI name)'!AF16,'＠グループ、表示名'!$D$4:$D$250,0)-1,0)))</f>
        <v/>
      </c>
      <c r="AG16" s="69" t="str">
        <f ca="1">IF('＠MFP (LSI name)'!AG16="","",IF(COUNTIF('＠MFP (LSI name)'!AG16,"Serial*")+COUNTIF('＠MFP (LSI name)'!AG16,"Analog*")&gt;0,'＠MFP (LSI name)'!AG16,OFFSET('＠グループ、表示名'!$H$4,MATCH('＠MFP (LSI name)'!AG16,'＠グループ、表示名'!$D$4:$D$250,0)-1,0)))</f>
        <v/>
      </c>
      <c r="AH16" s="18" t="str">
        <f ca="1">IF('＠MFP (LSI name)'!AH16="","",IF(COUNTIF('＠MFP (LSI name)'!AH16,"Serial*")+COUNTIF('＠MFP (LSI name)'!AH16,"Analog*")&gt;0,'＠MFP (LSI name)'!AH16,OFFSET('＠グループ、表示名'!$H$4,MATCH('＠MFP (LSI name)'!AH16,'＠グループ、表示名'!$D$4:$D$250,0)-1,0)))</f>
        <v/>
      </c>
      <c r="AI16" s="18" t="str">
        <f ca="1">IF('＠MFP (LSI name)'!AI16="","",IF(COUNTIF('＠MFP (LSI name)'!AI16,"Serial*")+COUNTIF('＠MFP (LSI name)'!AI16,"Analog*")&gt;0,'＠MFP (LSI name)'!AI16,OFFSET('＠グループ、表示名'!$H$4,MATCH('＠MFP (LSI name)'!AI16,'＠グループ、表示名'!$D$4:$D$250,0)-1,0)))</f>
        <v/>
      </c>
      <c r="AJ16" s="18" t="str">
        <f ca="1">IF('＠MFP (LSI name)'!AJ16="","",IF(COUNTIF('＠MFP (LSI name)'!AJ16,"Serial*")+COUNTIF('＠MFP (LSI name)'!AJ16,"Analog*")&gt;0,'＠MFP (LSI name)'!AJ16,OFFSET('＠グループ、表示名'!$H$4,MATCH('＠MFP (LSI name)'!AJ16,'＠グループ、表示名'!$D$4:$D$250,0)-1,0)))</f>
        <v/>
      </c>
      <c r="AK16" s="69" t="str">
        <f ca="1">IF('＠MFP (LSI name)'!AK16="","",IF(COUNTIF('＠MFP (LSI name)'!AK16,"Serial*")+COUNTIF('＠MFP (LSI name)'!AK16,"Analog*")&gt;0,'＠MFP (LSI name)'!AK16,OFFSET('＠グループ、表示名'!$H$4,MATCH('＠MFP (LSI name)'!AK16,'＠グループ、表示名'!$D$4:$D$250,0)-1,0)))</f>
        <v/>
      </c>
      <c r="AL16" s="9" t="str">
        <f t="shared" si="4"/>
        <v>IOPEMD[11]</v>
      </c>
      <c r="AM16" s="9" t="str">
        <f t="shared" si="5"/>
        <v>IOPEMD[10]</v>
      </c>
      <c r="AN16" s="9" t="str">
        <f t="shared" si="6"/>
        <v>IOPEMD[9]</v>
      </c>
      <c r="AO16" s="9" t="str">
        <f t="shared" si="7"/>
        <v>IOPEMD[8]</v>
      </c>
      <c r="AP16" s="86"/>
    </row>
    <row r="17" spans="1:42" ht="16.149999999999999">
      <c r="A17" s="60">
        <v>16</v>
      </c>
      <c r="B17" s="7">
        <v>16</v>
      </c>
      <c r="C17" s="7"/>
      <c r="D17" s="87"/>
      <c r="E17" s="87"/>
      <c r="F17" s="7">
        <v>16</v>
      </c>
      <c r="G17" s="7"/>
      <c r="H17" s="87"/>
      <c r="I17" s="45" t="s">
        <v>433</v>
      </c>
      <c r="J17" s="45" t="s">
        <v>434</v>
      </c>
      <c r="K17" s="69" t="str">
        <f ca="1">IF('＠MFP (LSI name)'!K17="","",IF(COUNTIF('＠MFP (LSI name)'!K17,"Serial*")+COUNTIF('＠MFP (LSI name)'!K17,"Analog*")&gt;0,'＠MFP (LSI name)'!K17,OFFSET('＠グループ、表示名'!$H$4,MATCH('＠MFP (LSI name)'!K17,'＠グループ、表示名'!$D$4:$D$250,0)-1,0)))</f>
        <v>TM05A</v>
      </c>
      <c r="L17" s="69" t="str">
        <f ca="1">IF('＠MFP (LSI name)'!L17="","",IF(COUNTIF('＠MFP (LSI name)'!L17,"Serial*")+COUNTIF('＠MFP (LSI name)'!L17,"Analog*")&gt;0,'＠MFP (LSI name)'!L17,OFFSET('＠グループ、表示名'!$H$4,MATCH('＠MFP (LSI name)'!L17,'＠グループ、表示名'!$D$4:$D$250,0)-1,0)))</f>
        <v>TM15B</v>
      </c>
      <c r="M17" s="18" t="str">
        <f ca="1">IF('＠MFP (LSI name)'!M17="","",IF(COUNTIF('＠MFP (LSI name)'!M17,"Serial*")+COUNTIF('＠MFP (LSI name)'!M17,"Analog*")&gt;0,'＠MFP (LSI name)'!M17,OFFSET('＠グループ、表示名'!$H$4,MATCH('＠MFP (LSI name)'!M17,'＠グループ、表示名'!$D$4:$D$250,0)-1,0)))</f>
        <v>SIF0_SBCS0</v>
      </c>
      <c r="N17" s="18" t="str">
        <f ca="1">IF('＠MFP (LSI name)'!N17="","",IF(COUNTIF('＠MFP (LSI name)'!N17,"Serial*")+COUNTIF('＠MFP (LSI name)'!N17,"Analog*")&gt;0,'＠MFP (LSI name)'!N17,OFFSET('＠グループ、表示名'!$H$4,MATCH('＠MFP (LSI name)'!N17,'＠グループ、表示名'!$D$4:$D$250,0)-1,0)))</f>
        <v/>
      </c>
      <c r="O17" s="18" t="str">
        <f ca="1">IF('＠MFP (LSI name)'!O17="","",IF(COUNTIF('＠MFP (LSI name)'!O17,"Serial*")+COUNTIF('＠MFP (LSI name)'!O17,"Analog*")&gt;0,'＠MFP (LSI name)'!O17,OFFSET('＠グループ、表示名'!$H$4,MATCH('＠MFP (LSI name)'!O17,'＠グループ、表示名'!$D$4:$D$250,0)-1,0)))</f>
        <v/>
      </c>
      <c r="P17" s="69" t="str">
        <f ca="1">IF('＠MFP (LSI name)'!P17="","",IF(COUNTIF('＠MFP (LSI name)'!P17,"Serial*")+COUNTIF('＠MFP (LSI name)'!P17,"Analog*")&gt;0,'＠MFP (LSI name)'!P17,OFFSET('＠グループ、表示名'!$H$4,MATCH('＠MFP (LSI name)'!P17,'＠グループ、表示名'!$D$4:$D$250,0)-1,0)))</f>
        <v/>
      </c>
      <c r="Q17" s="69" t="str">
        <f ca="1">IF('＠MFP (LSI name)'!Q17="","",IF(COUNTIF('＠MFP (LSI name)'!Q17,"Serial*")+COUNTIF('＠MFP (LSI name)'!Q17,"Analog*")&gt;0,'＠MFP (LSI name)'!Q17,OFFSET('＠グループ、表示名'!$H$4,MATCH('＠MFP (LSI name)'!Q17,'＠グループ、表示名'!$D$4:$D$250,0)-1,0)))</f>
        <v/>
      </c>
      <c r="R17" s="69" t="str">
        <f ca="1">IF('＠MFP (LSI name)'!R17="","",IF(COUNTIF('＠MFP (LSI name)'!R17,"Serial*")+COUNTIF('＠MFP (LSI name)'!R17,"Analog*")&gt;0,'＠MFP (LSI name)'!R17,OFFSET('＠グループ、表示名'!$H$4,MATCH('＠MFP (LSI name)'!R17,'＠グループ、表示名'!$D$4:$D$250,0)-1,0)))</f>
        <v/>
      </c>
      <c r="S17" s="69" t="str">
        <f ca="1">IF('＠MFP (LSI name)'!S17="","",IF(COUNTIF('＠MFP (LSI name)'!S17,"Serial*")+COUNTIF('＠MFP (LSI name)'!S17,"Analog*")&gt;0,'＠MFP (LSI name)'!S17,OFFSET('＠グループ、表示名'!$H$4,MATCH('＠MFP (LSI name)'!S17,'＠グループ、表示名'!$D$4:$D$250,0)-1,0)))</f>
        <v/>
      </c>
      <c r="T17" s="69" t="str">
        <f ca="1">IF('＠MFP (LSI name)'!T17="","",IF(COUNTIF('＠MFP (LSI name)'!T17,"Serial*")+COUNTIF('＠MFP (LSI name)'!T17,"Analog*")&gt;0,'＠MFP (LSI name)'!T17,OFFSET('＠グループ、表示名'!$H$4,MATCH('＠MFP (LSI name)'!T17,'＠グループ、表示名'!$D$4:$D$250,0)-1,0)))</f>
        <v/>
      </c>
      <c r="U17" s="69" t="str">
        <f ca="1">IF('＠MFP (LSI name)'!U17="","",IF(COUNTIF('＠MFP (LSI name)'!U17,"Serial*")+COUNTIF('＠MFP (LSI name)'!U17,"Analog*")&gt;0,'＠MFP (LSI name)'!U17,OFFSET('＠グループ、表示名'!$H$4,MATCH('＠MFP (LSI name)'!U17,'＠グループ、表示名'!$D$4:$D$250,0)-1,0)))</f>
        <v/>
      </c>
      <c r="V17" s="69" t="str">
        <f ca="1">IF('＠MFP (LSI name)'!V17="","",IF(COUNTIF('＠MFP (LSI name)'!V17,"Serial*")+COUNTIF('＠MFP (LSI name)'!V17,"Analog*")&gt;0,'＠MFP (LSI name)'!V17,OFFSET('＠グループ、表示名'!$H$4,MATCH('＠MFP (LSI name)'!V17,'＠グループ、表示名'!$D$4:$D$250,0)-1,0)))</f>
        <v/>
      </c>
      <c r="W17" s="18" t="str">
        <f ca="1">IF('＠MFP (LSI name)'!W17="","",IF(COUNTIF('＠MFP (LSI name)'!W17,"Serial*")+COUNTIF('＠MFP (LSI name)'!W17,"Analog*")&gt;0,'＠MFP (LSI name)'!W17,OFFSET('＠グループ、表示名'!$H$4,MATCH('＠MFP (LSI name)'!W17,'＠グループ、表示名'!$D$4:$D$250,0)-1,0)))</f>
        <v/>
      </c>
      <c r="X17" s="18" t="str">
        <f ca="1">IF('＠MFP (LSI name)'!X17="","",IF(COUNTIF('＠MFP (LSI name)'!X17,"Serial*")+COUNTIF('＠MFP (LSI name)'!X17,"Analog*")&gt;0,'＠MFP (LSI name)'!X17,OFFSET('＠グループ、表示名'!$H$4,MATCH('＠MFP (LSI name)'!X17,'＠グループ、表示名'!$D$4:$D$250,0)-1,0)))</f>
        <v/>
      </c>
      <c r="Y17" s="18" t="str">
        <f ca="1">IF('＠MFP (LSI name)'!Y17="","",IF(COUNTIF('＠MFP (LSI name)'!Y17,"Serial*")+COUNTIF('＠MFP (LSI name)'!Y17,"Analog*")&gt;0,'＠MFP (LSI name)'!Y17,OFFSET('＠グループ、表示名'!$H$4,MATCH('＠MFP (LSI name)'!Y17,'＠グループ、表示名'!$D$4:$D$250,0)-1,0)))</f>
        <v/>
      </c>
      <c r="Z17" s="18" t="str">
        <f ca="1">IF('＠MFP (LSI name)'!Z17="","",IF(COUNTIF('＠MFP (LSI name)'!Z17,"Serial*")+COUNTIF('＠MFP (LSI name)'!Z17,"Analog*")&gt;0,'＠MFP (LSI name)'!Z17,OFFSET('＠グループ、表示名'!$H$4,MATCH('＠MFP (LSI name)'!Z17,'＠グループ、表示名'!$D$4:$D$250,0)-1,0)))</f>
        <v/>
      </c>
      <c r="AA17" s="69" t="str">
        <f ca="1">IF('＠MFP (LSI name)'!AA17="","",IF(COUNTIF('＠MFP (LSI name)'!AA17,"Serial*")+COUNTIF('＠MFP (LSI name)'!AA17,"Analog*")&gt;0,'＠MFP (LSI name)'!AA17,OFFSET('＠グループ、表示名'!$H$4,MATCH('＠MFP (LSI name)'!AA17,'＠グループ、表示名'!$D$4:$D$250,0)-1,0)))</f>
        <v/>
      </c>
      <c r="AB17" s="69" t="str">
        <f ca="1">IF('＠MFP (LSI name)'!AB17="","",IF(COUNTIF('＠MFP (LSI name)'!AB17,"Serial*")+COUNTIF('＠MFP (LSI name)'!AB17,"Analog*")&gt;0,'＠MFP (LSI name)'!AB17,OFFSET('＠グループ、表示名'!$H$4,MATCH('＠MFP (LSI name)'!AB17,'＠グループ、表示名'!$D$4:$D$250,0)-1,0)))</f>
        <v/>
      </c>
      <c r="AC17" s="18" t="str">
        <f ca="1">IF('＠MFP (LSI name)'!AC17="","",IF(COUNTIF('＠MFP (LSI name)'!AC17,"Serial*")+COUNTIF('＠MFP (LSI name)'!AC17,"Analog*")&gt;0,'＠MFP (LSI name)'!AC17,OFFSET('＠グループ、表示名'!$H$4,MATCH('＠MFP (LSI name)'!AC17,'＠グループ、表示名'!$D$4:$D$250,0)-1,0)))</f>
        <v/>
      </c>
      <c r="AD17" s="18" t="str">
        <f ca="1">IF('＠MFP (LSI name)'!AD17="","",IF(COUNTIF('＠MFP (LSI name)'!AD17,"Serial*")+COUNTIF('＠MFP (LSI name)'!AD17,"Analog*")&gt;0,'＠MFP (LSI name)'!AD17,OFFSET('＠グループ、表示名'!$H$4,MATCH('＠MFP (LSI name)'!AD17,'＠グループ、表示名'!$D$4:$D$250,0)-1,0)))</f>
        <v/>
      </c>
      <c r="AE17" s="18" t="str">
        <f ca="1">IF('＠MFP (LSI name)'!AE17="","",IF(COUNTIF('＠MFP (LSI name)'!AE17,"Serial*")+COUNTIF('＠MFP (LSI name)'!AE17,"Analog*")&gt;0,'＠MFP (LSI name)'!AE17,OFFSET('＠グループ、表示名'!$H$4,MATCH('＠MFP (LSI name)'!AE17,'＠グループ、表示名'!$D$4:$D$250,0)-1,0)))</f>
        <v/>
      </c>
      <c r="AF17" s="69" t="str">
        <f ca="1">IF('＠MFP (LSI name)'!AF17="","",IF(COUNTIF('＠MFP (LSI name)'!AF17,"Serial*")+COUNTIF('＠MFP (LSI name)'!AF17,"Analog*")&gt;0,'＠MFP (LSI name)'!AF17,OFFSET('＠グループ、表示名'!$H$4,MATCH('＠MFP (LSI name)'!AF17,'＠グループ、表示名'!$D$4:$D$250,0)-1,0)))</f>
        <v/>
      </c>
      <c r="AG17" s="69" t="str">
        <f ca="1">IF('＠MFP (LSI name)'!AG17="","",IF(COUNTIF('＠MFP (LSI name)'!AG17,"Serial*")+COUNTIF('＠MFP (LSI name)'!AG17,"Analog*")&gt;0,'＠MFP (LSI name)'!AG17,OFFSET('＠グループ、表示名'!$H$4,MATCH('＠MFP (LSI name)'!AG17,'＠グループ、表示名'!$D$4:$D$250,0)-1,0)))</f>
        <v/>
      </c>
      <c r="AH17" s="18" t="str">
        <f ca="1">IF('＠MFP (LSI name)'!AH17="","",IF(COUNTIF('＠MFP (LSI name)'!AH17,"Serial*")+COUNTIF('＠MFP (LSI name)'!AH17,"Analog*")&gt;0,'＠MFP (LSI name)'!AH17,OFFSET('＠グループ、表示名'!$H$4,MATCH('＠MFP (LSI name)'!AH17,'＠グループ、表示名'!$D$4:$D$250,0)-1,0)))</f>
        <v/>
      </c>
      <c r="AI17" s="18" t="str">
        <f ca="1">IF('＠MFP (LSI name)'!AI17="","",IF(COUNTIF('＠MFP (LSI name)'!AI17,"Serial*")+COUNTIF('＠MFP (LSI name)'!AI17,"Analog*")&gt;0,'＠MFP (LSI name)'!AI17,OFFSET('＠グループ、表示名'!$H$4,MATCH('＠MFP (LSI name)'!AI17,'＠グループ、表示名'!$D$4:$D$250,0)-1,0)))</f>
        <v/>
      </c>
      <c r="AJ17" s="18" t="str">
        <f ca="1">IF('＠MFP (LSI name)'!AJ17="","",IF(COUNTIF('＠MFP (LSI name)'!AJ17,"Serial*")+COUNTIF('＠MFP (LSI name)'!AJ17,"Analog*")&gt;0,'＠MFP (LSI name)'!AJ17,OFFSET('＠グループ、表示名'!$H$4,MATCH('＠MFP (LSI name)'!AJ17,'＠グループ、表示名'!$D$4:$D$250,0)-1,0)))</f>
        <v/>
      </c>
      <c r="AK17" s="69" t="str">
        <f ca="1">IF('＠MFP (LSI name)'!AK17="","",IF(COUNTIF('＠MFP (LSI name)'!AK17,"Serial*")+COUNTIF('＠MFP (LSI name)'!AK17,"Analog*")&gt;0,'＠MFP (LSI name)'!AK17,OFFSET('＠グループ、表示名'!$H$4,MATCH('＠MFP (LSI name)'!AK17,'＠グループ、表示名'!$D$4:$D$250,0)-1,0)))</f>
        <v/>
      </c>
      <c r="AL17" s="9" t="str">
        <f t="shared" si="4"/>
        <v>IOPEMD[7]</v>
      </c>
      <c r="AM17" s="9" t="str">
        <f t="shared" si="5"/>
        <v>IOPEMD[6]</v>
      </c>
      <c r="AN17" s="9" t="str">
        <f t="shared" si="6"/>
        <v>IOPEMD[5]</v>
      </c>
      <c r="AO17" s="9" t="str">
        <f t="shared" si="7"/>
        <v>IOPEMD[4]</v>
      </c>
      <c r="AP17" s="86"/>
    </row>
    <row r="18" spans="1:42" ht="16.149999999999999">
      <c r="A18" s="60">
        <v>17</v>
      </c>
      <c r="B18" s="7">
        <v>17</v>
      </c>
      <c r="C18" s="7"/>
      <c r="D18" s="87"/>
      <c r="E18" s="87"/>
      <c r="F18" s="7">
        <v>17</v>
      </c>
      <c r="G18" s="7"/>
      <c r="H18" s="87"/>
      <c r="I18" s="45" t="s">
        <v>435</v>
      </c>
      <c r="J18" s="45" t="s">
        <v>436</v>
      </c>
      <c r="K18" s="69" t="str">
        <f ca="1">IF('＠MFP (LSI name)'!K18="","",IF(COUNTIF('＠MFP (LSI name)'!K18,"Serial*")+COUNTIF('＠MFP (LSI name)'!K18,"Analog*")&gt;0,'＠MFP (LSI name)'!K18,OFFSET('＠グループ、表示名'!$H$4,MATCH('＠MFP (LSI name)'!K18,'＠グループ、表示名'!$D$4:$D$250,0)-1,0)))</f>
        <v>TM01B</v>
      </c>
      <c r="L18" s="69" t="str">
        <f ca="1">IF('＠MFP (LSI name)'!L18="","",IF(COUNTIF('＠MFP (LSI name)'!L18,"Serial*")+COUNTIF('＠MFP (LSI name)'!L18,"Analog*")&gt;0,'＠MFP (LSI name)'!L18,OFFSET('＠グループ、表示名'!$H$4,MATCH('＠MFP (LSI name)'!L18,'＠グループ、表示名'!$D$4:$D$250,0)-1,0)))</f>
        <v>TM05B</v>
      </c>
      <c r="M18" s="18" t="str">
        <f ca="1">IF('＠MFP (LSI name)'!M18="","",IF(COUNTIF('＠MFP (LSI name)'!M18,"Serial*")+COUNTIF('＠MFP (LSI name)'!M18,"Analog*")&gt;0,'＠MFP (LSI name)'!M18,OFFSET('＠グループ、表示名'!$H$4,MATCH('＠MFP (LSI name)'!M18,'＠グループ、表示名'!$D$4:$D$250,0)-1,0)))</f>
        <v>TM14B</v>
      </c>
      <c r="N18" s="18" t="str">
        <f ca="1">IF('＠MFP (LSI name)'!N18="","",IF(COUNTIF('＠MFP (LSI name)'!N18,"Serial*")+COUNTIF('＠MFP (LSI name)'!N18,"Analog*")&gt;0,'＠MFP (LSI name)'!N18,OFFSET('＠グループ、表示名'!$H$4,MATCH('＠MFP (LSI name)'!N18,'＠グループ、表示名'!$D$4:$D$250,0)-1,0)))</f>
        <v/>
      </c>
      <c r="O18" s="69" t="str">
        <f ca="1">IF('＠MFP (LSI name)'!O18="","",IF(COUNTIF('＠MFP (LSI name)'!O18,"Serial*")+COUNTIF('＠MFP (LSI name)'!O18,"Analog*")&gt;0,'＠MFP (LSI name)'!O18,OFFSET('＠グループ、表示名'!$H$4,MATCH('＠MFP (LSI name)'!O18,'＠グループ、表示名'!$D$4:$D$250,0)-1,0)))</f>
        <v/>
      </c>
      <c r="P18" s="69" t="str">
        <f ca="1">IF('＠MFP (LSI name)'!P18="","",IF(COUNTIF('＠MFP (LSI name)'!P18,"Serial*")+COUNTIF('＠MFP (LSI name)'!P18,"Analog*")&gt;0,'＠MFP (LSI name)'!P18,OFFSET('＠グループ、表示名'!$H$4,MATCH('＠MFP (LSI name)'!P18,'＠グループ、表示名'!$D$4:$D$250,0)-1,0)))</f>
        <v/>
      </c>
      <c r="Q18" s="69" t="str">
        <f ca="1">IF('＠MFP (LSI name)'!Q18="","",IF(COUNTIF('＠MFP (LSI name)'!Q18,"Serial*")+COUNTIF('＠MFP (LSI name)'!Q18,"Analog*")&gt;0,'＠MFP (LSI name)'!Q18,OFFSET('＠グループ、表示名'!$H$4,MATCH('＠MFP (LSI name)'!Q18,'＠グループ、表示名'!$D$4:$D$250,0)-1,0)))</f>
        <v/>
      </c>
      <c r="R18" s="69" t="str">
        <f ca="1">IF('＠MFP (LSI name)'!R18="","",IF(COUNTIF('＠MFP (LSI name)'!R18,"Serial*")+COUNTIF('＠MFP (LSI name)'!R18,"Analog*")&gt;0,'＠MFP (LSI name)'!R18,OFFSET('＠グループ、表示名'!$H$4,MATCH('＠MFP (LSI name)'!R18,'＠グループ、表示名'!$D$4:$D$250,0)-1,0)))</f>
        <v/>
      </c>
      <c r="S18" s="69" t="str">
        <f ca="1">IF('＠MFP (LSI name)'!S18="","",IF(COUNTIF('＠MFP (LSI name)'!S18,"Serial*")+COUNTIF('＠MFP (LSI name)'!S18,"Analog*")&gt;0,'＠MFP (LSI name)'!S18,OFFSET('＠グループ、表示名'!$H$4,MATCH('＠MFP (LSI name)'!S18,'＠グループ、表示名'!$D$4:$D$250,0)-1,0)))</f>
        <v/>
      </c>
      <c r="T18" s="69" t="str">
        <f ca="1">IF('＠MFP (LSI name)'!T18="","",IF(COUNTIF('＠MFP (LSI name)'!T18,"Serial*")+COUNTIF('＠MFP (LSI name)'!T18,"Analog*")&gt;0,'＠MFP (LSI name)'!T18,OFFSET('＠グループ、表示名'!$H$4,MATCH('＠MFP (LSI name)'!T18,'＠グループ、表示名'!$D$4:$D$250,0)-1,0)))</f>
        <v/>
      </c>
      <c r="U18" s="69" t="str">
        <f ca="1">IF('＠MFP (LSI name)'!U18="","",IF(COUNTIF('＠MFP (LSI name)'!U18,"Serial*")+COUNTIF('＠MFP (LSI name)'!U18,"Analog*")&gt;0,'＠MFP (LSI name)'!U18,OFFSET('＠グループ、表示名'!$H$4,MATCH('＠MFP (LSI name)'!U18,'＠グループ、表示名'!$D$4:$D$250,0)-1,0)))</f>
        <v/>
      </c>
      <c r="V18" s="69" t="str">
        <f ca="1">IF('＠MFP (LSI name)'!V18="","",IF(COUNTIF('＠MFP (LSI name)'!V18,"Serial*")+COUNTIF('＠MFP (LSI name)'!V18,"Analog*")&gt;0,'＠MFP (LSI name)'!V18,OFFSET('＠グループ、表示名'!$H$4,MATCH('＠MFP (LSI name)'!V18,'＠グループ、表示名'!$D$4:$D$250,0)-1,0)))</f>
        <v/>
      </c>
      <c r="W18" s="18" t="str">
        <f ca="1">IF('＠MFP (LSI name)'!W18="","",IF(COUNTIF('＠MFP (LSI name)'!W18,"Serial*")+COUNTIF('＠MFP (LSI name)'!W18,"Analog*")&gt;0,'＠MFP (LSI name)'!W18,OFFSET('＠グループ、表示名'!$H$4,MATCH('＠MFP (LSI name)'!W18,'＠グループ、表示名'!$D$4:$D$250,0)-1,0)))</f>
        <v/>
      </c>
      <c r="X18" s="18" t="str">
        <f ca="1">IF('＠MFP (LSI name)'!X18="","",IF(COUNTIF('＠MFP (LSI name)'!X18,"Serial*")+COUNTIF('＠MFP (LSI name)'!X18,"Analog*")&gt;0,'＠MFP (LSI name)'!X18,OFFSET('＠グループ、表示名'!$H$4,MATCH('＠MFP (LSI name)'!X18,'＠グループ、表示名'!$D$4:$D$250,0)-1,0)))</f>
        <v/>
      </c>
      <c r="Y18" s="18" t="str">
        <f ca="1">IF('＠MFP (LSI name)'!Y18="","",IF(COUNTIF('＠MFP (LSI name)'!Y18,"Serial*")+COUNTIF('＠MFP (LSI name)'!Y18,"Analog*")&gt;0,'＠MFP (LSI name)'!Y18,OFFSET('＠グループ、表示名'!$H$4,MATCH('＠MFP (LSI name)'!Y18,'＠グループ、表示名'!$D$4:$D$250,0)-1,0)))</f>
        <v/>
      </c>
      <c r="Z18" s="18" t="str">
        <f ca="1">IF('＠MFP (LSI name)'!Z18="","",IF(COUNTIF('＠MFP (LSI name)'!Z18,"Serial*")+COUNTIF('＠MFP (LSI name)'!Z18,"Analog*")&gt;0,'＠MFP (LSI name)'!Z18,OFFSET('＠グループ、表示名'!$H$4,MATCH('＠MFP (LSI name)'!Z18,'＠グループ、表示名'!$D$4:$D$250,0)-1,0)))</f>
        <v/>
      </c>
      <c r="AA18" s="69" t="str">
        <f ca="1">IF('＠MFP (LSI name)'!AA18="","",IF(COUNTIF('＠MFP (LSI name)'!AA18,"Serial*")+COUNTIF('＠MFP (LSI name)'!AA18,"Analog*")&gt;0,'＠MFP (LSI name)'!AA18,OFFSET('＠グループ、表示名'!$H$4,MATCH('＠MFP (LSI name)'!AA18,'＠グループ、表示名'!$D$4:$D$250,0)-1,0)))</f>
        <v/>
      </c>
      <c r="AB18" s="69" t="str">
        <f ca="1">IF('＠MFP (LSI name)'!AB18="","",IF(COUNTIF('＠MFP (LSI name)'!AB18,"Serial*")+COUNTIF('＠MFP (LSI name)'!AB18,"Analog*")&gt;0,'＠MFP (LSI name)'!AB18,OFFSET('＠グループ、表示名'!$H$4,MATCH('＠MFP (LSI name)'!AB18,'＠グループ、表示名'!$D$4:$D$250,0)-1,0)))</f>
        <v/>
      </c>
      <c r="AC18" s="18" t="str">
        <f ca="1">IF('＠MFP (LSI name)'!AC18="","",IF(COUNTIF('＠MFP (LSI name)'!AC18,"Serial*")+COUNTIF('＠MFP (LSI name)'!AC18,"Analog*")&gt;0,'＠MFP (LSI name)'!AC18,OFFSET('＠グループ、表示名'!$H$4,MATCH('＠MFP (LSI name)'!AC18,'＠グループ、表示名'!$D$4:$D$250,0)-1,0)))</f>
        <v/>
      </c>
      <c r="AD18" s="18" t="str">
        <f ca="1">IF('＠MFP (LSI name)'!AD18="","",IF(COUNTIF('＠MFP (LSI name)'!AD18,"Serial*")+COUNTIF('＠MFP (LSI name)'!AD18,"Analog*")&gt;0,'＠MFP (LSI name)'!AD18,OFFSET('＠グループ、表示名'!$H$4,MATCH('＠MFP (LSI name)'!AD18,'＠グループ、表示名'!$D$4:$D$250,0)-1,0)))</f>
        <v/>
      </c>
      <c r="AE18" s="18" t="str">
        <f ca="1">IF('＠MFP (LSI name)'!AE18="","",IF(COUNTIF('＠MFP (LSI name)'!AE18,"Serial*")+COUNTIF('＠MFP (LSI name)'!AE18,"Analog*")&gt;0,'＠MFP (LSI name)'!AE18,OFFSET('＠グループ、表示名'!$H$4,MATCH('＠MFP (LSI name)'!AE18,'＠グループ、表示名'!$D$4:$D$250,0)-1,0)))</f>
        <v/>
      </c>
      <c r="AF18" s="69" t="str">
        <f ca="1">IF('＠MFP (LSI name)'!AF18="","",IF(COUNTIF('＠MFP (LSI name)'!AF18,"Serial*")+COUNTIF('＠MFP (LSI name)'!AF18,"Analog*")&gt;0,'＠MFP (LSI name)'!AF18,OFFSET('＠グループ、表示名'!$H$4,MATCH('＠MFP (LSI name)'!AF18,'＠グループ、表示名'!$D$4:$D$250,0)-1,0)))</f>
        <v/>
      </c>
      <c r="AG18" s="69" t="str">
        <f ca="1">IF('＠MFP (LSI name)'!AG18="","",IF(COUNTIF('＠MFP (LSI name)'!AG18,"Serial*")+COUNTIF('＠MFP (LSI name)'!AG18,"Analog*")&gt;0,'＠MFP (LSI name)'!AG18,OFFSET('＠グループ、表示名'!$H$4,MATCH('＠MFP (LSI name)'!AG18,'＠グループ、表示名'!$D$4:$D$250,0)-1,0)))</f>
        <v/>
      </c>
      <c r="AH18" s="18" t="str">
        <f ca="1">IF('＠MFP (LSI name)'!AH18="","",IF(COUNTIF('＠MFP (LSI name)'!AH18,"Serial*")+COUNTIF('＠MFP (LSI name)'!AH18,"Analog*")&gt;0,'＠MFP (LSI name)'!AH18,OFFSET('＠グループ、表示名'!$H$4,MATCH('＠MFP (LSI name)'!AH18,'＠グループ、表示名'!$D$4:$D$250,0)-1,0)))</f>
        <v/>
      </c>
      <c r="AI18" s="18" t="str">
        <f ca="1">IF('＠MFP (LSI name)'!AI18="","",IF(COUNTIF('＠MFP (LSI name)'!AI18,"Serial*")+COUNTIF('＠MFP (LSI name)'!AI18,"Analog*")&gt;0,'＠MFP (LSI name)'!AI18,OFFSET('＠グループ、表示名'!$H$4,MATCH('＠MFP (LSI name)'!AI18,'＠グループ、表示名'!$D$4:$D$250,0)-1,0)))</f>
        <v/>
      </c>
      <c r="AJ18" s="18" t="str">
        <f ca="1">IF('＠MFP (LSI name)'!AJ18="","",IF(COUNTIF('＠MFP (LSI name)'!AJ18,"Serial*")+COUNTIF('＠MFP (LSI name)'!AJ18,"Analog*")&gt;0,'＠MFP (LSI name)'!AJ18,OFFSET('＠グループ、表示名'!$H$4,MATCH('＠MFP (LSI name)'!AJ18,'＠グループ、表示名'!$D$4:$D$250,0)-1,0)))</f>
        <v/>
      </c>
      <c r="AK18" s="69" t="str">
        <f ca="1">IF('＠MFP (LSI name)'!AK18="","",IF(COUNTIF('＠MFP (LSI name)'!AK18,"Serial*")+COUNTIF('＠MFP (LSI name)'!AK18,"Analog*")&gt;0,'＠MFP (LSI name)'!AK18,OFFSET('＠グループ、表示名'!$H$4,MATCH('＠MFP (LSI name)'!AK18,'＠グループ、表示名'!$D$4:$D$250,0)-1,0)))</f>
        <v/>
      </c>
      <c r="AL18" s="9" t="str">
        <f t="shared" si="4"/>
        <v>IOPEMD[3]</v>
      </c>
      <c r="AM18" s="9" t="str">
        <f t="shared" si="5"/>
        <v>IOPEMD[2]</v>
      </c>
      <c r="AN18" s="9" t="str">
        <f t="shared" si="6"/>
        <v>IOPEMD[1]</v>
      </c>
      <c r="AO18" s="9" t="str">
        <f t="shared" si="7"/>
        <v>IOPEMD[0]</v>
      </c>
      <c r="AP18" s="86"/>
    </row>
    <row r="19" spans="1:42" ht="16.149999999999999">
      <c r="A19" s="60">
        <v>18</v>
      </c>
      <c r="B19" s="7">
        <v>18</v>
      </c>
      <c r="C19" s="7">
        <v>15</v>
      </c>
      <c r="D19" s="87">
        <v>12</v>
      </c>
      <c r="E19" s="87">
        <v>10</v>
      </c>
      <c r="F19" s="7">
        <v>18</v>
      </c>
      <c r="G19" s="7">
        <v>15</v>
      </c>
      <c r="H19" s="87">
        <v>12</v>
      </c>
      <c r="I19" s="45" t="s">
        <v>372</v>
      </c>
      <c r="J19" s="45" t="s">
        <v>373</v>
      </c>
      <c r="K19" s="69" t="str">
        <f ca="1">IF('＠MFP (LSI name)'!K19="","",IF(COUNTIF('＠MFP (LSI name)'!K19,"Serial*")+COUNTIF('＠MFP (LSI name)'!K19,"Analog*")&gt;0,'＠MFP (LSI name)'!K19,OFFSET('＠グループ、表示名'!$H$4,MATCH('＠MFP (LSI name)'!K19,'＠グループ、表示名'!$D$4:$D$250,0)-1,0)))</f>
        <v>GPWM7_GPWM70</v>
      </c>
      <c r="L19" s="69" t="str">
        <f ca="1">IF('＠MFP (LSI name)'!L19="","",IF(COUNTIF('＠MFP (LSI name)'!L19,"Serial*")+COUNTIF('＠MFP (LSI name)'!L19,"Analog*")&gt;0,'＠MFP (LSI name)'!L19,OFFSET('＠グループ、表示名'!$H$4,MATCH('＠MFP (LSI name)'!L19,'＠グループ、表示名'!$D$4:$D$250,0)-1,0)))</f>
        <v>IRQ31</v>
      </c>
      <c r="M19" s="69" t="str">
        <f ca="1">IF('＠MFP (LSI name)'!M19="","",IF(COUNTIF('＠MFP (LSI name)'!M19,"Serial*")+COUNTIF('＠MFP (LSI name)'!M19,"Analog*")&gt;0,'＠MFP (LSI name)'!M19,OFFSET('＠グループ、表示名'!$H$4,MATCH('＠MFP (LSI name)'!M19,'＠グループ、表示名'!$D$4:$D$250,0)-1,0)))</f>
        <v>IRQ35</v>
      </c>
      <c r="N19" s="69" t="str">
        <f ca="1">IF('＠MFP (LSI name)'!N19="","",IF(COUNTIF('＠MFP (LSI name)'!N19,"Serial*")+COUNTIF('＠MFP (LSI name)'!N19,"Analog*")&gt;0,'＠MFP (LSI name)'!N19,OFFSET('＠グループ、表示名'!$H$4,MATCH('＠MFP (LSI name)'!N19,'＠グループ、表示名'!$D$4:$D$250,0)-1,0)))</f>
        <v>TM14A</v>
      </c>
      <c r="O19" s="18" t="str">
        <f ca="1">IF('＠MFP (LSI name)'!O19="","",IF(COUNTIF('＠MFP (LSI name)'!O19,"Serial*")+COUNTIF('＠MFP (LSI name)'!O19,"Analog*")&gt;0,'＠MFP (LSI name)'!O19,OFFSET('＠グループ、表示名'!$H$4,MATCH('＠MFP (LSI name)'!O19,'＠グループ、表示名'!$D$4:$D$250,0)-1,0)))</f>
        <v>SIF3_SBCS3</v>
      </c>
      <c r="P19" s="69" t="str">
        <f ca="1">IF('＠MFP (LSI name)'!P19="","",IF(COUNTIF('＠MFP (LSI name)'!P19,"Serial*")+COUNTIF('＠MFP (LSI name)'!P19,"Analog*")&gt;0,'＠MFP (LSI name)'!P19,OFFSET('＠グループ、表示名'!$H$4,MATCH('＠MFP (LSI name)'!P19,'＠グループ、表示名'!$D$4:$D$250,0)-1,0)))</f>
        <v/>
      </c>
      <c r="Q19" s="69" t="str">
        <f ca="1">IF('＠MFP (LSI name)'!Q19="","",IF(COUNTIF('＠MFP (LSI name)'!Q19,"Serial*")+COUNTIF('＠MFP (LSI name)'!Q19,"Analog*")&gt;0,'＠MFP (LSI name)'!Q19,OFFSET('＠グループ、表示名'!$H$4,MATCH('＠MFP (LSI name)'!Q19,'＠グループ、表示名'!$D$4:$D$250,0)-1,0)))</f>
        <v/>
      </c>
      <c r="R19" s="69" t="str">
        <f ca="1">IF('＠MFP (LSI name)'!R19="","",IF(COUNTIF('＠MFP (LSI name)'!R19,"Serial*")+COUNTIF('＠MFP (LSI name)'!R19,"Analog*")&gt;0,'＠MFP (LSI name)'!R19,OFFSET('＠グループ、表示名'!$H$4,MATCH('＠MFP (LSI name)'!R19,'＠グループ、表示名'!$D$4:$D$250,0)-1,0)))</f>
        <v/>
      </c>
      <c r="S19" s="69" t="str">
        <f ca="1">IF('＠MFP (LSI name)'!S19="","",IF(COUNTIF('＠MFP (LSI name)'!S19,"Serial*")+COUNTIF('＠MFP (LSI name)'!S19,"Analog*")&gt;0,'＠MFP (LSI name)'!S19,OFFSET('＠グループ、表示名'!$H$4,MATCH('＠MFP (LSI name)'!S19,'＠グループ、表示名'!$D$4:$D$250,0)-1,0)))</f>
        <v/>
      </c>
      <c r="T19" s="69" t="str">
        <f ca="1">IF('＠MFP (LSI name)'!T19="","",IF(COUNTIF('＠MFP (LSI name)'!T19,"Serial*")+COUNTIF('＠MFP (LSI name)'!T19,"Analog*")&gt;0,'＠MFP (LSI name)'!T19,OFFSET('＠グループ、表示名'!$H$4,MATCH('＠MFP (LSI name)'!T19,'＠グループ、表示名'!$D$4:$D$250,0)-1,0)))</f>
        <v/>
      </c>
      <c r="U19" s="69" t="str">
        <f ca="1">IF('＠MFP (LSI name)'!U19="","",IF(COUNTIF('＠MFP (LSI name)'!U19,"Serial*")+COUNTIF('＠MFP (LSI name)'!U19,"Analog*")&gt;0,'＠MFP (LSI name)'!U19,OFFSET('＠グループ、表示名'!$H$4,MATCH('＠MFP (LSI name)'!U19,'＠グループ、表示名'!$D$4:$D$250,0)-1,0)))</f>
        <v/>
      </c>
      <c r="V19" s="69" t="str">
        <f ca="1">IF('＠MFP (LSI name)'!V19="","",IF(COUNTIF('＠MFP (LSI name)'!V19,"Serial*")+COUNTIF('＠MFP (LSI name)'!V19,"Analog*")&gt;0,'＠MFP (LSI name)'!V19,OFFSET('＠グループ、表示名'!$H$4,MATCH('＠MFP (LSI name)'!V19,'＠グループ、表示名'!$D$4:$D$250,0)-1,0)))</f>
        <v/>
      </c>
      <c r="W19" s="18" t="str">
        <f ca="1">IF('＠MFP (LSI name)'!W19="","",IF(COUNTIF('＠MFP (LSI name)'!W19,"Serial*")+COUNTIF('＠MFP (LSI name)'!W19,"Analog*")&gt;0,'＠MFP (LSI name)'!W19,OFFSET('＠グループ、表示名'!$H$4,MATCH('＠MFP (LSI name)'!W19,'＠グループ、表示名'!$D$4:$D$250,0)-1,0)))</f>
        <v/>
      </c>
      <c r="X19" s="18" t="str">
        <f ca="1">IF('＠MFP (LSI name)'!X19="","",IF(COUNTIF('＠MFP (LSI name)'!X19,"Serial*")+COUNTIF('＠MFP (LSI name)'!X19,"Analog*")&gt;0,'＠MFP (LSI name)'!X19,OFFSET('＠グループ、表示名'!$H$4,MATCH('＠MFP (LSI name)'!X19,'＠グループ、表示名'!$D$4:$D$250,0)-1,0)))</f>
        <v/>
      </c>
      <c r="Y19" s="18" t="str">
        <f ca="1">IF('＠MFP (LSI name)'!Y19="","",IF(COUNTIF('＠MFP (LSI name)'!Y19,"Serial*")+COUNTIF('＠MFP (LSI name)'!Y19,"Analog*")&gt;0,'＠MFP (LSI name)'!Y19,OFFSET('＠グループ、表示名'!$H$4,MATCH('＠MFP (LSI name)'!Y19,'＠グループ、表示名'!$D$4:$D$250,0)-1,0)))</f>
        <v/>
      </c>
      <c r="Z19" s="18" t="str">
        <f ca="1">IF('＠MFP (LSI name)'!Z19="","",IF(COUNTIF('＠MFP (LSI name)'!Z19,"Serial*")+COUNTIF('＠MFP (LSI name)'!Z19,"Analog*")&gt;0,'＠MFP (LSI name)'!Z19,OFFSET('＠グループ、表示名'!$H$4,MATCH('＠MFP (LSI name)'!Z19,'＠グループ、表示名'!$D$4:$D$250,0)-1,0)))</f>
        <v/>
      </c>
      <c r="AA19" s="69" t="str">
        <f ca="1">IF('＠MFP (LSI name)'!AA19="","",IF(COUNTIF('＠MFP (LSI name)'!AA19,"Serial*")+COUNTIF('＠MFP (LSI name)'!AA19,"Analog*")&gt;0,'＠MFP (LSI name)'!AA19,OFFSET('＠グループ、表示名'!$H$4,MATCH('＠MFP (LSI name)'!AA19,'＠グループ、表示名'!$D$4:$D$250,0)-1,0)))</f>
        <v/>
      </c>
      <c r="AB19" s="69" t="str">
        <f ca="1">IF('＠MFP (LSI name)'!AB19="","",IF(COUNTIF('＠MFP (LSI name)'!AB19,"Serial*")+COUNTIF('＠MFP (LSI name)'!AB19,"Analog*")&gt;0,'＠MFP (LSI name)'!AB19,OFFSET('＠グループ、表示名'!$H$4,MATCH('＠MFP (LSI name)'!AB19,'＠グループ、表示名'!$D$4:$D$250,0)-1,0)))</f>
        <v/>
      </c>
      <c r="AC19" s="18" t="str">
        <f ca="1">IF('＠MFP (LSI name)'!AC19="","",IF(COUNTIF('＠MFP (LSI name)'!AC19,"Serial*")+COUNTIF('＠MFP (LSI name)'!AC19,"Analog*")&gt;0,'＠MFP (LSI name)'!AC19,OFFSET('＠グループ、表示名'!$H$4,MATCH('＠MFP (LSI name)'!AC19,'＠グループ、表示名'!$D$4:$D$250,0)-1,0)))</f>
        <v/>
      </c>
      <c r="AD19" s="18" t="str">
        <f ca="1">IF('＠MFP (LSI name)'!AD19="","",IF(COUNTIF('＠MFP (LSI name)'!AD19,"Serial*")+COUNTIF('＠MFP (LSI name)'!AD19,"Analog*")&gt;0,'＠MFP (LSI name)'!AD19,OFFSET('＠グループ、表示名'!$H$4,MATCH('＠MFP (LSI name)'!AD19,'＠グループ、表示名'!$D$4:$D$250,0)-1,0)))</f>
        <v/>
      </c>
      <c r="AE19" s="18" t="str">
        <f ca="1">IF('＠MFP (LSI name)'!AE19="","",IF(COUNTIF('＠MFP (LSI name)'!AE19,"Serial*")+COUNTIF('＠MFP (LSI name)'!AE19,"Analog*")&gt;0,'＠MFP (LSI name)'!AE19,OFFSET('＠グループ、表示名'!$H$4,MATCH('＠MFP (LSI name)'!AE19,'＠グループ、表示名'!$D$4:$D$250,0)-1,0)))</f>
        <v/>
      </c>
      <c r="AF19" s="69" t="str">
        <f ca="1">IF('＠MFP (LSI name)'!AF19="","",IF(COUNTIF('＠MFP (LSI name)'!AF19,"Serial*")+COUNTIF('＠MFP (LSI name)'!AF19,"Analog*")&gt;0,'＠MFP (LSI name)'!AF19,OFFSET('＠グループ、表示名'!$H$4,MATCH('＠MFP (LSI name)'!AF19,'＠グループ、表示名'!$D$4:$D$250,0)-1,0)))</f>
        <v/>
      </c>
      <c r="AG19" s="69" t="str">
        <f ca="1">IF('＠MFP (LSI name)'!AG19="","",IF(COUNTIF('＠MFP (LSI name)'!AG19,"Serial*")+COUNTIF('＠MFP (LSI name)'!AG19,"Analog*")&gt;0,'＠MFP (LSI name)'!AG19,OFFSET('＠グループ、表示名'!$H$4,MATCH('＠MFP (LSI name)'!AG19,'＠グループ、表示名'!$D$4:$D$250,0)-1,0)))</f>
        <v/>
      </c>
      <c r="AH19" s="18" t="str">
        <f ca="1">IF('＠MFP (LSI name)'!AH19="","",IF(COUNTIF('＠MFP (LSI name)'!AH19,"Serial*")+COUNTIF('＠MFP (LSI name)'!AH19,"Analog*")&gt;0,'＠MFP (LSI name)'!AH19,OFFSET('＠グループ、表示名'!$H$4,MATCH('＠MFP (LSI name)'!AH19,'＠グループ、表示名'!$D$4:$D$250,0)-1,0)))</f>
        <v/>
      </c>
      <c r="AI19" s="18" t="str">
        <f ca="1">IF('＠MFP (LSI name)'!AI19="","",IF(COUNTIF('＠MFP (LSI name)'!AI19,"Serial*")+COUNTIF('＠MFP (LSI name)'!AI19,"Analog*")&gt;0,'＠MFP (LSI name)'!AI19,OFFSET('＠グループ、表示名'!$H$4,MATCH('＠MFP (LSI name)'!AI19,'＠グループ、表示名'!$D$4:$D$250,0)-1,0)))</f>
        <v/>
      </c>
      <c r="AJ19" s="18" t="str">
        <f ca="1">IF('＠MFP (LSI name)'!AJ19="","",IF(COUNTIF('＠MFP (LSI name)'!AJ19,"Serial*")+COUNTIF('＠MFP (LSI name)'!AJ19,"Analog*")&gt;0,'＠MFP (LSI name)'!AJ19,OFFSET('＠グループ、表示名'!$H$4,MATCH('＠MFP (LSI name)'!AJ19,'＠グループ、表示名'!$D$4:$D$250,0)-1,0)))</f>
        <v/>
      </c>
      <c r="AK19" s="69" t="str">
        <f ca="1">IF('＠MFP (LSI name)'!AK19="","",IF(COUNTIF('＠MFP (LSI name)'!AK19,"Serial*")+COUNTIF('＠MFP (LSI name)'!AK19,"Analog*")&gt;0,'＠MFP (LSI name)'!AK19,OFFSET('＠グループ、表示名'!$H$4,MATCH('＠MFP (LSI name)'!AK19,'＠グループ、表示名'!$D$4:$D$250,0)-1,0)))</f>
        <v/>
      </c>
      <c r="AL19" s="9" t="str">
        <f t="shared" si="4"/>
        <v>IOPDMD[31]</v>
      </c>
      <c r="AM19" s="9" t="str">
        <f t="shared" si="5"/>
        <v>IOPDMD[30]</v>
      </c>
      <c r="AN19" s="9" t="str">
        <f t="shared" si="6"/>
        <v>IOPDMD[29]</v>
      </c>
      <c r="AO19" s="9" t="str">
        <f t="shared" si="7"/>
        <v>IOPDMD[28]</v>
      </c>
      <c r="AP19" s="86"/>
    </row>
    <row r="20" spans="1:42" ht="16.149999999999999">
      <c r="A20" s="60">
        <v>19</v>
      </c>
      <c r="B20" s="7">
        <v>19</v>
      </c>
      <c r="C20" s="7">
        <v>16</v>
      </c>
      <c r="D20" s="87">
        <v>13</v>
      </c>
      <c r="E20" s="87"/>
      <c r="F20" s="7">
        <v>19</v>
      </c>
      <c r="G20" s="7">
        <v>16</v>
      </c>
      <c r="H20" s="87">
        <v>13</v>
      </c>
      <c r="I20" s="45" t="s">
        <v>374</v>
      </c>
      <c r="J20" s="45" t="s">
        <v>375</v>
      </c>
      <c r="K20" s="69" t="str">
        <f ca="1">IF('＠MFP (LSI name)'!K20="","",IF(COUNTIF('＠MFP (LSI name)'!K20,"Serial*")+COUNTIF('＠MFP (LSI name)'!K20,"Analog*")&gt;0,'＠MFP (LSI name)'!K20,OFFSET('＠グループ、表示名'!$H$4,MATCH('＠MFP (LSI name)'!K20,'＠グループ、表示名'!$D$4:$D$250,0)-1,0)))</f>
        <v>GPWM7_GPWM71</v>
      </c>
      <c r="L20" s="69" t="str">
        <f ca="1">IF('＠MFP (LSI name)'!L20="","",IF(COUNTIF('＠MFP (LSI name)'!L20,"Serial*")+COUNTIF('＠MFP (LSI name)'!L20,"Analog*")&gt;0,'＠MFP (LSI name)'!L20,OFFSET('＠グループ、表示名'!$H$4,MATCH('＠MFP (LSI name)'!L20,'＠グループ、表示名'!$D$4:$D$250,0)-1,0)))</f>
        <v>IRQ05</v>
      </c>
      <c r="M20" s="69" t="str">
        <f ca="1">IF('＠MFP (LSI name)'!M20="","",IF(COUNTIF('＠MFP (LSI name)'!M20,"Serial*")+COUNTIF('＠MFP (LSI name)'!M20,"Analog*")&gt;0,'＠MFP (LSI name)'!M20,OFFSET('＠グループ、表示名'!$H$4,MATCH('＠MFP (LSI name)'!M20,'＠グループ、表示名'!$D$4:$D$250,0)-1,0)))</f>
        <v>TM01A</v>
      </c>
      <c r="N20" s="69" t="str">
        <f ca="1">IF('＠MFP (LSI name)'!N20="","",IF(COUNTIF('＠MFP (LSI name)'!N20,"Serial*")+COUNTIF('＠MFP (LSI name)'!N20,"Analog*")&gt;0,'＠MFP (LSI name)'!N20,OFFSET('＠グループ、表示名'!$H$4,MATCH('＠MFP (LSI name)'!N20,'＠グループ、表示名'!$D$4:$D$250,0)-1,0)))</f>
        <v>TM15A</v>
      </c>
      <c r="O20" s="18" t="str">
        <f ca="1">IF('＠MFP (LSI name)'!O20="","",IF(COUNTIF('＠MFP (LSI name)'!O20,"Serial*")+COUNTIF('＠MFP (LSI name)'!O20,"Analog*")&gt;0,'＠MFP (LSI name)'!O20,OFFSET('＠グループ、表示名'!$H$4,MATCH('＠MFP (LSI name)'!O20,'＠グループ、表示名'!$D$4:$D$250,0)-1,0)))</f>
        <v>SIF1_SBCS1</v>
      </c>
      <c r="P20" s="18" t="str">
        <f ca="1">IF('＠MFP (LSI name)'!P20="","",IF(COUNTIF('＠MFP (LSI name)'!P20,"Serial*")+COUNTIF('＠MFP (LSI name)'!P20,"Analog*")&gt;0,'＠MFP (LSI name)'!P20,OFFSET('＠グループ、表示名'!$H$4,MATCH('＠MFP (LSI name)'!P20,'＠グループ、表示名'!$D$4:$D$250,0)-1,0)))</f>
        <v>SIF3_SBCS3</v>
      </c>
      <c r="Q20" s="69" t="str">
        <f ca="1">IF('＠MFP (LSI name)'!Q20="","",IF(COUNTIF('＠MFP (LSI name)'!Q20,"Serial*")+COUNTIF('＠MFP (LSI name)'!Q20,"Analog*")&gt;0,'＠MFP (LSI name)'!Q20,OFFSET('＠グループ、表示名'!$H$4,MATCH('＠MFP (LSI name)'!Q20,'＠グループ、表示名'!$D$4:$D$250,0)-1,0)))</f>
        <v>ADST0</v>
      </c>
      <c r="R20" s="69" t="str">
        <f ca="1">IF('＠MFP (LSI name)'!R20="","",IF(COUNTIF('＠MFP (LSI name)'!R20,"Serial*")+COUNTIF('＠MFP (LSI name)'!R20,"Analog*")&gt;0,'＠MFP (LSI name)'!R20,OFFSET('＠グループ、表示名'!$H$4,MATCH('＠MFP (LSI name)'!R20,'＠グループ、表示名'!$D$4:$D$250,0)-1,0)))</f>
        <v/>
      </c>
      <c r="S20" s="69" t="str">
        <f ca="1">IF('＠MFP (LSI name)'!S20="","",IF(COUNTIF('＠MFP (LSI name)'!S20,"Serial*")+COUNTIF('＠MFP (LSI name)'!S20,"Analog*")&gt;0,'＠MFP (LSI name)'!S20,OFFSET('＠グループ、表示名'!$H$4,MATCH('＠MFP (LSI name)'!S20,'＠グループ、表示名'!$D$4:$D$250,0)-1,0)))</f>
        <v/>
      </c>
      <c r="T20" s="69" t="str">
        <f ca="1">IF('＠MFP (LSI name)'!T20="","",IF(COUNTIF('＠MFP (LSI name)'!T20,"Serial*")+COUNTIF('＠MFP (LSI name)'!T20,"Analog*")&gt;0,'＠MFP (LSI name)'!T20,OFFSET('＠グループ、表示名'!$H$4,MATCH('＠MFP (LSI name)'!T20,'＠グループ、表示名'!$D$4:$D$250,0)-1,0)))</f>
        <v/>
      </c>
      <c r="U20" s="69" t="str">
        <f ca="1">IF('＠MFP (LSI name)'!U20="","",IF(COUNTIF('＠MFP (LSI name)'!U20,"Serial*")+COUNTIF('＠MFP (LSI name)'!U20,"Analog*")&gt;0,'＠MFP (LSI name)'!U20,OFFSET('＠グループ、表示名'!$H$4,MATCH('＠MFP (LSI name)'!U20,'＠グループ、表示名'!$D$4:$D$250,0)-1,0)))</f>
        <v/>
      </c>
      <c r="V20" s="69" t="str">
        <f ca="1">IF('＠MFP (LSI name)'!V20="","",IF(COUNTIF('＠MFP (LSI name)'!V20,"Serial*")+COUNTIF('＠MFP (LSI name)'!V20,"Analog*")&gt;0,'＠MFP (LSI name)'!V20,OFFSET('＠グループ、表示名'!$H$4,MATCH('＠MFP (LSI name)'!V20,'＠グループ、表示名'!$D$4:$D$250,0)-1,0)))</f>
        <v/>
      </c>
      <c r="W20" s="69" t="str">
        <f ca="1">IF('＠MFP (LSI name)'!W20="","",IF(COUNTIF('＠MFP (LSI name)'!W20,"Serial*")+COUNTIF('＠MFP (LSI name)'!W20,"Analog*")&gt;0,'＠MFP (LSI name)'!W20,OFFSET('＠グループ、表示名'!$H$4,MATCH('＠MFP (LSI name)'!W20,'＠グループ、表示名'!$D$4:$D$250,0)-1,0)))</f>
        <v/>
      </c>
      <c r="X20" s="69" t="str">
        <f ca="1">IF('＠MFP (LSI name)'!X20="","",IF(COUNTIF('＠MFP (LSI name)'!X20,"Serial*")+COUNTIF('＠MFP (LSI name)'!X20,"Analog*")&gt;0,'＠MFP (LSI name)'!X20,OFFSET('＠グループ、表示名'!$H$4,MATCH('＠MFP (LSI name)'!X20,'＠グループ、表示名'!$D$4:$D$250,0)-1,0)))</f>
        <v/>
      </c>
      <c r="Y20" s="18" t="str">
        <f ca="1">IF('＠MFP (LSI name)'!Y20="","",IF(COUNTIF('＠MFP (LSI name)'!Y20,"Serial*")+COUNTIF('＠MFP (LSI name)'!Y20,"Analog*")&gt;0,'＠MFP (LSI name)'!Y20,OFFSET('＠グループ、表示名'!$H$4,MATCH('＠MFP (LSI name)'!Y20,'＠グループ、表示名'!$D$4:$D$250,0)-1,0)))</f>
        <v/>
      </c>
      <c r="Z20" s="18" t="str">
        <f ca="1">IF('＠MFP (LSI name)'!Z20="","",IF(COUNTIF('＠MFP (LSI name)'!Z20,"Serial*")+COUNTIF('＠MFP (LSI name)'!Z20,"Analog*")&gt;0,'＠MFP (LSI name)'!Z20,OFFSET('＠グループ、表示名'!$H$4,MATCH('＠MFP (LSI name)'!Z20,'＠グループ、表示名'!$D$4:$D$250,0)-1,0)))</f>
        <v/>
      </c>
      <c r="AA20" s="69" t="str">
        <f ca="1">IF('＠MFP (LSI name)'!AA20="","",IF(COUNTIF('＠MFP (LSI name)'!AA20,"Serial*")+COUNTIF('＠MFP (LSI name)'!AA20,"Analog*")&gt;0,'＠MFP (LSI name)'!AA20,OFFSET('＠グループ、表示名'!$H$4,MATCH('＠MFP (LSI name)'!AA20,'＠グループ、表示名'!$D$4:$D$250,0)-1,0)))</f>
        <v/>
      </c>
      <c r="AB20" s="69" t="str">
        <f ca="1">IF('＠MFP (LSI name)'!AB20="","",IF(COUNTIF('＠MFP (LSI name)'!AB20,"Serial*")+COUNTIF('＠MFP (LSI name)'!AB20,"Analog*")&gt;0,'＠MFP (LSI name)'!AB20,OFFSET('＠グループ、表示名'!$H$4,MATCH('＠MFP (LSI name)'!AB20,'＠グループ、表示名'!$D$4:$D$250,0)-1,0)))</f>
        <v/>
      </c>
      <c r="AC20" s="69" t="str">
        <f ca="1">IF('＠MFP (LSI name)'!AC20="","",IF(COUNTIF('＠MFP (LSI name)'!AC20,"Serial*")+COUNTIF('＠MFP (LSI name)'!AC20,"Analog*")&gt;0,'＠MFP (LSI name)'!AC20,OFFSET('＠グループ、表示名'!$H$4,MATCH('＠MFP (LSI name)'!AC20,'＠グループ、表示名'!$D$4:$D$250,0)-1,0)))</f>
        <v/>
      </c>
      <c r="AD20" s="69" t="str">
        <f ca="1">IF('＠MFP (LSI name)'!AD20="","",IF(COUNTIF('＠MFP (LSI name)'!AD20,"Serial*")+COUNTIF('＠MFP (LSI name)'!AD20,"Analog*")&gt;0,'＠MFP (LSI name)'!AD20,OFFSET('＠グループ、表示名'!$H$4,MATCH('＠MFP (LSI name)'!AD20,'＠グループ、表示名'!$D$4:$D$250,0)-1,0)))</f>
        <v/>
      </c>
      <c r="AE20" s="18" t="str">
        <f ca="1">IF('＠MFP (LSI name)'!AE20="","",IF(COUNTIF('＠MFP (LSI name)'!AE20,"Serial*")+COUNTIF('＠MFP (LSI name)'!AE20,"Analog*")&gt;0,'＠MFP (LSI name)'!AE20,OFFSET('＠グループ、表示名'!$H$4,MATCH('＠MFP (LSI name)'!AE20,'＠グループ、表示名'!$D$4:$D$250,0)-1,0)))</f>
        <v/>
      </c>
      <c r="AF20" s="69" t="str">
        <f ca="1">IF('＠MFP (LSI name)'!AF20="","",IF(COUNTIF('＠MFP (LSI name)'!AF20,"Serial*")+COUNTIF('＠MFP (LSI name)'!AF20,"Analog*")&gt;0,'＠MFP (LSI name)'!AF20,OFFSET('＠グループ、表示名'!$H$4,MATCH('＠MFP (LSI name)'!AF20,'＠グループ、表示名'!$D$4:$D$250,0)-1,0)))</f>
        <v/>
      </c>
      <c r="AG20" s="69" t="str">
        <f ca="1">IF('＠MFP (LSI name)'!AG20="","",IF(COUNTIF('＠MFP (LSI name)'!AG20,"Serial*")+COUNTIF('＠MFP (LSI name)'!AG20,"Analog*")&gt;0,'＠MFP (LSI name)'!AG20,OFFSET('＠グループ、表示名'!$H$4,MATCH('＠MFP (LSI name)'!AG20,'＠グループ、表示名'!$D$4:$D$250,0)-1,0)))</f>
        <v/>
      </c>
      <c r="AH20" s="69" t="str">
        <f ca="1">IF('＠MFP (LSI name)'!AH20="","",IF(COUNTIF('＠MFP (LSI name)'!AH20,"Serial*")+COUNTIF('＠MFP (LSI name)'!AH20,"Analog*")&gt;0,'＠MFP (LSI name)'!AH20,OFFSET('＠グループ、表示名'!$H$4,MATCH('＠MFP (LSI name)'!AH20,'＠グループ、表示名'!$D$4:$D$250,0)-1,0)))</f>
        <v/>
      </c>
      <c r="AI20" s="69" t="str">
        <f ca="1">IF('＠MFP (LSI name)'!AI20="","",IF(COUNTIF('＠MFP (LSI name)'!AI20,"Serial*")+COUNTIF('＠MFP (LSI name)'!AI20,"Analog*")&gt;0,'＠MFP (LSI name)'!AI20,OFFSET('＠グループ、表示名'!$H$4,MATCH('＠MFP (LSI name)'!AI20,'＠グループ、表示名'!$D$4:$D$250,0)-1,0)))</f>
        <v/>
      </c>
      <c r="AJ20" s="18" t="str">
        <f ca="1">IF('＠MFP (LSI name)'!AJ20="","",IF(COUNTIF('＠MFP (LSI name)'!AJ20,"Serial*")+COUNTIF('＠MFP (LSI name)'!AJ20,"Analog*")&gt;0,'＠MFP (LSI name)'!AJ20,OFFSET('＠グループ、表示名'!$H$4,MATCH('＠MFP (LSI name)'!AJ20,'＠グループ、表示名'!$D$4:$D$250,0)-1,0)))</f>
        <v/>
      </c>
      <c r="AK20" s="69" t="str">
        <f ca="1">IF('＠MFP (LSI name)'!AK20="","",IF(COUNTIF('＠MFP (LSI name)'!AK20,"Serial*")+COUNTIF('＠MFP (LSI name)'!AK20,"Analog*")&gt;0,'＠MFP (LSI name)'!AK20,OFFSET('＠グループ、表示名'!$H$4,MATCH('＠MFP (LSI name)'!AK20,'＠グループ、表示名'!$D$4:$D$250,0)-1,0)))</f>
        <v/>
      </c>
      <c r="AL20" s="9" t="str">
        <f t="shared" si="4"/>
        <v>IOPDMD[27]</v>
      </c>
      <c r="AM20" s="9" t="str">
        <f t="shared" si="5"/>
        <v>IOPDMD[26]</v>
      </c>
      <c r="AN20" s="9" t="str">
        <f t="shared" si="6"/>
        <v>IOPDMD[25]</v>
      </c>
      <c r="AO20" s="9" t="str">
        <f t="shared" si="7"/>
        <v>IOPDMD[24]</v>
      </c>
      <c r="AP20" s="86"/>
    </row>
    <row r="21" spans="1:42" ht="16.149999999999999">
      <c r="A21" s="60">
        <v>20</v>
      </c>
      <c r="B21" s="7">
        <v>20</v>
      </c>
      <c r="C21" s="7">
        <v>17</v>
      </c>
      <c r="D21" s="87">
        <v>14</v>
      </c>
      <c r="E21" s="87">
        <v>11</v>
      </c>
      <c r="F21" s="7"/>
      <c r="G21" s="7"/>
      <c r="H21" s="87"/>
      <c r="I21" s="45" t="s">
        <v>376</v>
      </c>
      <c r="J21" s="45" t="s">
        <v>377</v>
      </c>
      <c r="K21" s="116" t="str">
        <f ca="1">IF('＠MFP (LSI name)'!K21="","",IF(COUNTIF('＠MFP (LSI name)'!K21,"Serial*")+COUNTIF('＠MFP (LSI name)'!K21,"Analog*")&gt;0,'＠MFP (LSI name)'!K21,OFFSET('＠グループ、表示名'!$H$4,MATCH('＠MFP (LSI name)'!K21,'＠グループ、表示名'!$D$4:$D$250,0)-1,0)))</f>
        <v>DBG_SWDCLK</v>
      </c>
      <c r="L21" s="69" t="str">
        <f ca="1">IF('＠MFP (LSI name)'!L21="","",IF(COUNTIF('＠MFP (LSI name)'!L21,"Serial*")+COUNTIF('＠MFP (LSI name)'!L21,"Analog*")&gt;0,'＠MFP (LSI name)'!L21,OFFSET('＠グループ、表示名'!$H$4,MATCH('＠MFP (LSI name)'!L21,'＠グループ、表示名'!$D$4:$D$250,0)-1,0)))</f>
        <v>IRQ03</v>
      </c>
      <c r="M21" s="69" t="str">
        <f ca="1">IF('＠MFP (LSI name)'!M21="","",IF(COUNTIF('＠MFP (LSI name)'!M21,"Serial*")+COUNTIF('＠MFP (LSI name)'!M21,"Analog*")&gt;0,'＠MFP (LSI name)'!M21,OFFSET('＠グループ、表示名'!$H$4,MATCH('＠MFP (LSI name)'!M21,'＠グループ、表示名'!$D$4:$D$250,0)-1,0)))</f>
        <v>IRQ30</v>
      </c>
      <c r="N21" s="69" t="str">
        <f ca="1">IF('＠MFP (LSI name)'!N21="","",IF(COUNTIF('＠MFP (LSI name)'!N21,"Serial*")+COUNTIF('＠MFP (LSI name)'!N21,"Analog*")&gt;0,'＠MFP (LSI name)'!N21,OFFSET('＠グループ、表示名'!$H$4,MATCH('＠MFP (LSI name)'!N21,'＠グループ、表示名'!$D$4:$D$250,0)-1,0)))</f>
        <v>IRQ36</v>
      </c>
      <c r="O21" s="18" t="str">
        <f ca="1">IF('＠MFP (LSI name)'!O21="","",IF(COUNTIF('＠MFP (LSI name)'!O21,"Serial*")+COUNTIF('＠MFP (LSI name)'!O21,"Analog*")&gt;0,'＠MFP (LSI name)'!O21,OFFSET('＠グループ、表示名'!$H$4,MATCH('＠MFP (LSI name)'!O21,'＠グループ、表示名'!$D$4:$D$250,0)-1,0)))</f>
        <v>SIF1_SBI1</v>
      </c>
      <c r="P21" s="18" t="str">
        <f ca="1">IF('＠MFP (LSI name)'!P21="","",IF(COUNTIF('＠MFP (LSI name)'!P21,"Serial*")+COUNTIF('＠MFP (LSI name)'!P21,"Analog*")&gt;0,'＠MFP (LSI name)'!P21,OFFSET('＠グループ、表示名'!$H$4,MATCH('＠MFP (LSI name)'!P21,'＠グループ、表示名'!$D$4:$D$250,0)-1,0)))</f>
        <v>SIF1_SBO1</v>
      </c>
      <c r="Q21" s="18" t="str">
        <f ca="1">IF('＠MFP (LSI name)'!Q21="","",IF(COUNTIF('＠MFP (LSI name)'!Q21,"Serial*")+COUNTIF('＠MFP (LSI name)'!Q21,"Analog*")&gt;0,'＠MFP (LSI name)'!Q21,OFFSET('＠グループ、表示名'!$H$4,MATCH('＠MFP (LSI name)'!Q21,'＠グループ、表示名'!$D$4:$D$250,0)-1,0)))</f>
        <v>SIF1_SBT1</v>
      </c>
      <c r="R21" s="69" t="str">
        <f ca="1">IF('＠MFP (LSI name)'!R21="","",IF(COUNTIF('＠MFP (LSI name)'!R21,"Serial*")+COUNTIF('＠MFP (LSI name)'!R21,"Analog*")&gt;0,'＠MFP (LSI name)'!R21,OFFSET('＠グループ、表示名'!$H$4,MATCH('＠MFP (LSI name)'!R21,'＠グループ、表示名'!$D$4:$D$250,0)-1,0)))</f>
        <v/>
      </c>
      <c r="S21" s="69" t="str">
        <f ca="1">IF('＠MFP (LSI name)'!S21="","",IF(COUNTIF('＠MFP (LSI name)'!S21,"Serial*")+COUNTIF('＠MFP (LSI name)'!S21,"Analog*")&gt;0,'＠MFP (LSI name)'!S21,OFFSET('＠グループ、表示名'!$H$4,MATCH('＠MFP (LSI name)'!S21,'＠グループ、表示名'!$D$4:$D$250,0)-1,0)))</f>
        <v/>
      </c>
      <c r="T21" s="69" t="str">
        <f ca="1">IF('＠MFP (LSI name)'!T21="","",IF(COUNTIF('＠MFP (LSI name)'!T21,"Serial*")+COUNTIF('＠MFP (LSI name)'!T21,"Analog*")&gt;0,'＠MFP (LSI name)'!T21,OFFSET('＠グループ、表示名'!$H$4,MATCH('＠MFP (LSI name)'!T21,'＠グループ、表示名'!$D$4:$D$250,0)-1,0)))</f>
        <v/>
      </c>
      <c r="U21" s="69" t="str">
        <f ca="1">IF('＠MFP (LSI name)'!U21="","",IF(COUNTIF('＠MFP (LSI name)'!U21,"Serial*")+COUNTIF('＠MFP (LSI name)'!U21,"Analog*")&gt;0,'＠MFP (LSI name)'!U21,OFFSET('＠グループ、表示名'!$H$4,MATCH('＠MFP (LSI name)'!U21,'＠グループ、表示名'!$D$4:$D$250,0)-1,0)))</f>
        <v/>
      </c>
      <c r="V21" s="69" t="str">
        <f ca="1">IF('＠MFP (LSI name)'!V21="","",IF(COUNTIF('＠MFP (LSI name)'!V21,"Serial*")+COUNTIF('＠MFP (LSI name)'!V21,"Analog*")&gt;0,'＠MFP (LSI name)'!V21,OFFSET('＠グループ、表示名'!$H$4,MATCH('＠MFP (LSI name)'!V21,'＠グループ、表示名'!$D$4:$D$250,0)-1,0)))</f>
        <v/>
      </c>
      <c r="W21" s="69" t="str">
        <f ca="1">IF('＠MFP (LSI name)'!W21="","",IF(COUNTIF('＠MFP (LSI name)'!W21,"Serial*")+COUNTIF('＠MFP (LSI name)'!W21,"Analog*")&gt;0,'＠MFP (LSI name)'!W21,OFFSET('＠グループ、表示名'!$H$4,MATCH('＠MFP (LSI name)'!W21,'＠グループ、表示名'!$D$4:$D$250,0)-1,0)))</f>
        <v/>
      </c>
      <c r="X21" s="69" t="str">
        <f ca="1">IF('＠MFP (LSI name)'!X21="","",IF(COUNTIF('＠MFP (LSI name)'!X21,"Serial*")+COUNTIF('＠MFP (LSI name)'!X21,"Analog*")&gt;0,'＠MFP (LSI name)'!X21,OFFSET('＠グループ、表示名'!$H$4,MATCH('＠MFP (LSI name)'!X21,'＠グループ、表示名'!$D$4:$D$250,0)-1,0)))</f>
        <v/>
      </c>
      <c r="Y21" s="18" t="str">
        <f ca="1">IF('＠MFP (LSI name)'!Y21="","",IF(COUNTIF('＠MFP (LSI name)'!Y21,"Serial*")+COUNTIF('＠MFP (LSI name)'!Y21,"Analog*")&gt;0,'＠MFP (LSI name)'!Y21,OFFSET('＠グループ、表示名'!$H$4,MATCH('＠MFP (LSI name)'!Y21,'＠グループ、表示名'!$D$4:$D$250,0)-1,0)))</f>
        <v/>
      </c>
      <c r="Z21" s="18" t="str">
        <f ca="1">IF('＠MFP (LSI name)'!Z21="","",IF(COUNTIF('＠MFP (LSI name)'!Z21,"Serial*")+COUNTIF('＠MFP (LSI name)'!Z21,"Analog*")&gt;0,'＠MFP (LSI name)'!Z21,OFFSET('＠グループ、表示名'!$H$4,MATCH('＠MFP (LSI name)'!Z21,'＠グループ、表示名'!$D$4:$D$250,0)-1,0)))</f>
        <v/>
      </c>
      <c r="AA21" s="69" t="str">
        <f ca="1">IF('＠MFP (LSI name)'!AA21="","",IF(COUNTIF('＠MFP (LSI name)'!AA21,"Serial*")+COUNTIF('＠MFP (LSI name)'!AA21,"Analog*")&gt;0,'＠MFP (LSI name)'!AA21,OFFSET('＠グループ、表示名'!$H$4,MATCH('＠MFP (LSI name)'!AA21,'＠グループ、表示名'!$D$4:$D$250,0)-1,0)))</f>
        <v/>
      </c>
      <c r="AB21" s="69" t="str">
        <f ca="1">IF('＠MFP (LSI name)'!AB21="","",IF(COUNTIF('＠MFP (LSI name)'!AB21,"Serial*")+COUNTIF('＠MFP (LSI name)'!AB21,"Analog*")&gt;0,'＠MFP (LSI name)'!AB21,OFFSET('＠グループ、表示名'!$H$4,MATCH('＠MFP (LSI name)'!AB21,'＠グループ、表示名'!$D$4:$D$250,0)-1,0)))</f>
        <v/>
      </c>
      <c r="AC21" s="69" t="str">
        <f ca="1">IF('＠MFP (LSI name)'!AC21="","",IF(COUNTIF('＠MFP (LSI name)'!AC21,"Serial*")+COUNTIF('＠MFP (LSI name)'!AC21,"Analog*")&gt;0,'＠MFP (LSI name)'!AC21,OFFSET('＠グループ、表示名'!$H$4,MATCH('＠MFP (LSI name)'!AC21,'＠グループ、表示名'!$D$4:$D$250,0)-1,0)))</f>
        <v/>
      </c>
      <c r="AD21" s="69" t="str">
        <f ca="1">IF('＠MFP (LSI name)'!AD21="","",IF(COUNTIF('＠MFP (LSI name)'!AD21,"Serial*")+COUNTIF('＠MFP (LSI name)'!AD21,"Analog*")&gt;0,'＠MFP (LSI name)'!AD21,OFFSET('＠グループ、表示名'!$H$4,MATCH('＠MFP (LSI name)'!AD21,'＠グループ、表示名'!$D$4:$D$250,0)-1,0)))</f>
        <v/>
      </c>
      <c r="AE21" s="18" t="str">
        <f ca="1">IF('＠MFP (LSI name)'!AE21="","",IF(COUNTIF('＠MFP (LSI name)'!AE21,"Serial*")+COUNTIF('＠MFP (LSI name)'!AE21,"Analog*")&gt;0,'＠MFP (LSI name)'!AE21,OFFSET('＠グループ、表示名'!$H$4,MATCH('＠MFP (LSI name)'!AE21,'＠グループ、表示名'!$D$4:$D$250,0)-1,0)))</f>
        <v/>
      </c>
      <c r="AF21" s="69" t="str">
        <f ca="1">IF('＠MFP (LSI name)'!AF21="","",IF(COUNTIF('＠MFP (LSI name)'!AF21,"Serial*")+COUNTIF('＠MFP (LSI name)'!AF21,"Analog*")&gt;0,'＠MFP (LSI name)'!AF21,OFFSET('＠グループ、表示名'!$H$4,MATCH('＠MFP (LSI name)'!AF21,'＠グループ、表示名'!$D$4:$D$250,0)-1,0)))</f>
        <v/>
      </c>
      <c r="AG21" s="69" t="str">
        <f ca="1">IF('＠MFP (LSI name)'!AG21="","",IF(COUNTIF('＠MFP (LSI name)'!AG21,"Serial*")+COUNTIF('＠MFP (LSI name)'!AG21,"Analog*")&gt;0,'＠MFP (LSI name)'!AG21,OFFSET('＠グループ、表示名'!$H$4,MATCH('＠MFP (LSI name)'!AG21,'＠グループ、表示名'!$D$4:$D$250,0)-1,0)))</f>
        <v/>
      </c>
      <c r="AH21" s="69" t="str">
        <f ca="1">IF('＠MFP (LSI name)'!AH21="","",IF(COUNTIF('＠MFP (LSI name)'!AH21,"Serial*")+COUNTIF('＠MFP (LSI name)'!AH21,"Analog*")&gt;0,'＠MFP (LSI name)'!AH21,OFFSET('＠グループ、表示名'!$H$4,MATCH('＠MFP (LSI name)'!AH21,'＠グループ、表示名'!$D$4:$D$250,0)-1,0)))</f>
        <v/>
      </c>
      <c r="AI21" s="69" t="str">
        <f ca="1">IF('＠MFP (LSI name)'!AI21="","",IF(COUNTIF('＠MFP (LSI name)'!AI21,"Serial*")+COUNTIF('＠MFP (LSI name)'!AI21,"Analog*")&gt;0,'＠MFP (LSI name)'!AI21,OFFSET('＠グループ、表示名'!$H$4,MATCH('＠MFP (LSI name)'!AI21,'＠グループ、表示名'!$D$4:$D$250,0)-1,0)))</f>
        <v/>
      </c>
      <c r="AJ21" s="18" t="str">
        <f ca="1">IF('＠MFP (LSI name)'!AJ21="","",IF(COUNTIF('＠MFP (LSI name)'!AJ21,"Serial*")+COUNTIF('＠MFP (LSI name)'!AJ21,"Analog*")&gt;0,'＠MFP (LSI name)'!AJ21,OFFSET('＠グループ、表示名'!$H$4,MATCH('＠MFP (LSI name)'!AJ21,'＠グループ、表示名'!$D$4:$D$250,0)-1,0)))</f>
        <v/>
      </c>
      <c r="AK21" s="69" t="str">
        <f ca="1">IF('＠MFP (LSI name)'!AK21="","",IF(COUNTIF('＠MFP (LSI name)'!AK21,"Serial*")+COUNTIF('＠MFP (LSI name)'!AK21,"Analog*")&gt;0,'＠MFP (LSI name)'!AK21,OFFSET('＠グループ、表示名'!$H$4,MATCH('＠MFP (LSI name)'!AK21,'＠グループ、表示名'!$D$4:$D$250,0)-1,0)))</f>
        <v/>
      </c>
      <c r="AL21" s="9" t="str">
        <f t="shared" si="4"/>
        <v>IOPDMD[23]</v>
      </c>
      <c r="AM21" s="9" t="str">
        <f t="shared" si="5"/>
        <v>IOPDMD[22]</v>
      </c>
      <c r="AN21" s="9" t="str">
        <f t="shared" si="6"/>
        <v>IOPDMD[21]</v>
      </c>
      <c r="AO21" s="9" t="str">
        <f t="shared" si="7"/>
        <v>IOPDMD[20]</v>
      </c>
      <c r="AP21" s="86"/>
    </row>
    <row r="22" spans="1:42" ht="16.149999999999999">
      <c r="A22" s="60" t="s">
        <v>493</v>
      </c>
      <c r="B22" s="7"/>
      <c r="C22" s="7"/>
      <c r="D22" s="87"/>
      <c r="E22" s="87"/>
      <c r="F22" s="7">
        <v>20</v>
      </c>
      <c r="G22" s="7">
        <v>17</v>
      </c>
      <c r="H22" s="87">
        <v>14</v>
      </c>
      <c r="I22" s="45" t="s">
        <v>376</v>
      </c>
      <c r="J22" s="45" t="s">
        <v>377</v>
      </c>
      <c r="K22" s="69" t="str">
        <f ca="1">IF('＠MFP (LSI name)'!K22="","",IF(COUNTIF('＠MFP (LSI name)'!K22,"Serial*")+COUNTIF('＠MFP (LSI name)'!K22,"Analog*")&gt;0,'＠MFP (LSI name)'!K22,OFFSET('＠グループ、表示名'!$H$4,MATCH('＠MFP (LSI name)'!K22,'＠グループ、表示名'!$D$4:$D$250,0)-1,0)))</f>
        <v/>
      </c>
      <c r="L22" s="69" t="str">
        <f ca="1">IF('＠MFP (LSI name)'!L22="","",IF(COUNTIF('＠MFP (LSI name)'!L22,"Serial*")+COUNTIF('＠MFP (LSI name)'!L22,"Analog*")&gt;0,'＠MFP (LSI name)'!L22,OFFSET('＠グループ、表示名'!$H$4,MATCH('＠MFP (LSI name)'!L22,'＠グループ、表示名'!$D$4:$D$250,0)-1,0)))</f>
        <v>IRQ03</v>
      </c>
      <c r="M22" s="69" t="str">
        <f ca="1">IF('＠MFP (LSI name)'!M22="","",IF(COUNTIF('＠MFP (LSI name)'!M22,"Serial*")+COUNTIF('＠MFP (LSI name)'!M22,"Analog*")&gt;0,'＠MFP (LSI name)'!M22,OFFSET('＠グループ、表示名'!$H$4,MATCH('＠MFP (LSI name)'!M22,'＠グループ、表示名'!$D$4:$D$250,0)-1,0)))</f>
        <v>IRQ30</v>
      </c>
      <c r="N22" s="69" t="str">
        <f ca="1">IF('＠MFP (LSI name)'!N22="","",IF(COUNTIF('＠MFP (LSI name)'!N22,"Serial*")+COUNTIF('＠MFP (LSI name)'!N22,"Analog*")&gt;0,'＠MFP (LSI name)'!N22,OFFSET('＠グループ、表示名'!$H$4,MATCH('＠MFP (LSI name)'!N22,'＠グループ、表示名'!$D$4:$D$250,0)-1,0)))</f>
        <v>IRQ36</v>
      </c>
      <c r="O22" s="18" t="str">
        <f ca="1">IF('＠MFP (LSI name)'!O22="","",IF(COUNTIF('＠MFP (LSI name)'!O22,"Serial*")+COUNTIF('＠MFP (LSI name)'!O22,"Analog*")&gt;0,'＠MFP (LSI name)'!O22,OFFSET('＠グループ、表示名'!$H$4,MATCH('＠MFP (LSI name)'!O22,'＠グループ、表示名'!$D$4:$D$250,0)-1,0)))</f>
        <v>SIF1_SBI1</v>
      </c>
      <c r="P22" s="18" t="str">
        <f ca="1">IF('＠MFP (LSI name)'!P22="","",IF(COUNTIF('＠MFP (LSI name)'!P22,"Serial*")+COUNTIF('＠MFP (LSI name)'!P22,"Analog*")&gt;0,'＠MFP (LSI name)'!P22,OFFSET('＠グループ、表示名'!$H$4,MATCH('＠MFP (LSI name)'!P22,'＠グループ、表示名'!$D$4:$D$250,0)-1,0)))</f>
        <v>SIF1_SBO1</v>
      </c>
      <c r="Q22" s="18" t="str">
        <f ca="1">IF('＠MFP (LSI name)'!Q22="","",IF(COUNTIF('＠MFP (LSI name)'!Q22,"Serial*")+COUNTIF('＠MFP (LSI name)'!Q22,"Analog*")&gt;0,'＠MFP (LSI name)'!Q22,OFFSET('＠グループ、表示名'!$H$4,MATCH('＠MFP (LSI name)'!Q22,'＠グループ、表示名'!$D$4:$D$250,0)-1,0)))</f>
        <v>SIF1_SBT1</v>
      </c>
      <c r="R22" s="69" t="str">
        <f ca="1">IF('＠MFP (LSI name)'!R22="","",IF(COUNTIF('＠MFP (LSI name)'!R22,"Serial*")+COUNTIF('＠MFP (LSI name)'!R22,"Analog*")&gt;0,'＠MFP (LSI name)'!R22,OFFSET('＠グループ、表示名'!$H$4,MATCH('＠MFP (LSI name)'!R22,'＠グループ、表示名'!$D$4:$D$250,0)-1,0)))</f>
        <v/>
      </c>
      <c r="S22" s="69" t="str">
        <f ca="1">IF('＠MFP (LSI name)'!S22="","",IF(COUNTIF('＠MFP (LSI name)'!S22,"Serial*")+COUNTIF('＠MFP (LSI name)'!S22,"Analog*")&gt;0,'＠MFP (LSI name)'!S22,OFFSET('＠グループ、表示名'!$H$4,MATCH('＠MFP (LSI name)'!S22,'＠グループ、表示名'!$D$4:$D$250,0)-1,0)))</f>
        <v/>
      </c>
      <c r="T22" s="69" t="str">
        <f ca="1">IF('＠MFP (LSI name)'!T22="","",IF(COUNTIF('＠MFP (LSI name)'!T22,"Serial*")+COUNTIF('＠MFP (LSI name)'!T22,"Analog*")&gt;0,'＠MFP (LSI name)'!T22,OFFSET('＠グループ、表示名'!$H$4,MATCH('＠MFP (LSI name)'!T22,'＠グループ、表示名'!$D$4:$D$250,0)-1,0)))</f>
        <v/>
      </c>
      <c r="U22" s="69" t="str">
        <f ca="1">IF('＠MFP (LSI name)'!U22="","",IF(COUNTIF('＠MFP (LSI name)'!U22,"Serial*")+COUNTIF('＠MFP (LSI name)'!U22,"Analog*")&gt;0,'＠MFP (LSI name)'!U22,OFFSET('＠グループ、表示名'!$H$4,MATCH('＠MFP (LSI name)'!U22,'＠グループ、表示名'!$D$4:$D$250,0)-1,0)))</f>
        <v/>
      </c>
      <c r="V22" s="69" t="str">
        <f ca="1">IF('＠MFP (LSI name)'!V22="","",IF(COUNTIF('＠MFP (LSI name)'!V22,"Serial*")+COUNTIF('＠MFP (LSI name)'!V22,"Analog*")&gt;0,'＠MFP (LSI name)'!V22,OFFSET('＠グループ、表示名'!$H$4,MATCH('＠MFP (LSI name)'!V22,'＠グループ、表示名'!$D$4:$D$250,0)-1,0)))</f>
        <v/>
      </c>
      <c r="W22" s="69" t="str">
        <f ca="1">IF('＠MFP (LSI name)'!W22="","",IF(COUNTIF('＠MFP (LSI name)'!W22,"Serial*")+COUNTIF('＠MFP (LSI name)'!W22,"Analog*")&gt;0,'＠MFP (LSI name)'!W22,OFFSET('＠グループ、表示名'!$H$4,MATCH('＠MFP (LSI name)'!W22,'＠グループ、表示名'!$D$4:$D$250,0)-1,0)))</f>
        <v/>
      </c>
      <c r="X22" s="69" t="str">
        <f ca="1">IF('＠MFP (LSI name)'!X22="","",IF(COUNTIF('＠MFP (LSI name)'!X22,"Serial*")+COUNTIF('＠MFP (LSI name)'!X22,"Analog*")&gt;0,'＠MFP (LSI name)'!X22,OFFSET('＠グループ、表示名'!$H$4,MATCH('＠MFP (LSI name)'!X22,'＠グループ、表示名'!$D$4:$D$250,0)-1,0)))</f>
        <v/>
      </c>
      <c r="Y22" s="18" t="str">
        <f ca="1">IF('＠MFP (LSI name)'!Y22="","",IF(COUNTIF('＠MFP (LSI name)'!Y22,"Serial*")+COUNTIF('＠MFP (LSI name)'!Y22,"Analog*")&gt;0,'＠MFP (LSI name)'!Y22,OFFSET('＠グループ、表示名'!$H$4,MATCH('＠MFP (LSI name)'!Y22,'＠グループ、表示名'!$D$4:$D$250,0)-1,0)))</f>
        <v/>
      </c>
      <c r="Z22" s="18" t="str">
        <f ca="1">IF('＠MFP (LSI name)'!Z22="","",IF(COUNTIF('＠MFP (LSI name)'!Z22,"Serial*")+COUNTIF('＠MFP (LSI name)'!Z22,"Analog*")&gt;0,'＠MFP (LSI name)'!Z22,OFFSET('＠グループ、表示名'!$H$4,MATCH('＠MFP (LSI name)'!Z22,'＠グループ、表示名'!$D$4:$D$250,0)-1,0)))</f>
        <v/>
      </c>
      <c r="AA22" s="69" t="str">
        <f ca="1">IF('＠MFP (LSI name)'!AA22="","",IF(COUNTIF('＠MFP (LSI name)'!AA22,"Serial*")+COUNTIF('＠MFP (LSI name)'!AA22,"Analog*")&gt;0,'＠MFP (LSI name)'!AA22,OFFSET('＠グループ、表示名'!$H$4,MATCH('＠MFP (LSI name)'!AA22,'＠グループ、表示名'!$D$4:$D$250,0)-1,0)))</f>
        <v/>
      </c>
      <c r="AB22" s="69" t="str">
        <f ca="1">IF('＠MFP (LSI name)'!AB22="","",IF(COUNTIF('＠MFP (LSI name)'!AB22,"Serial*")+COUNTIF('＠MFP (LSI name)'!AB22,"Analog*")&gt;0,'＠MFP (LSI name)'!AB22,OFFSET('＠グループ、表示名'!$H$4,MATCH('＠MFP (LSI name)'!AB22,'＠グループ、表示名'!$D$4:$D$250,0)-1,0)))</f>
        <v/>
      </c>
      <c r="AC22" s="69" t="str">
        <f ca="1">IF('＠MFP (LSI name)'!AC22="","",IF(COUNTIF('＠MFP (LSI name)'!AC22,"Serial*")+COUNTIF('＠MFP (LSI name)'!AC22,"Analog*")&gt;0,'＠MFP (LSI name)'!AC22,OFFSET('＠グループ、表示名'!$H$4,MATCH('＠MFP (LSI name)'!AC22,'＠グループ、表示名'!$D$4:$D$250,0)-1,0)))</f>
        <v/>
      </c>
      <c r="AD22" s="69" t="str">
        <f ca="1">IF('＠MFP (LSI name)'!AD22="","",IF(COUNTIF('＠MFP (LSI name)'!AD22,"Serial*")+COUNTIF('＠MFP (LSI name)'!AD22,"Analog*")&gt;0,'＠MFP (LSI name)'!AD22,OFFSET('＠グループ、表示名'!$H$4,MATCH('＠MFP (LSI name)'!AD22,'＠グループ、表示名'!$D$4:$D$250,0)-1,0)))</f>
        <v/>
      </c>
      <c r="AE22" s="18" t="str">
        <f ca="1">IF('＠MFP (LSI name)'!AE22="","",IF(COUNTIF('＠MFP (LSI name)'!AE22,"Serial*")+COUNTIF('＠MFP (LSI name)'!AE22,"Analog*")&gt;0,'＠MFP (LSI name)'!AE22,OFFSET('＠グループ、表示名'!$H$4,MATCH('＠MFP (LSI name)'!AE22,'＠グループ、表示名'!$D$4:$D$250,0)-1,0)))</f>
        <v/>
      </c>
      <c r="AF22" s="69" t="str">
        <f ca="1">IF('＠MFP (LSI name)'!AF22="","",IF(COUNTIF('＠MFP (LSI name)'!AF22,"Serial*")+COUNTIF('＠MFP (LSI name)'!AF22,"Analog*")&gt;0,'＠MFP (LSI name)'!AF22,OFFSET('＠グループ、表示名'!$H$4,MATCH('＠MFP (LSI name)'!AF22,'＠グループ、表示名'!$D$4:$D$250,0)-1,0)))</f>
        <v/>
      </c>
      <c r="AG22" s="69" t="str">
        <f ca="1">IF('＠MFP (LSI name)'!AG22="","",IF(COUNTIF('＠MFP (LSI name)'!AG22,"Serial*")+COUNTIF('＠MFP (LSI name)'!AG22,"Analog*")&gt;0,'＠MFP (LSI name)'!AG22,OFFSET('＠グループ、表示名'!$H$4,MATCH('＠MFP (LSI name)'!AG22,'＠グループ、表示名'!$D$4:$D$250,0)-1,0)))</f>
        <v/>
      </c>
      <c r="AH22" s="69" t="str">
        <f ca="1">IF('＠MFP (LSI name)'!AH22="","",IF(COUNTIF('＠MFP (LSI name)'!AH22,"Serial*")+COUNTIF('＠MFP (LSI name)'!AH22,"Analog*")&gt;0,'＠MFP (LSI name)'!AH22,OFFSET('＠グループ、表示名'!$H$4,MATCH('＠MFP (LSI name)'!AH22,'＠グループ、表示名'!$D$4:$D$250,0)-1,0)))</f>
        <v/>
      </c>
      <c r="AI22" s="69" t="str">
        <f ca="1">IF('＠MFP (LSI name)'!AI22="","",IF(COUNTIF('＠MFP (LSI name)'!AI22,"Serial*")+COUNTIF('＠MFP (LSI name)'!AI22,"Analog*")&gt;0,'＠MFP (LSI name)'!AI22,OFFSET('＠グループ、表示名'!$H$4,MATCH('＠MFP (LSI name)'!AI22,'＠グループ、表示名'!$D$4:$D$250,0)-1,0)))</f>
        <v/>
      </c>
      <c r="AJ22" s="18" t="str">
        <f ca="1">IF('＠MFP (LSI name)'!AJ22="","",IF(COUNTIF('＠MFP (LSI name)'!AJ22,"Serial*")+COUNTIF('＠MFP (LSI name)'!AJ22,"Analog*")&gt;0,'＠MFP (LSI name)'!AJ22,OFFSET('＠グループ、表示名'!$H$4,MATCH('＠MFP (LSI name)'!AJ22,'＠グループ、表示名'!$D$4:$D$250,0)-1,0)))</f>
        <v/>
      </c>
      <c r="AK22" s="69" t="str">
        <f ca="1">IF('＠MFP (LSI name)'!AK22="","",IF(COUNTIF('＠MFP (LSI name)'!AK22,"Serial*")+COUNTIF('＠MFP (LSI name)'!AK22,"Analog*")&gt;0,'＠MFP (LSI name)'!AK22,OFFSET('＠グループ、表示名'!$H$4,MATCH('＠MFP (LSI name)'!AK22,'＠グループ、表示名'!$D$4:$D$250,0)-1,0)))</f>
        <v/>
      </c>
      <c r="AL22" s="9" t="str">
        <f t="shared" si="4"/>
        <v>IOPDMD[23]</v>
      </c>
      <c r="AM22" s="9" t="str">
        <f t="shared" si="5"/>
        <v>IOPDMD[22]</v>
      </c>
      <c r="AN22" s="9" t="str">
        <f t="shared" si="6"/>
        <v>IOPDMD[21]</v>
      </c>
      <c r="AO22" s="9" t="str">
        <f t="shared" si="7"/>
        <v>IOPDMD[20]</v>
      </c>
      <c r="AP22" s="86"/>
    </row>
    <row r="23" spans="1:42" ht="16.149999999999999">
      <c r="A23" s="60">
        <v>21</v>
      </c>
      <c r="B23" s="7">
        <v>21</v>
      </c>
      <c r="C23" s="7">
        <v>18</v>
      </c>
      <c r="D23" s="87">
        <v>15</v>
      </c>
      <c r="E23" s="87"/>
      <c r="F23" s="7">
        <v>21</v>
      </c>
      <c r="G23" s="7">
        <v>18</v>
      </c>
      <c r="H23" s="87">
        <v>15</v>
      </c>
      <c r="I23" s="45" t="s">
        <v>378</v>
      </c>
      <c r="J23" s="45" t="s">
        <v>379</v>
      </c>
      <c r="K23" s="69" t="str">
        <f ca="1">IF('＠MFP (LSI name)'!K23="","",IF(COUNTIF('＠MFP (LSI name)'!K23,"Serial*")+COUNTIF('＠MFP (LSI name)'!K23,"Analog*")&gt;0,'＠MFP (LSI name)'!K23,OFFSET('＠グループ、表示名'!$H$4,MATCH('＠MFP (LSI name)'!K23,'＠グループ、表示名'!$D$4:$D$250,0)-1,0)))</f>
        <v>IRQ02</v>
      </c>
      <c r="L23" s="69" t="str">
        <f ca="1">IF('＠MFP (LSI name)'!L23="","",IF(COUNTIF('＠MFP (LSI name)'!L23,"Serial*")+COUNTIF('＠MFP (LSI name)'!L23,"Analog*")&gt;0,'＠MFP (LSI name)'!L23,OFFSET('＠グループ、表示名'!$H$4,MATCH('＠MFP (LSI name)'!L23,'＠グループ、表示名'!$D$4:$D$250,0)-1,0)))</f>
        <v>TM00B</v>
      </c>
      <c r="M23" s="69" t="str">
        <f ca="1">IF('＠MFP (LSI name)'!M23="","",IF(COUNTIF('＠MFP (LSI name)'!M23,"Serial*")+COUNTIF('＠MFP (LSI name)'!M23,"Analog*")&gt;0,'＠MFP (LSI name)'!M23,OFFSET('＠グループ、表示名'!$H$4,MATCH('＠MFP (LSI name)'!M23,'＠グループ、表示名'!$D$4:$D$250,0)-1,0)))</f>
        <v>TM06B</v>
      </c>
      <c r="N23" s="18" t="str">
        <f ca="1">IF('＠MFP (LSI name)'!N23="","",IF(COUNTIF('＠MFP (LSI name)'!N23,"Serial*")+COUNTIF('＠MFP (LSI name)'!N23,"Analog*")&gt;0,'＠MFP (LSI name)'!N23,OFFSET('＠グループ、表示名'!$H$4,MATCH('＠MFP (LSI name)'!N23,'＠グループ、表示名'!$D$4:$D$250,0)-1,0)))</f>
        <v>SIF1_SBO1</v>
      </c>
      <c r="O23" s="18" t="str">
        <f ca="1">IF('＠MFP (LSI name)'!O23="","",IF(COUNTIF('＠MFP (LSI name)'!O23,"Serial*")+COUNTIF('＠MFP (LSI name)'!O23,"Analog*")&gt;0,'＠MFP (LSI name)'!O23,OFFSET('＠グループ、表示名'!$H$4,MATCH('＠MFP (LSI name)'!O23,'＠グループ、表示名'!$D$4:$D$250,0)-1,0)))</f>
        <v>SIF1_SBT1</v>
      </c>
      <c r="P23" s="69" t="str">
        <f ca="1">IF('＠MFP (LSI name)'!P23="","",IF(COUNTIF('＠MFP (LSI name)'!P23,"Serial*")+COUNTIF('＠MFP (LSI name)'!P23,"Analog*")&gt;0,'＠MFP (LSI name)'!P23,OFFSET('＠グループ、表示名'!$H$4,MATCH('＠MFP (LSI name)'!P23,'＠グループ、表示名'!$D$4:$D$250,0)-1,0)))</f>
        <v/>
      </c>
      <c r="Q23" s="69" t="str">
        <f ca="1">IF('＠MFP (LSI name)'!Q23="","",IF(COUNTIF('＠MFP (LSI name)'!Q23,"Serial*")+COUNTIF('＠MFP (LSI name)'!Q23,"Analog*")&gt;0,'＠MFP (LSI name)'!Q23,OFFSET('＠グループ、表示名'!$H$4,MATCH('＠MFP (LSI name)'!Q23,'＠グループ、表示名'!$D$4:$D$250,0)-1,0)))</f>
        <v/>
      </c>
      <c r="R23" s="69" t="str">
        <f ca="1">IF('＠MFP (LSI name)'!R23="","",IF(COUNTIF('＠MFP (LSI name)'!R23,"Serial*")+COUNTIF('＠MFP (LSI name)'!R23,"Analog*")&gt;0,'＠MFP (LSI name)'!R23,OFFSET('＠グループ、表示名'!$H$4,MATCH('＠MFP (LSI name)'!R23,'＠グループ、表示名'!$D$4:$D$250,0)-1,0)))</f>
        <v/>
      </c>
      <c r="S23" s="69" t="str">
        <f ca="1">IF('＠MFP (LSI name)'!S23="","",IF(COUNTIF('＠MFP (LSI name)'!S23,"Serial*")+COUNTIF('＠MFP (LSI name)'!S23,"Analog*")&gt;0,'＠MFP (LSI name)'!S23,OFFSET('＠グループ、表示名'!$H$4,MATCH('＠MFP (LSI name)'!S23,'＠グループ、表示名'!$D$4:$D$250,0)-1,0)))</f>
        <v/>
      </c>
      <c r="T23" s="69" t="str">
        <f ca="1">IF('＠MFP (LSI name)'!T23="","",IF(COUNTIF('＠MFP (LSI name)'!T23,"Serial*")+COUNTIF('＠MFP (LSI name)'!T23,"Analog*")&gt;0,'＠MFP (LSI name)'!T23,OFFSET('＠グループ、表示名'!$H$4,MATCH('＠MFP (LSI name)'!T23,'＠グループ、表示名'!$D$4:$D$250,0)-1,0)))</f>
        <v/>
      </c>
      <c r="U23" s="69" t="str">
        <f ca="1">IF('＠MFP (LSI name)'!U23="","",IF(COUNTIF('＠MFP (LSI name)'!U23,"Serial*")+COUNTIF('＠MFP (LSI name)'!U23,"Analog*")&gt;0,'＠MFP (LSI name)'!U23,OFFSET('＠グループ、表示名'!$H$4,MATCH('＠MFP (LSI name)'!U23,'＠グループ、表示名'!$D$4:$D$250,0)-1,0)))</f>
        <v/>
      </c>
      <c r="V23" s="69" t="str">
        <f ca="1">IF('＠MFP (LSI name)'!V23="","",IF(COUNTIF('＠MFP (LSI name)'!V23,"Serial*")+COUNTIF('＠MFP (LSI name)'!V23,"Analog*")&gt;0,'＠MFP (LSI name)'!V23,OFFSET('＠グループ、表示名'!$H$4,MATCH('＠MFP (LSI name)'!V23,'＠グループ、表示名'!$D$4:$D$250,0)-1,0)))</f>
        <v/>
      </c>
      <c r="W23" s="18" t="str">
        <f ca="1">IF('＠MFP (LSI name)'!W23="","",IF(COUNTIF('＠MFP (LSI name)'!W23,"Serial*")+COUNTIF('＠MFP (LSI name)'!W23,"Analog*")&gt;0,'＠MFP (LSI name)'!W23,OFFSET('＠グループ、表示名'!$H$4,MATCH('＠MFP (LSI name)'!W23,'＠グループ、表示名'!$D$4:$D$250,0)-1,0)))</f>
        <v/>
      </c>
      <c r="X23" s="18" t="str">
        <f ca="1">IF('＠MFP (LSI name)'!X23="","",IF(COUNTIF('＠MFP (LSI name)'!X23,"Serial*")+COUNTIF('＠MFP (LSI name)'!X23,"Analog*")&gt;0,'＠MFP (LSI name)'!X23,OFFSET('＠グループ、表示名'!$H$4,MATCH('＠MFP (LSI name)'!X23,'＠グループ、表示名'!$D$4:$D$250,0)-1,0)))</f>
        <v/>
      </c>
      <c r="Y23" s="18" t="str">
        <f ca="1">IF('＠MFP (LSI name)'!Y23="","",IF(COUNTIF('＠MFP (LSI name)'!Y23,"Serial*")+COUNTIF('＠MFP (LSI name)'!Y23,"Analog*")&gt;0,'＠MFP (LSI name)'!Y23,OFFSET('＠グループ、表示名'!$H$4,MATCH('＠MFP (LSI name)'!Y23,'＠グループ、表示名'!$D$4:$D$250,0)-1,0)))</f>
        <v/>
      </c>
      <c r="Z23" s="18" t="str">
        <f ca="1">IF('＠MFP (LSI name)'!Z23="","",IF(COUNTIF('＠MFP (LSI name)'!Z23,"Serial*")+COUNTIF('＠MFP (LSI name)'!Z23,"Analog*")&gt;0,'＠MFP (LSI name)'!Z23,OFFSET('＠グループ、表示名'!$H$4,MATCH('＠MFP (LSI name)'!Z23,'＠グループ、表示名'!$D$4:$D$250,0)-1,0)))</f>
        <v/>
      </c>
      <c r="AA23" s="69" t="str">
        <f ca="1">IF('＠MFP (LSI name)'!AA23="","",IF(COUNTIF('＠MFP (LSI name)'!AA23,"Serial*")+COUNTIF('＠MFP (LSI name)'!AA23,"Analog*")&gt;0,'＠MFP (LSI name)'!AA23,OFFSET('＠グループ、表示名'!$H$4,MATCH('＠MFP (LSI name)'!AA23,'＠グループ、表示名'!$D$4:$D$250,0)-1,0)))</f>
        <v/>
      </c>
      <c r="AB23" s="69" t="str">
        <f ca="1">IF('＠MFP (LSI name)'!AB23="","",IF(COUNTIF('＠MFP (LSI name)'!AB23,"Serial*")+COUNTIF('＠MFP (LSI name)'!AB23,"Analog*")&gt;0,'＠MFP (LSI name)'!AB23,OFFSET('＠グループ、表示名'!$H$4,MATCH('＠MFP (LSI name)'!AB23,'＠グループ、表示名'!$D$4:$D$250,0)-1,0)))</f>
        <v/>
      </c>
      <c r="AC23" s="18" t="str">
        <f ca="1">IF('＠MFP (LSI name)'!AC23="","",IF(COUNTIF('＠MFP (LSI name)'!AC23,"Serial*")+COUNTIF('＠MFP (LSI name)'!AC23,"Analog*")&gt;0,'＠MFP (LSI name)'!AC23,OFFSET('＠グループ、表示名'!$H$4,MATCH('＠MFP (LSI name)'!AC23,'＠グループ、表示名'!$D$4:$D$250,0)-1,0)))</f>
        <v/>
      </c>
      <c r="AD23" s="18" t="str">
        <f ca="1">IF('＠MFP (LSI name)'!AD23="","",IF(COUNTIF('＠MFP (LSI name)'!AD23,"Serial*")+COUNTIF('＠MFP (LSI name)'!AD23,"Analog*")&gt;0,'＠MFP (LSI name)'!AD23,OFFSET('＠グループ、表示名'!$H$4,MATCH('＠MFP (LSI name)'!AD23,'＠グループ、表示名'!$D$4:$D$250,0)-1,0)))</f>
        <v/>
      </c>
      <c r="AE23" s="18" t="str">
        <f ca="1">IF('＠MFP (LSI name)'!AE23="","",IF(COUNTIF('＠MFP (LSI name)'!AE23,"Serial*")+COUNTIF('＠MFP (LSI name)'!AE23,"Analog*")&gt;0,'＠MFP (LSI name)'!AE23,OFFSET('＠グループ、表示名'!$H$4,MATCH('＠MFP (LSI name)'!AE23,'＠グループ、表示名'!$D$4:$D$250,0)-1,0)))</f>
        <v/>
      </c>
      <c r="AF23" s="69" t="str">
        <f ca="1">IF('＠MFP (LSI name)'!AF23="","",IF(COUNTIF('＠MFP (LSI name)'!AF23,"Serial*")+COUNTIF('＠MFP (LSI name)'!AF23,"Analog*")&gt;0,'＠MFP (LSI name)'!AF23,OFFSET('＠グループ、表示名'!$H$4,MATCH('＠MFP (LSI name)'!AF23,'＠グループ、表示名'!$D$4:$D$250,0)-1,0)))</f>
        <v/>
      </c>
      <c r="AG23" s="69" t="str">
        <f ca="1">IF('＠MFP (LSI name)'!AG23="","",IF(COUNTIF('＠MFP (LSI name)'!AG23,"Serial*")+COUNTIF('＠MFP (LSI name)'!AG23,"Analog*")&gt;0,'＠MFP (LSI name)'!AG23,OFFSET('＠グループ、表示名'!$H$4,MATCH('＠MFP (LSI name)'!AG23,'＠グループ、表示名'!$D$4:$D$250,0)-1,0)))</f>
        <v/>
      </c>
      <c r="AH23" s="18" t="str">
        <f ca="1">IF('＠MFP (LSI name)'!AH23="","",IF(COUNTIF('＠MFP (LSI name)'!AH23,"Serial*")+COUNTIF('＠MFP (LSI name)'!AH23,"Analog*")&gt;0,'＠MFP (LSI name)'!AH23,OFFSET('＠グループ、表示名'!$H$4,MATCH('＠MFP (LSI name)'!AH23,'＠グループ、表示名'!$D$4:$D$250,0)-1,0)))</f>
        <v/>
      </c>
      <c r="AI23" s="18" t="str">
        <f ca="1">IF('＠MFP (LSI name)'!AI23="","",IF(COUNTIF('＠MFP (LSI name)'!AI23,"Serial*")+COUNTIF('＠MFP (LSI name)'!AI23,"Analog*")&gt;0,'＠MFP (LSI name)'!AI23,OFFSET('＠グループ、表示名'!$H$4,MATCH('＠MFP (LSI name)'!AI23,'＠グループ、表示名'!$D$4:$D$250,0)-1,0)))</f>
        <v/>
      </c>
      <c r="AJ23" s="18" t="str">
        <f ca="1">IF('＠MFP (LSI name)'!AJ23="","",IF(COUNTIF('＠MFP (LSI name)'!AJ23,"Serial*")+COUNTIF('＠MFP (LSI name)'!AJ23,"Analog*")&gt;0,'＠MFP (LSI name)'!AJ23,OFFSET('＠グループ、表示名'!$H$4,MATCH('＠MFP (LSI name)'!AJ23,'＠グループ、表示名'!$D$4:$D$250,0)-1,0)))</f>
        <v/>
      </c>
      <c r="AK23" s="69" t="str">
        <f ca="1">IF('＠MFP (LSI name)'!AK23="","",IF(COUNTIF('＠MFP (LSI name)'!AK23,"Serial*")+COUNTIF('＠MFP (LSI name)'!AK23,"Analog*")&gt;0,'＠MFP (LSI name)'!AK23,OFFSET('＠グループ、表示名'!$H$4,MATCH('＠MFP (LSI name)'!AK23,'＠グループ、表示名'!$D$4:$D$250,0)-1,0)))</f>
        <v/>
      </c>
      <c r="AL23" s="9" t="str">
        <f t="shared" si="4"/>
        <v>IOPDMD[19]</v>
      </c>
      <c r="AM23" s="9" t="str">
        <f t="shared" si="5"/>
        <v>IOPDMD[18]</v>
      </c>
      <c r="AN23" s="9" t="str">
        <f t="shared" si="6"/>
        <v>IOPDMD[17]</v>
      </c>
      <c r="AO23" s="9" t="str">
        <f t="shared" si="7"/>
        <v>IOPDMD[16]</v>
      </c>
      <c r="AP23" s="86"/>
    </row>
    <row r="24" spans="1:42" ht="16.149999999999999">
      <c r="A24" s="60">
        <v>22</v>
      </c>
      <c r="B24" s="7">
        <v>22</v>
      </c>
      <c r="C24" s="7">
        <v>19</v>
      </c>
      <c r="D24" s="87">
        <v>16</v>
      </c>
      <c r="E24" s="87">
        <v>12</v>
      </c>
      <c r="F24" s="7"/>
      <c r="G24" s="7"/>
      <c r="H24" s="87"/>
      <c r="I24" s="45" t="s">
        <v>381</v>
      </c>
      <c r="J24" s="45" t="s">
        <v>382</v>
      </c>
      <c r="K24" s="116" t="str">
        <f ca="1">IF('＠MFP (LSI name)'!K24="","",IF(COUNTIF('＠MFP (LSI name)'!K24,"Serial*")+COUNTIF('＠MFP (LSI name)'!K24,"Analog*")&gt;0,'＠MFP (LSI name)'!K24,OFFSET('＠グループ、表示名'!$H$4,MATCH('＠MFP (LSI name)'!K24,'＠グループ、表示名'!$D$4:$D$250,0)-1,0)))</f>
        <v>DBG_SWDD</v>
      </c>
      <c r="L24" s="69" t="str">
        <f ca="1">IF('＠MFP (LSI name)'!L24="","",IF(COUNTIF('＠MFP (LSI name)'!L24,"Serial*")+COUNTIF('＠MFP (LSI name)'!L24,"Analog*")&gt;0,'＠MFP (LSI name)'!L24,OFFSET('＠グループ、表示名'!$H$4,MATCH('＠MFP (LSI name)'!L24,'＠グループ、表示名'!$D$4:$D$250,0)-1,0)))</f>
        <v>TM00A</v>
      </c>
      <c r="M24" s="18" t="str">
        <f ca="1">IF('＠MFP (LSI name)'!M24="","",IF(COUNTIF('＠MFP (LSI name)'!M24,"Serial*")+COUNTIF('＠MFP (LSI name)'!M24,"Analog*")&gt;0,'＠MFP (LSI name)'!M24,OFFSET('＠グループ、表示名'!$H$4,MATCH('＠MFP (LSI name)'!M24,'＠グループ、表示名'!$D$4:$D$250,0)-1,0)))</f>
        <v>SIF1_SBI1</v>
      </c>
      <c r="N24" s="18" t="str">
        <f ca="1">IF('＠MFP (LSI name)'!N24="","",IF(COUNTIF('＠MFP (LSI name)'!N24,"Serial*")+COUNTIF('＠MFP (LSI name)'!N24,"Analog*")&gt;0,'＠MFP (LSI name)'!N24,OFFSET('＠グループ、表示名'!$H$4,MATCH('＠MFP (LSI name)'!N24,'＠グループ、表示名'!$D$4:$D$250,0)-1,0)))</f>
        <v>SIF1_SBO1</v>
      </c>
      <c r="O24" s="69" t="str">
        <f ca="1">IF('＠MFP (LSI name)'!O24="","",IF(COUNTIF('＠MFP (LSI name)'!O24,"Serial*")+COUNTIF('＠MFP (LSI name)'!O24,"Analog*")&gt;0,'＠MFP (LSI name)'!O24,OFFSET('＠グループ、表示名'!$H$4,MATCH('＠MFP (LSI name)'!O24,'＠グループ、表示名'!$D$4:$D$250,0)-1,0)))</f>
        <v/>
      </c>
      <c r="P24" s="69" t="str">
        <f ca="1">IF('＠MFP (LSI name)'!P24="","",IF(COUNTIF('＠MFP (LSI name)'!P24,"Serial*")+COUNTIF('＠MFP (LSI name)'!P24,"Analog*")&gt;0,'＠MFP (LSI name)'!P24,OFFSET('＠グループ、表示名'!$H$4,MATCH('＠MFP (LSI name)'!P24,'＠グループ、表示名'!$D$4:$D$250,0)-1,0)))</f>
        <v/>
      </c>
      <c r="Q24" s="69" t="str">
        <f ca="1">IF('＠MFP (LSI name)'!Q24="","",IF(COUNTIF('＠MFP (LSI name)'!Q24,"Serial*")+COUNTIF('＠MFP (LSI name)'!Q24,"Analog*")&gt;0,'＠MFP (LSI name)'!Q24,OFFSET('＠グループ、表示名'!$H$4,MATCH('＠MFP (LSI name)'!Q24,'＠グループ、表示名'!$D$4:$D$250,0)-1,0)))</f>
        <v/>
      </c>
      <c r="R24" s="69" t="str">
        <f ca="1">IF('＠MFP (LSI name)'!R24="","",IF(COUNTIF('＠MFP (LSI name)'!R24,"Serial*")+COUNTIF('＠MFP (LSI name)'!R24,"Analog*")&gt;0,'＠MFP (LSI name)'!R24,OFFSET('＠グループ、表示名'!$H$4,MATCH('＠MFP (LSI name)'!R24,'＠グループ、表示名'!$D$4:$D$250,0)-1,0)))</f>
        <v/>
      </c>
      <c r="S24" s="69" t="str">
        <f ca="1">IF('＠MFP (LSI name)'!S24="","",IF(COUNTIF('＠MFP (LSI name)'!S24,"Serial*")+COUNTIF('＠MFP (LSI name)'!S24,"Analog*")&gt;0,'＠MFP (LSI name)'!S24,OFFSET('＠グループ、表示名'!$H$4,MATCH('＠MFP (LSI name)'!S24,'＠グループ、表示名'!$D$4:$D$250,0)-1,0)))</f>
        <v/>
      </c>
      <c r="T24" s="69" t="str">
        <f ca="1">IF('＠MFP (LSI name)'!T24="","",IF(COUNTIF('＠MFP (LSI name)'!T24,"Serial*")+COUNTIF('＠MFP (LSI name)'!T24,"Analog*")&gt;0,'＠MFP (LSI name)'!T24,OFFSET('＠グループ、表示名'!$H$4,MATCH('＠MFP (LSI name)'!T24,'＠グループ、表示名'!$D$4:$D$250,0)-1,0)))</f>
        <v/>
      </c>
      <c r="U24" s="69" t="str">
        <f ca="1">IF('＠MFP (LSI name)'!U24="","",IF(COUNTIF('＠MFP (LSI name)'!U24,"Serial*")+COUNTIF('＠MFP (LSI name)'!U24,"Analog*")&gt;0,'＠MFP (LSI name)'!U24,OFFSET('＠グループ、表示名'!$H$4,MATCH('＠MFP (LSI name)'!U24,'＠グループ、表示名'!$D$4:$D$250,0)-1,0)))</f>
        <v/>
      </c>
      <c r="V24" s="69" t="str">
        <f ca="1">IF('＠MFP (LSI name)'!V24="","",IF(COUNTIF('＠MFP (LSI name)'!V24,"Serial*")+COUNTIF('＠MFP (LSI name)'!V24,"Analog*")&gt;0,'＠MFP (LSI name)'!V24,OFFSET('＠グループ、表示名'!$H$4,MATCH('＠MFP (LSI name)'!V24,'＠グループ、表示名'!$D$4:$D$250,0)-1,0)))</f>
        <v/>
      </c>
      <c r="W24" s="18" t="str">
        <f ca="1">IF('＠MFP (LSI name)'!W24="","",IF(COUNTIF('＠MFP (LSI name)'!W24,"Serial*")+COUNTIF('＠MFP (LSI name)'!W24,"Analog*")&gt;0,'＠MFP (LSI name)'!W24,OFFSET('＠グループ、表示名'!$H$4,MATCH('＠MFP (LSI name)'!W24,'＠グループ、表示名'!$D$4:$D$250,0)-1,0)))</f>
        <v/>
      </c>
      <c r="X24" s="18" t="str">
        <f ca="1">IF('＠MFP (LSI name)'!X24="","",IF(COUNTIF('＠MFP (LSI name)'!X24,"Serial*")+COUNTIF('＠MFP (LSI name)'!X24,"Analog*")&gt;0,'＠MFP (LSI name)'!X24,OFFSET('＠グループ、表示名'!$H$4,MATCH('＠MFP (LSI name)'!X24,'＠グループ、表示名'!$D$4:$D$250,0)-1,0)))</f>
        <v/>
      </c>
      <c r="Y24" s="18" t="str">
        <f ca="1">IF('＠MFP (LSI name)'!Y24="","",IF(COUNTIF('＠MFP (LSI name)'!Y24,"Serial*")+COUNTIF('＠MFP (LSI name)'!Y24,"Analog*")&gt;0,'＠MFP (LSI name)'!Y24,OFFSET('＠グループ、表示名'!$H$4,MATCH('＠MFP (LSI name)'!Y24,'＠グループ、表示名'!$D$4:$D$250,0)-1,0)))</f>
        <v/>
      </c>
      <c r="Z24" s="18" t="str">
        <f ca="1">IF('＠MFP (LSI name)'!Z24="","",IF(COUNTIF('＠MFP (LSI name)'!Z24,"Serial*")+COUNTIF('＠MFP (LSI name)'!Z24,"Analog*")&gt;0,'＠MFP (LSI name)'!Z24,OFFSET('＠グループ、表示名'!$H$4,MATCH('＠MFP (LSI name)'!Z24,'＠グループ、表示名'!$D$4:$D$250,0)-1,0)))</f>
        <v/>
      </c>
      <c r="AA24" s="69" t="str">
        <f ca="1">IF('＠MFP (LSI name)'!AA24="","",IF(COUNTIF('＠MFP (LSI name)'!AA24,"Serial*")+COUNTIF('＠MFP (LSI name)'!AA24,"Analog*")&gt;0,'＠MFP (LSI name)'!AA24,OFFSET('＠グループ、表示名'!$H$4,MATCH('＠MFP (LSI name)'!AA24,'＠グループ、表示名'!$D$4:$D$250,0)-1,0)))</f>
        <v/>
      </c>
      <c r="AB24" s="69" t="str">
        <f ca="1">IF('＠MFP (LSI name)'!AB24="","",IF(COUNTIF('＠MFP (LSI name)'!AB24,"Serial*")+COUNTIF('＠MFP (LSI name)'!AB24,"Analog*")&gt;0,'＠MFP (LSI name)'!AB24,OFFSET('＠グループ、表示名'!$H$4,MATCH('＠MFP (LSI name)'!AB24,'＠グループ、表示名'!$D$4:$D$250,0)-1,0)))</f>
        <v/>
      </c>
      <c r="AC24" s="18" t="str">
        <f ca="1">IF('＠MFP (LSI name)'!AC24="","",IF(COUNTIF('＠MFP (LSI name)'!AC24,"Serial*")+COUNTIF('＠MFP (LSI name)'!AC24,"Analog*")&gt;0,'＠MFP (LSI name)'!AC24,OFFSET('＠グループ、表示名'!$H$4,MATCH('＠MFP (LSI name)'!AC24,'＠グループ、表示名'!$D$4:$D$250,0)-1,0)))</f>
        <v/>
      </c>
      <c r="AD24" s="18" t="str">
        <f ca="1">IF('＠MFP (LSI name)'!AD24="","",IF(COUNTIF('＠MFP (LSI name)'!AD24,"Serial*")+COUNTIF('＠MFP (LSI name)'!AD24,"Analog*")&gt;0,'＠MFP (LSI name)'!AD24,OFFSET('＠グループ、表示名'!$H$4,MATCH('＠MFP (LSI name)'!AD24,'＠グループ、表示名'!$D$4:$D$250,0)-1,0)))</f>
        <v/>
      </c>
      <c r="AE24" s="18" t="str">
        <f ca="1">IF('＠MFP (LSI name)'!AE24="","",IF(COUNTIF('＠MFP (LSI name)'!AE24,"Serial*")+COUNTIF('＠MFP (LSI name)'!AE24,"Analog*")&gt;0,'＠MFP (LSI name)'!AE24,OFFSET('＠グループ、表示名'!$H$4,MATCH('＠MFP (LSI name)'!AE24,'＠グループ、表示名'!$D$4:$D$250,0)-1,0)))</f>
        <v/>
      </c>
      <c r="AF24" s="69" t="str">
        <f ca="1">IF('＠MFP (LSI name)'!AF24="","",IF(COUNTIF('＠MFP (LSI name)'!AF24,"Serial*")+COUNTIF('＠MFP (LSI name)'!AF24,"Analog*")&gt;0,'＠MFP (LSI name)'!AF24,OFFSET('＠グループ、表示名'!$H$4,MATCH('＠MFP (LSI name)'!AF24,'＠グループ、表示名'!$D$4:$D$250,0)-1,0)))</f>
        <v/>
      </c>
      <c r="AG24" s="69" t="str">
        <f ca="1">IF('＠MFP (LSI name)'!AG24="","",IF(COUNTIF('＠MFP (LSI name)'!AG24,"Serial*")+COUNTIF('＠MFP (LSI name)'!AG24,"Analog*")&gt;0,'＠MFP (LSI name)'!AG24,OFFSET('＠グループ、表示名'!$H$4,MATCH('＠MFP (LSI name)'!AG24,'＠グループ、表示名'!$D$4:$D$250,0)-1,0)))</f>
        <v/>
      </c>
      <c r="AH24" s="18" t="str">
        <f ca="1">IF('＠MFP (LSI name)'!AH24="","",IF(COUNTIF('＠MFP (LSI name)'!AH24,"Serial*")+COUNTIF('＠MFP (LSI name)'!AH24,"Analog*")&gt;0,'＠MFP (LSI name)'!AH24,OFFSET('＠グループ、表示名'!$H$4,MATCH('＠MFP (LSI name)'!AH24,'＠グループ、表示名'!$D$4:$D$250,0)-1,0)))</f>
        <v/>
      </c>
      <c r="AI24" s="18" t="str">
        <f ca="1">IF('＠MFP (LSI name)'!AI24="","",IF(COUNTIF('＠MFP (LSI name)'!AI24,"Serial*")+COUNTIF('＠MFP (LSI name)'!AI24,"Analog*")&gt;0,'＠MFP (LSI name)'!AI24,OFFSET('＠グループ、表示名'!$H$4,MATCH('＠MFP (LSI name)'!AI24,'＠グループ、表示名'!$D$4:$D$250,0)-1,0)))</f>
        <v/>
      </c>
      <c r="AJ24" s="18" t="str">
        <f ca="1">IF('＠MFP (LSI name)'!AJ24="","",IF(COUNTIF('＠MFP (LSI name)'!AJ24,"Serial*")+COUNTIF('＠MFP (LSI name)'!AJ24,"Analog*")&gt;0,'＠MFP (LSI name)'!AJ24,OFFSET('＠グループ、表示名'!$H$4,MATCH('＠MFP (LSI name)'!AJ24,'＠グループ、表示名'!$D$4:$D$250,0)-1,0)))</f>
        <v/>
      </c>
      <c r="AK24" s="69" t="str">
        <f ca="1">IF('＠MFP (LSI name)'!AK24="","",IF(COUNTIF('＠MFP (LSI name)'!AK24,"Serial*")+COUNTIF('＠MFP (LSI name)'!AK24,"Analog*")&gt;0,'＠MFP (LSI name)'!AK24,OFFSET('＠グループ、表示名'!$H$4,MATCH('＠MFP (LSI name)'!AK24,'＠グループ、表示名'!$D$4:$D$250,0)-1,0)))</f>
        <v/>
      </c>
      <c r="AL24" s="9" t="str">
        <f t="shared" si="4"/>
        <v>IOPDMD[15]</v>
      </c>
      <c r="AM24" s="9" t="str">
        <f t="shared" si="5"/>
        <v>IOPDMD[14]</v>
      </c>
      <c r="AN24" s="9" t="str">
        <f t="shared" si="6"/>
        <v>IOPDMD[13]</v>
      </c>
      <c r="AO24" s="9" t="str">
        <f t="shared" si="7"/>
        <v>IOPDMD[12]</v>
      </c>
      <c r="AP24" s="86"/>
    </row>
    <row r="25" spans="1:42" ht="16.149999999999999">
      <c r="A25" s="60" t="s">
        <v>494</v>
      </c>
      <c r="B25" s="7"/>
      <c r="C25" s="7"/>
      <c r="D25" s="87"/>
      <c r="E25" s="87"/>
      <c r="F25" s="7">
        <v>22</v>
      </c>
      <c r="G25" s="7">
        <v>19</v>
      </c>
      <c r="H25" s="87">
        <v>16</v>
      </c>
      <c r="I25" s="45" t="s">
        <v>381</v>
      </c>
      <c r="J25" s="45" t="s">
        <v>382</v>
      </c>
      <c r="K25" s="69" t="str">
        <f ca="1">IF('＠MFP (LSI name)'!K25="","",IF(COUNTIF('＠MFP (LSI name)'!K25,"Serial*")+COUNTIF('＠MFP (LSI name)'!K25,"Analog*")&gt;0,'＠MFP (LSI name)'!K25,OFFSET('＠グループ、表示名'!$H$4,MATCH('＠MFP (LSI name)'!K25,'＠グループ、表示名'!$D$4:$D$250,0)-1,0)))</f>
        <v/>
      </c>
      <c r="L25" s="69" t="str">
        <f ca="1">IF('＠MFP (LSI name)'!L25="","",IF(COUNTIF('＠MFP (LSI name)'!L25,"Serial*")+COUNTIF('＠MFP (LSI name)'!L25,"Analog*")&gt;0,'＠MFP (LSI name)'!L25,OFFSET('＠グループ、表示名'!$H$4,MATCH('＠MFP (LSI name)'!L25,'＠グループ、表示名'!$D$4:$D$250,0)-1,0)))</f>
        <v>TM00A</v>
      </c>
      <c r="M25" s="18" t="str">
        <f ca="1">IF('＠MFP (LSI name)'!M25="","",IF(COUNTIF('＠MFP (LSI name)'!M25,"Serial*")+COUNTIF('＠MFP (LSI name)'!M25,"Analog*")&gt;0,'＠MFP (LSI name)'!M25,OFFSET('＠グループ、表示名'!$H$4,MATCH('＠MFP (LSI name)'!M25,'＠グループ、表示名'!$D$4:$D$250,0)-1,0)))</f>
        <v>SIF1_SBI1</v>
      </c>
      <c r="N25" s="18" t="str">
        <f ca="1">IF('＠MFP (LSI name)'!N25="","",IF(COUNTIF('＠MFP (LSI name)'!N25,"Serial*")+COUNTIF('＠MFP (LSI name)'!N25,"Analog*")&gt;0,'＠MFP (LSI name)'!N25,OFFSET('＠グループ、表示名'!$H$4,MATCH('＠MFP (LSI name)'!N25,'＠グループ、表示名'!$D$4:$D$250,0)-1,0)))</f>
        <v>SIF1_SBO1</v>
      </c>
      <c r="O25" s="69" t="str">
        <f ca="1">IF('＠MFP (LSI name)'!O25="","",IF(COUNTIF('＠MFP (LSI name)'!O25,"Serial*")+COUNTIF('＠MFP (LSI name)'!O25,"Analog*")&gt;0,'＠MFP (LSI name)'!O25,OFFSET('＠グループ、表示名'!$H$4,MATCH('＠MFP (LSI name)'!O25,'＠グループ、表示名'!$D$4:$D$250,0)-1,0)))</f>
        <v/>
      </c>
      <c r="P25" s="69" t="str">
        <f ca="1">IF('＠MFP (LSI name)'!P25="","",IF(COUNTIF('＠MFP (LSI name)'!P25,"Serial*")+COUNTIF('＠MFP (LSI name)'!P25,"Analog*")&gt;0,'＠MFP (LSI name)'!P25,OFFSET('＠グループ、表示名'!$H$4,MATCH('＠MFP (LSI name)'!P25,'＠グループ、表示名'!$D$4:$D$250,0)-1,0)))</f>
        <v/>
      </c>
      <c r="Q25" s="69" t="str">
        <f ca="1">IF('＠MFP (LSI name)'!Q25="","",IF(COUNTIF('＠MFP (LSI name)'!Q25,"Serial*")+COUNTIF('＠MFP (LSI name)'!Q25,"Analog*")&gt;0,'＠MFP (LSI name)'!Q25,OFFSET('＠グループ、表示名'!$H$4,MATCH('＠MFP (LSI name)'!Q25,'＠グループ、表示名'!$D$4:$D$250,0)-1,0)))</f>
        <v/>
      </c>
      <c r="R25" s="69" t="str">
        <f ca="1">IF('＠MFP (LSI name)'!R25="","",IF(COUNTIF('＠MFP (LSI name)'!R25,"Serial*")+COUNTIF('＠MFP (LSI name)'!R25,"Analog*")&gt;0,'＠MFP (LSI name)'!R25,OFFSET('＠グループ、表示名'!$H$4,MATCH('＠MFP (LSI name)'!R25,'＠グループ、表示名'!$D$4:$D$250,0)-1,0)))</f>
        <v/>
      </c>
      <c r="S25" s="69" t="str">
        <f ca="1">IF('＠MFP (LSI name)'!S25="","",IF(COUNTIF('＠MFP (LSI name)'!S25,"Serial*")+COUNTIF('＠MFP (LSI name)'!S25,"Analog*")&gt;0,'＠MFP (LSI name)'!S25,OFFSET('＠グループ、表示名'!$H$4,MATCH('＠MFP (LSI name)'!S25,'＠グループ、表示名'!$D$4:$D$250,0)-1,0)))</f>
        <v/>
      </c>
      <c r="T25" s="69" t="str">
        <f ca="1">IF('＠MFP (LSI name)'!T25="","",IF(COUNTIF('＠MFP (LSI name)'!T25,"Serial*")+COUNTIF('＠MFP (LSI name)'!T25,"Analog*")&gt;0,'＠MFP (LSI name)'!T25,OFFSET('＠グループ、表示名'!$H$4,MATCH('＠MFP (LSI name)'!T25,'＠グループ、表示名'!$D$4:$D$250,0)-1,0)))</f>
        <v/>
      </c>
      <c r="U25" s="69" t="str">
        <f ca="1">IF('＠MFP (LSI name)'!U25="","",IF(COUNTIF('＠MFP (LSI name)'!U25,"Serial*")+COUNTIF('＠MFP (LSI name)'!U25,"Analog*")&gt;0,'＠MFP (LSI name)'!U25,OFFSET('＠グループ、表示名'!$H$4,MATCH('＠MFP (LSI name)'!U25,'＠グループ、表示名'!$D$4:$D$250,0)-1,0)))</f>
        <v/>
      </c>
      <c r="V25" s="69" t="str">
        <f ca="1">IF('＠MFP (LSI name)'!V25="","",IF(COUNTIF('＠MFP (LSI name)'!V25,"Serial*")+COUNTIF('＠MFP (LSI name)'!V25,"Analog*")&gt;0,'＠MFP (LSI name)'!V25,OFFSET('＠グループ、表示名'!$H$4,MATCH('＠MFP (LSI name)'!V25,'＠グループ、表示名'!$D$4:$D$250,0)-1,0)))</f>
        <v/>
      </c>
      <c r="W25" s="18" t="str">
        <f ca="1">IF('＠MFP (LSI name)'!W25="","",IF(COUNTIF('＠MFP (LSI name)'!W25,"Serial*")+COUNTIF('＠MFP (LSI name)'!W25,"Analog*")&gt;0,'＠MFP (LSI name)'!W25,OFFSET('＠グループ、表示名'!$H$4,MATCH('＠MFP (LSI name)'!W25,'＠グループ、表示名'!$D$4:$D$250,0)-1,0)))</f>
        <v/>
      </c>
      <c r="X25" s="18" t="str">
        <f ca="1">IF('＠MFP (LSI name)'!X25="","",IF(COUNTIF('＠MFP (LSI name)'!X25,"Serial*")+COUNTIF('＠MFP (LSI name)'!X25,"Analog*")&gt;0,'＠MFP (LSI name)'!X25,OFFSET('＠グループ、表示名'!$H$4,MATCH('＠MFP (LSI name)'!X25,'＠グループ、表示名'!$D$4:$D$250,0)-1,0)))</f>
        <v/>
      </c>
      <c r="Y25" s="18" t="str">
        <f ca="1">IF('＠MFP (LSI name)'!Y25="","",IF(COUNTIF('＠MFP (LSI name)'!Y25,"Serial*")+COUNTIF('＠MFP (LSI name)'!Y25,"Analog*")&gt;0,'＠MFP (LSI name)'!Y25,OFFSET('＠グループ、表示名'!$H$4,MATCH('＠MFP (LSI name)'!Y25,'＠グループ、表示名'!$D$4:$D$250,0)-1,0)))</f>
        <v/>
      </c>
      <c r="Z25" s="18" t="str">
        <f ca="1">IF('＠MFP (LSI name)'!Z25="","",IF(COUNTIF('＠MFP (LSI name)'!Z25,"Serial*")+COUNTIF('＠MFP (LSI name)'!Z25,"Analog*")&gt;0,'＠MFP (LSI name)'!Z25,OFFSET('＠グループ、表示名'!$H$4,MATCH('＠MFP (LSI name)'!Z25,'＠グループ、表示名'!$D$4:$D$250,0)-1,0)))</f>
        <v/>
      </c>
      <c r="AA25" s="69" t="str">
        <f ca="1">IF('＠MFP (LSI name)'!AA25="","",IF(COUNTIF('＠MFP (LSI name)'!AA25,"Serial*")+COUNTIF('＠MFP (LSI name)'!AA25,"Analog*")&gt;0,'＠MFP (LSI name)'!AA25,OFFSET('＠グループ、表示名'!$H$4,MATCH('＠MFP (LSI name)'!AA25,'＠グループ、表示名'!$D$4:$D$250,0)-1,0)))</f>
        <v/>
      </c>
      <c r="AB25" s="69" t="str">
        <f ca="1">IF('＠MFP (LSI name)'!AB25="","",IF(COUNTIF('＠MFP (LSI name)'!AB25,"Serial*")+COUNTIF('＠MFP (LSI name)'!AB25,"Analog*")&gt;0,'＠MFP (LSI name)'!AB25,OFFSET('＠グループ、表示名'!$H$4,MATCH('＠MFP (LSI name)'!AB25,'＠グループ、表示名'!$D$4:$D$250,0)-1,0)))</f>
        <v/>
      </c>
      <c r="AC25" s="18" t="str">
        <f ca="1">IF('＠MFP (LSI name)'!AC25="","",IF(COUNTIF('＠MFP (LSI name)'!AC25,"Serial*")+COUNTIF('＠MFP (LSI name)'!AC25,"Analog*")&gt;0,'＠MFP (LSI name)'!AC25,OFFSET('＠グループ、表示名'!$H$4,MATCH('＠MFP (LSI name)'!AC25,'＠グループ、表示名'!$D$4:$D$250,0)-1,0)))</f>
        <v/>
      </c>
      <c r="AD25" s="18" t="str">
        <f ca="1">IF('＠MFP (LSI name)'!AD25="","",IF(COUNTIF('＠MFP (LSI name)'!AD25,"Serial*")+COUNTIF('＠MFP (LSI name)'!AD25,"Analog*")&gt;0,'＠MFP (LSI name)'!AD25,OFFSET('＠グループ、表示名'!$H$4,MATCH('＠MFP (LSI name)'!AD25,'＠グループ、表示名'!$D$4:$D$250,0)-1,0)))</f>
        <v/>
      </c>
      <c r="AE25" s="18" t="str">
        <f ca="1">IF('＠MFP (LSI name)'!AE25="","",IF(COUNTIF('＠MFP (LSI name)'!AE25,"Serial*")+COUNTIF('＠MFP (LSI name)'!AE25,"Analog*")&gt;0,'＠MFP (LSI name)'!AE25,OFFSET('＠グループ、表示名'!$H$4,MATCH('＠MFP (LSI name)'!AE25,'＠グループ、表示名'!$D$4:$D$250,0)-1,0)))</f>
        <v/>
      </c>
      <c r="AF25" s="69" t="str">
        <f ca="1">IF('＠MFP (LSI name)'!AF25="","",IF(COUNTIF('＠MFP (LSI name)'!AF25,"Serial*")+COUNTIF('＠MFP (LSI name)'!AF25,"Analog*")&gt;0,'＠MFP (LSI name)'!AF25,OFFSET('＠グループ、表示名'!$H$4,MATCH('＠MFP (LSI name)'!AF25,'＠グループ、表示名'!$D$4:$D$250,0)-1,0)))</f>
        <v/>
      </c>
      <c r="AG25" s="69" t="str">
        <f ca="1">IF('＠MFP (LSI name)'!AG25="","",IF(COUNTIF('＠MFP (LSI name)'!AG25,"Serial*")+COUNTIF('＠MFP (LSI name)'!AG25,"Analog*")&gt;0,'＠MFP (LSI name)'!AG25,OFFSET('＠グループ、表示名'!$H$4,MATCH('＠MFP (LSI name)'!AG25,'＠グループ、表示名'!$D$4:$D$250,0)-1,0)))</f>
        <v/>
      </c>
      <c r="AH25" s="18" t="str">
        <f ca="1">IF('＠MFP (LSI name)'!AH25="","",IF(COUNTIF('＠MFP (LSI name)'!AH25,"Serial*")+COUNTIF('＠MFP (LSI name)'!AH25,"Analog*")&gt;0,'＠MFP (LSI name)'!AH25,OFFSET('＠グループ、表示名'!$H$4,MATCH('＠MFP (LSI name)'!AH25,'＠グループ、表示名'!$D$4:$D$250,0)-1,0)))</f>
        <v/>
      </c>
      <c r="AI25" s="18" t="str">
        <f ca="1">IF('＠MFP (LSI name)'!AI25="","",IF(COUNTIF('＠MFP (LSI name)'!AI25,"Serial*")+COUNTIF('＠MFP (LSI name)'!AI25,"Analog*")&gt;0,'＠MFP (LSI name)'!AI25,OFFSET('＠グループ、表示名'!$H$4,MATCH('＠MFP (LSI name)'!AI25,'＠グループ、表示名'!$D$4:$D$250,0)-1,0)))</f>
        <v/>
      </c>
      <c r="AJ25" s="18" t="str">
        <f ca="1">IF('＠MFP (LSI name)'!AJ25="","",IF(COUNTIF('＠MFP (LSI name)'!AJ25,"Serial*")+COUNTIF('＠MFP (LSI name)'!AJ25,"Analog*")&gt;0,'＠MFP (LSI name)'!AJ25,OFFSET('＠グループ、表示名'!$H$4,MATCH('＠MFP (LSI name)'!AJ25,'＠グループ、表示名'!$D$4:$D$250,0)-1,0)))</f>
        <v/>
      </c>
      <c r="AK25" s="69" t="str">
        <f ca="1">IF('＠MFP (LSI name)'!AK25="","",IF(COUNTIF('＠MFP (LSI name)'!AK25,"Serial*")+COUNTIF('＠MFP (LSI name)'!AK25,"Analog*")&gt;0,'＠MFP (LSI name)'!AK25,OFFSET('＠グループ、表示名'!$H$4,MATCH('＠MFP (LSI name)'!AK25,'＠グループ、表示名'!$D$4:$D$250,0)-1,0)))</f>
        <v/>
      </c>
      <c r="AL25" s="9" t="str">
        <f t="shared" si="4"/>
        <v>IOPDMD[15]</v>
      </c>
      <c r="AM25" s="9" t="str">
        <f t="shared" si="5"/>
        <v>IOPDMD[14]</v>
      </c>
      <c r="AN25" s="9" t="str">
        <f t="shared" si="6"/>
        <v>IOPDMD[13]</v>
      </c>
      <c r="AO25" s="9" t="str">
        <f t="shared" si="7"/>
        <v>IOPDMD[12]</v>
      </c>
      <c r="AP25" s="86"/>
    </row>
    <row r="26" spans="1:42" ht="16.149999999999999">
      <c r="A26" s="60">
        <v>23</v>
      </c>
      <c r="B26" s="7">
        <v>23</v>
      </c>
      <c r="C26" s="7">
        <v>20</v>
      </c>
      <c r="D26" s="87"/>
      <c r="E26" s="87"/>
      <c r="F26" s="7">
        <v>23</v>
      </c>
      <c r="G26" s="7">
        <v>20</v>
      </c>
      <c r="H26" s="87"/>
      <c r="I26" s="45" t="s">
        <v>385</v>
      </c>
      <c r="J26" s="45" t="s">
        <v>386</v>
      </c>
      <c r="K26" s="69" t="str">
        <f ca="1">IF('＠MFP (LSI name)'!K26="","",IF(COUNTIF('＠MFP (LSI name)'!K26,"Serial*")+COUNTIF('＠MFP (LSI name)'!K26,"Analog*")&gt;0,'＠MFP (LSI name)'!K26,OFFSET('＠グループ、表示名'!$H$4,MATCH('＠MFP (LSI name)'!K26,'＠グループ、表示名'!$D$4:$D$250,0)-1,0)))</f>
        <v>TM01B</v>
      </c>
      <c r="L26" s="69" t="str">
        <f ca="1">IF('＠MFP (LSI name)'!L26="","",IF(COUNTIF('＠MFP (LSI name)'!L26,"Serial*")+COUNTIF('＠MFP (LSI name)'!L26,"Analog*")&gt;0,'＠MFP (LSI name)'!L26,OFFSET('＠グループ、表示名'!$H$4,MATCH('＠MFP (LSI name)'!L26,'＠グループ、表示名'!$D$4:$D$250,0)-1,0)))</f>
        <v>TM04A</v>
      </c>
      <c r="M26" s="18" t="str">
        <f ca="1">IF('＠MFP (LSI name)'!M26="","",IF(COUNTIF('＠MFP (LSI name)'!M26,"Serial*")+COUNTIF('＠MFP (LSI name)'!M26,"Analog*")&gt;0,'＠MFP (LSI name)'!M26,OFFSET('＠グループ、表示名'!$H$4,MATCH('＠MFP (LSI name)'!M26,'＠グループ、表示名'!$D$4:$D$250,0)-1,0)))</f>
        <v>SIF3_SBI3</v>
      </c>
      <c r="N26" s="18" t="str">
        <f ca="1">IF('＠MFP (LSI name)'!N26="","",IF(COUNTIF('＠MFP (LSI name)'!N26,"Serial*")+COUNTIF('＠MFP (LSI name)'!N26,"Analog*")&gt;0,'＠MFP (LSI name)'!N26,OFFSET('＠グループ、表示名'!$H$4,MATCH('＠MFP (LSI name)'!N26,'＠グループ、表示名'!$D$4:$D$250,0)-1,0)))</f>
        <v>SIF3_SBO3</v>
      </c>
      <c r="O26" s="18" t="str">
        <f ca="1">IF('＠MFP (LSI name)'!O26="","",IF(COUNTIF('＠MFP (LSI name)'!O26,"Serial*")+COUNTIF('＠MFP (LSI name)'!O26,"Analog*")&gt;0,'＠MFP (LSI name)'!O26,OFFSET('＠グループ、表示名'!$H$4,MATCH('＠MFP (LSI name)'!O26,'＠グループ、表示名'!$D$4:$D$250,0)-1,0)))</f>
        <v>SIF0_SBT0</v>
      </c>
      <c r="P26" s="69" t="str">
        <f ca="1">IF('＠MFP (LSI name)'!P26="","",IF(COUNTIF('＠MFP (LSI name)'!P26,"Serial*")+COUNTIF('＠MFP (LSI name)'!P26,"Analog*")&gt;0,'＠MFP (LSI name)'!P26,OFFSET('＠グループ、表示名'!$H$4,MATCH('＠MFP (LSI name)'!P26,'＠グループ、表示名'!$D$4:$D$250,0)-1,0)))</f>
        <v/>
      </c>
      <c r="Q26" s="69" t="str">
        <f ca="1">IF('＠MFP (LSI name)'!Q26="","",IF(COUNTIF('＠MFP (LSI name)'!Q26,"Serial*")+COUNTIF('＠MFP (LSI name)'!Q26,"Analog*")&gt;0,'＠MFP (LSI name)'!Q26,OFFSET('＠グループ、表示名'!$H$4,MATCH('＠MFP (LSI name)'!Q26,'＠グループ、表示名'!$D$4:$D$250,0)-1,0)))</f>
        <v/>
      </c>
      <c r="R26" s="69" t="str">
        <f ca="1">IF('＠MFP (LSI name)'!R26="","",IF(COUNTIF('＠MFP (LSI name)'!R26,"Serial*")+COUNTIF('＠MFP (LSI name)'!R26,"Analog*")&gt;0,'＠MFP (LSI name)'!R26,OFFSET('＠グループ、表示名'!$H$4,MATCH('＠MFP (LSI name)'!R26,'＠グループ、表示名'!$D$4:$D$250,0)-1,0)))</f>
        <v/>
      </c>
      <c r="S26" s="69" t="str">
        <f ca="1">IF('＠MFP (LSI name)'!S26="","",IF(COUNTIF('＠MFP (LSI name)'!S26,"Serial*")+COUNTIF('＠MFP (LSI name)'!S26,"Analog*")&gt;0,'＠MFP (LSI name)'!S26,OFFSET('＠グループ、表示名'!$H$4,MATCH('＠MFP (LSI name)'!S26,'＠グループ、表示名'!$D$4:$D$250,0)-1,0)))</f>
        <v/>
      </c>
      <c r="T26" s="69" t="str">
        <f ca="1">IF('＠MFP (LSI name)'!T26="","",IF(COUNTIF('＠MFP (LSI name)'!T26,"Serial*")+COUNTIF('＠MFP (LSI name)'!T26,"Analog*")&gt;0,'＠MFP (LSI name)'!T26,OFFSET('＠グループ、表示名'!$H$4,MATCH('＠MFP (LSI name)'!T26,'＠グループ、表示名'!$D$4:$D$250,0)-1,0)))</f>
        <v/>
      </c>
      <c r="U26" s="69" t="str">
        <f ca="1">IF('＠MFP (LSI name)'!U26="","",IF(COUNTIF('＠MFP (LSI name)'!U26,"Serial*")+COUNTIF('＠MFP (LSI name)'!U26,"Analog*")&gt;0,'＠MFP (LSI name)'!U26,OFFSET('＠グループ、表示名'!$H$4,MATCH('＠MFP (LSI name)'!U26,'＠グループ、表示名'!$D$4:$D$250,0)-1,0)))</f>
        <v/>
      </c>
      <c r="V26" s="69" t="str">
        <f ca="1">IF('＠MFP (LSI name)'!V26="","",IF(COUNTIF('＠MFP (LSI name)'!V26,"Serial*")+COUNTIF('＠MFP (LSI name)'!V26,"Analog*")&gt;0,'＠MFP (LSI name)'!V26,OFFSET('＠グループ、表示名'!$H$4,MATCH('＠MFP (LSI name)'!V26,'＠グループ、表示名'!$D$4:$D$250,0)-1,0)))</f>
        <v/>
      </c>
      <c r="W26" s="69" t="str">
        <f ca="1">IF('＠MFP (LSI name)'!W26="","",IF(COUNTIF('＠MFP (LSI name)'!W26,"Serial*")+COUNTIF('＠MFP (LSI name)'!W26,"Analog*")&gt;0,'＠MFP (LSI name)'!W26,OFFSET('＠グループ、表示名'!$H$4,MATCH('＠MFP (LSI name)'!W26,'＠グループ、表示名'!$D$4:$D$250,0)-1,0)))</f>
        <v/>
      </c>
      <c r="X26" s="69" t="str">
        <f ca="1">IF('＠MFP (LSI name)'!X26="","",IF(COUNTIF('＠MFP (LSI name)'!X26,"Serial*")+COUNTIF('＠MFP (LSI name)'!X26,"Analog*")&gt;0,'＠MFP (LSI name)'!X26,OFFSET('＠グループ、表示名'!$H$4,MATCH('＠MFP (LSI name)'!X26,'＠グループ、表示名'!$D$4:$D$250,0)-1,0)))</f>
        <v/>
      </c>
      <c r="Y26" s="18" t="str">
        <f ca="1">IF('＠MFP (LSI name)'!Y26="","",IF(COUNTIF('＠MFP (LSI name)'!Y26,"Serial*")+COUNTIF('＠MFP (LSI name)'!Y26,"Analog*")&gt;0,'＠MFP (LSI name)'!Y26,OFFSET('＠グループ、表示名'!$H$4,MATCH('＠MFP (LSI name)'!Y26,'＠グループ、表示名'!$D$4:$D$250,0)-1,0)))</f>
        <v/>
      </c>
      <c r="Z26" s="18" t="str">
        <f ca="1">IF('＠MFP (LSI name)'!Z26="","",IF(COUNTIF('＠MFP (LSI name)'!Z26,"Serial*")+COUNTIF('＠MFP (LSI name)'!Z26,"Analog*")&gt;0,'＠MFP (LSI name)'!Z26,OFFSET('＠グループ、表示名'!$H$4,MATCH('＠MFP (LSI name)'!Z26,'＠グループ、表示名'!$D$4:$D$250,0)-1,0)))</f>
        <v/>
      </c>
      <c r="AA26" s="69" t="str">
        <f ca="1">IF('＠MFP (LSI name)'!AA26="","",IF(COUNTIF('＠MFP (LSI name)'!AA26,"Serial*")+COUNTIF('＠MFP (LSI name)'!AA26,"Analog*")&gt;0,'＠MFP (LSI name)'!AA26,OFFSET('＠グループ、表示名'!$H$4,MATCH('＠MFP (LSI name)'!AA26,'＠グループ、表示名'!$D$4:$D$250,0)-1,0)))</f>
        <v/>
      </c>
      <c r="AB26" s="69" t="str">
        <f ca="1">IF('＠MFP (LSI name)'!AB26="","",IF(COUNTIF('＠MFP (LSI name)'!AB26,"Serial*")+COUNTIF('＠MFP (LSI name)'!AB26,"Analog*")&gt;0,'＠MFP (LSI name)'!AB26,OFFSET('＠グループ、表示名'!$H$4,MATCH('＠MFP (LSI name)'!AB26,'＠グループ、表示名'!$D$4:$D$250,0)-1,0)))</f>
        <v/>
      </c>
      <c r="AC26" s="69" t="str">
        <f ca="1">IF('＠MFP (LSI name)'!AC26="","",IF(COUNTIF('＠MFP (LSI name)'!AC26,"Serial*")+COUNTIF('＠MFP (LSI name)'!AC26,"Analog*")&gt;0,'＠MFP (LSI name)'!AC26,OFFSET('＠グループ、表示名'!$H$4,MATCH('＠MFP (LSI name)'!AC26,'＠グループ、表示名'!$D$4:$D$250,0)-1,0)))</f>
        <v/>
      </c>
      <c r="AD26" s="69" t="str">
        <f ca="1">IF('＠MFP (LSI name)'!AD26="","",IF(COUNTIF('＠MFP (LSI name)'!AD26,"Serial*")+COUNTIF('＠MFP (LSI name)'!AD26,"Analog*")&gt;0,'＠MFP (LSI name)'!AD26,OFFSET('＠グループ、表示名'!$H$4,MATCH('＠MFP (LSI name)'!AD26,'＠グループ、表示名'!$D$4:$D$250,0)-1,0)))</f>
        <v/>
      </c>
      <c r="AE26" s="18" t="str">
        <f ca="1">IF('＠MFP (LSI name)'!AE26="","",IF(COUNTIF('＠MFP (LSI name)'!AE26,"Serial*")+COUNTIF('＠MFP (LSI name)'!AE26,"Analog*")&gt;0,'＠MFP (LSI name)'!AE26,OFFSET('＠グループ、表示名'!$H$4,MATCH('＠MFP (LSI name)'!AE26,'＠グループ、表示名'!$D$4:$D$250,0)-1,0)))</f>
        <v/>
      </c>
      <c r="AF26" s="69" t="str">
        <f ca="1">IF('＠MFP (LSI name)'!AF26="","",IF(COUNTIF('＠MFP (LSI name)'!AF26,"Serial*")+COUNTIF('＠MFP (LSI name)'!AF26,"Analog*")&gt;0,'＠MFP (LSI name)'!AF26,OFFSET('＠グループ、表示名'!$H$4,MATCH('＠MFP (LSI name)'!AF26,'＠グループ、表示名'!$D$4:$D$250,0)-1,0)))</f>
        <v/>
      </c>
      <c r="AG26" s="69" t="str">
        <f ca="1">IF('＠MFP (LSI name)'!AG26="","",IF(COUNTIF('＠MFP (LSI name)'!AG26,"Serial*")+COUNTIF('＠MFP (LSI name)'!AG26,"Analog*")&gt;0,'＠MFP (LSI name)'!AG26,OFFSET('＠グループ、表示名'!$H$4,MATCH('＠MFP (LSI name)'!AG26,'＠グループ、表示名'!$D$4:$D$250,0)-1,0)))</f>
        <v/>
      </c>
      <c r="AH26" s="69" t="str">
        <f ca="1">IF('＠MFP (LSI name)'!AH26="","",IF(COUNTIF('＠MFP (LSI name)'!AH26,"Serial*")+COUNTIF('＠MFP (LSI name)'!AH26,"Analog*")&gt;0,'＠MFP (LSI name)'!AH26,OFFSET('＠グループ、表示名'!$H$4,MATCH('＠MFP (LSI name)'!AH26,'＠グループ、表示名'!$D$4:$D$250,0)-1,0)))</f>
        <v/>
      </c>
      <c r="AI26" s="69" t="str">
        <f ca="1">IF('＠MFP (LSI name)'!AI26="","",IF(COUNTIF('＠MFP (LSI name)'!AI26,"Serial*")+COUNTIF('＠MFP (LSI name)'!AI26,"Analog*")&gt;0,'＠MFP (LSI name)'!AI26,OFFSET('＠グループ、表示名'!$H$4,MATCH('＠MFP (LSI name)'!AI26,'＠グループ、表示名'!$D$4:$D$250,0)-1,0)))</f>
        <v/>
      </c>
      <c r="AJ26" s="18" t="str">
        <f ca="1">IF('＠MFP (LSI name)'!AJ26="","",IF(COUNTIF('＠MFP (LSI name)'!AJ26,"Serial*")+COUNTIF('＠MFP (LSI name)'!AJ26,"Analog*")&gt;0,'＠MFP (LSI name)'!AJ26,OFFSET('＠グループ、表示名'!$H$4,MATCH('＠MFP (LSI name)'!AJ26,'＠グループ、表示名'!$D$4:$D$250,0)-1,0)))</f>
        <v/>
      </c>
      <c r="AK26" s="69" t="str">
        <f ca="1">IF('＠MFP (LSI name)'!AK26="","",IF(COUNTIF('＠MFP (LSI name)'!AK26,"Serial*")+COUNTIF('＠MFP (LSI name)'!AK26,"Analog*")&gt;0,'＠MFP (LSI name)'!AK26,OFFSET('＠グループ、表示名'!$H$4,MATCH('＠MFP (LSI name)'!AK26,'＠グループ、表示名'!$D$4:$D$250,0)-1,0)))</f>
        <v/>
      </c>
      <c r="AL26" s="9" t="str">
        <f t="shared" si="4"/>
        <v>IOPDMD[11]</v>
      </c>
      <c r="AM26" s="9" t="str">
        <f t="shared" si="5"/>
        <v>IOPDMD[10]</v>
      </c>
      <c r="AN26" s="9" t="str">
        <f t="shared" si="6"/>
        <v>IOPDMD[9]</v>
      </c>
      <c r="AO26" s="9" t="str">
        <f t="shared" si="7"/>
        <v>IOPDMD[8]</v>
      </c>
      <c r="AP26" s="86"/>
    </row>
    <row r="27" spans="1:42" ht="16.149999999999999">
      <c r="A27" s="60">
        <v>24</v>
      </c>
      <c r="B27" s="7">
        <v>24</v>
      </c>
      <c r="C27" s="7"/>
      <c r="D27" s="87"/>
      <c r="E27" s="87"/>
      <c r="F27" s="7">
        <v>24</v>
      </c>
      <c r="G27" s="7"/>
      <c r="H27" s="87"/>
      <c r="I27" s="45" t="s">
        <v>389</v>
      </c>
      <c r="J27" s="45" t="s">
        <v>390</v>
      </c>
      <c r="K27" s="69" t="str">
        <f ca="1">IF('＠MFP (LSI name)'!K27="","",IF(COUNTIF('＠MFP (LSI name)'!K27,"Serial*")+COUNTIF('＠MFP (LSI name)'!K27,"Analog*")&gt;0,'＠MFP (LSI name)'!K27,OFFSET('＠グループ、表示名'!$H$4,MATCH('＠MFP (LSI name)'!K27,'＠グループ、表示名'!$D$4:$D$250,0)-1,0)))</f>
        <v>TM02A</v>
      </c>
      <c r="L27" s="18" t="str">
        <f ca="1">IF('＠MFP (LSI name)'!L27="","",IF(COUNTIF('＠MFP (LSI name)'!L27,"Serial*")+COUNTIF('＠MFP (LSI name)'!L27,"Analog*")&gt;0,'＠MFP (LSI name)'!L27,OFFSET('＠グループ、表示名'!$H$4,MATCH('＠MFP (LSI name)'!L27,'＠グループ、表示名'!$D$4:$D$250,0)-1,0)))</f>
        <v>SIF3_SBI3</v>
      </c>
      <c r="M27" s="18" t="str">
        <f ca="1">IF('＠MFP (LSI name)'!M27="","",IF(COUNTIF('＠MFP (LSI name)'!M27,"Serial*")+COUNTIF('＠MFP (LSI name)'!M27,"Analog*")&gt;0,'＠MFP (LSI name)'!M27,OFFSET('＠グループ、表示名'!$H$4,MATCH('＠MFP (LSI name)'!M27,'＠グループ、表示名'!$D$4:$D$250,0)-1,0)))</f>
        <v>SIF3_SBO3</v>
      </c>
      <c r="N27" s="69" t="str">
        <f ca="1">IF('＠MFP (LSI name)'!N27="","",IF(COUNTIF('＠MFP (LSI name)'!N27,"Serial*")+COUNTIF('＠MFP (LSI name)'!N27,"Analog*")&gt;0,'＠MFP (LSI name)'!N27,OFFSET('＠グループ、表示名'!$H$4,MATCH('＠MFP (LSI name)'!N27,'＠グループ、表示名'!$D$4:$D$250,0)-1,0)))</f>
        <v/>
      </c>
      <c r="O27" s="69" t="str">
        <f ca="1">IF('＠MFP (LSI name)'!O27="","",IF(COUNTIF('＠MFP (LSI name)'!O27,"Serial*")+COUNTIF('＠MFP (LSI name)'!O27,"Analog*")&gt;0,'＠MFP (LSI name)'!O27,OFFSET('＠グループ、表示名'!$H$4,MATCH('＠MFP (LSI name)'!O27,'＠グループ、表示名'!$D$4:$D$250,0)-1,0)))</f>
        <v/>
      </c>
      <c r="P27" s="69" t="str">
        <f ca="1">IF('＠MFP (LSI name)'!P27="","",IF(COUNTIF('＠MFP (LSI name)'!P27,"Serial*")+COUNTIF('＠MFP (LSI name)'!P27,"Analog*")&gt;0,'＠MFP (LSI name)'!P27,OFFSET('＠グループ、表示名'!$H$4,MATCH('＠MFP (LSI name)'!P27,'＠グループ、表示名'!$D$4:$D$250,0)-1,0)))</f>
        <v/>
      </c>
      <c r="Q27" s="69" t="str">
        <f ca="1">IF('＠MFP (LSI name)'!Q27="","",IF(COUNTIF('＠MFP (LSI name)'!Q27,"Serial*")+COUNTIF('＠MFP (LSI name)'!Q27,"Analog*")&gt;0,'＠MFP (LSI name)'!Q27,OFFSET('＠グループ、表示名'!$H$4,MATCH('＠MFP (LSI name)'!Q27,'＠グループ、表示名'!$D$4:$D$250,0)-1,0)))</f>
        <v/>
      </c>
      <c r="R27" s="69" t="str">
        <f ca="1">IF('＠MFP (LSI name)'!R27="","",IF(COUNTIF('＠MFP (LSI name)'!R27,"Serial*")+COUNTIF('＠MFP (LSI name)'!R27,"Analog*")&gt;0,'＠MFP (LSI name)'!R27,OFFSET('＠グループ、表示名'!$H$4,MATCH('＠MFP (LSI name)'!R27,'＠グループ、表示名'!$D$4:$D$250,0)-1,0)))</f>
        <v/>
      </c>
      <c r="S27" s="69" t="str">
        <f ca="1">IF('＠MFP (LSI name)'!S27="","",IF(COUNTIF('＠MFP (LSI name)'!S27,"Serial*")+COUNTIF('＠MFP (LSI name)'!S27,"Analog*")&gt;0,'＠MFP (LSI name)'!S27,OFFSET('＠グループ、表示名'!$H$4,MATCH('＠MFP (LSI name)'!S27,'＠グループ、表示名'!$D$4:$D$250,0)-1,0)))</f>
        <v/>
      </c>
      <c r="T27" s="69" t="str">
        <f ca="1">IF('＠MFP (LSI name)'!T27="","",IF(COUNTIF('＠MFP (LSI name)'!T27,"Serial*")+COUNTIF('＠MFP (LSI name)'!T27,"Analog*")&gt;0,'＠MFP (LSI name)'!T27,OFFSET('＠グループ、表示名'!$H$4,MATCH('＠MFP (LSI name)'!T27,'＠グループ、表示名'!$D$4:$D$250,0)-1,0)))</f>
        <v/>
      </c>
      <c r="U27" s="69" t="str">
        <f ca="1">IF('＠MFP (LSI name)'!U27="","",IF(COUNTIF('＠MFP (LSI name)'!U27,"Serial*")+COUNTIF('＠MFP (LSI name)'!U27,"Analog*")&gt;0,'＠MFP (LSI name)'!U27,OFFSET('＠グループ、表示名'!$H$4,MATCH('＠MFP (LSI name)'!U27,'＠グループ、表示名'!$D$4:$D$250,0)-1,0)))</f>
        <v/>
      </c>
      <c r="V27" s="69" t="str">
        <f ca="1">IF('＠MFP (LSI name)'!V27="","",IF(COUNTIF('＠MFP (LSI name)'!V27,"Serial*")+COUNTIF('＠MFP (LSI name)'!V27,"Analog*")&gt;0,'＠MFP (LSI name)'!V27,OFFSET('＠グループ、表示名'!$H$4,MATCH('＠MFP (LSI name)'!V27,'＠グループ、表示名'!$D$4:$D$250,0)-1,0)))</f>
        <v/>
      </c>
      <c r="W27" s="69" t="str">
        <f ca="1">IF('＠MFP (LSI name)'!W27="","",IF(COUNTIF('＠MFP (LSI name)'!W27,"Serial*")+COUNTIF('＠MFP (LSI name)'!W27,"Analog*")&gt;0,'＠MFP (LSI name)'!W27,OFFSET('＠グループ、表示名'!$H$4,MATCH('＠MFP (LSI name)'!W27,'＠グループ、表示名'!$D$4:$D$250,0)-1,0)))</f>
        <v/>
      </c>
      <c r="X27" s="69" t="str">
        <f ca="1">IF('＠MFP (LSI name)'!X27="","",IF(COUNTIF('＠MFP (LSI name)'!X27,"Serial*")+COUNTIF('＠MFP (LSI name)'!X27,"Analog*")&gt;0,'＠MFP (LSI name)'!X27,OFFSET('＠グループ、表示名'!$H$4,MATCH('＠MFP (LSI name)'!X27,'＠グループ、表示名'!$D$4:$D$250,0)-1,0)))</f>
        <v/>
      </c>
      <c r="Y27" s="18" t="str">
        <f ca="1">IF('＠MFP (LSI name)'!Y27="","",IF(COUNTIF('＠MFP (LSI name)'!Y27,"Serial*")+COUNTIF('＠MFP (LSI name)'!Y27,"Analog*")&gt;0,'＠MFP (LSI name)'!Y27,OFFSET('＠グループ、表示名'!$H$4,MATCH('＠MFP (LSI name)'!Y27,'＠グループ、表示名'!$D$4:$D$250,0)-1,0)))</f>
        <v/>
      </c>
      <c r="Z27" s="18" t="str">
        <f ca="1">IF('＠MFP (LSI name)'!Z27="","",IF(COUNTIF('＠MFP (LSI name)'!Z27,"Serial*")+COUNTIF('＠MFP (LSI name)'!Z27,"Analog*")&gt;0,'＠MFP (LSI name)'!Z27,OFFSET('＠グループ、表示名'!$H$4,MATCH('＠MFP (LSI name)'!Z27,'＠グループ、表示名'!$D$4:$D$250,0)-1,0)))</f>
        <v/>
      </c>
      <c r="AA27" s="69" t="str">
        <f ca="1">IF('＠MFP (LSI name)'!AA27="","",IF(COUNTIF('＠MFP (LSI name)'!AA27,"Serial*")+COUNTIF('＠MFP (LSI name)'!AA27,"Analog*")&gt;0,'＠MFP (LSI name)'!AA27,OFFSET('＠グループ、表示名'!$H$4,MATCH('＠MFP (LSI name)'!AA27,'＠グループ、表示名'!$D$4:$D$250,0)-1,0)))</f>
        <v/>
      </c>
      <c r="AB27" s="69" t="str">
        <f ca="1">IF('＠MFP (LSI name)'!AB27="","",IF(COUNTIF('＠MFP (LSI name)'!AB27,"Serial*")+COUNTIF('＠MFP (LSI name)'!AB27,"Analog*")&gt;0,'＠MFP (LSI name)'!AB27,OFFSET('＠グループ、表示名'!$H$4,MATCH('＠MFP (LSI name)'!AB27,'＠グループ、表示名'!$D$4:$D$250,0)-1,0)))</f>
        <v/>
      </c>
      <c r="AC27" s="69" t="str">
        <f ca="1">IF('＠MFP (LSI name)'!AC27="","",IF(COUNTIF('＠MFP (LSI name)'!AC27,"Serial*")+COUNTIF('＠MFP (LSI name)'!AC27,"Analog*")&gt;0,'＠MFP (LSI name)'!AC27,OFFSET('＠グループ、表示名'!$H$4,MATCH('＠MFP (LSI name)'!AC27,'＠グループ、表示名'!$D$4:$D$250,0)-1,0)))</f>
        <v/>
      </c>
      <c r="AD27" s="69" t="str">
        <f ca="1">IF('＠MFP (LSI name)'!AD27="","",IF(COUNTIF('＠MFP (LSI name)'!AD27,"Serial*")+COUNTIF('＠MFP (LSI name)'!AD27,"Analog*")&gt;0,'＠MFP (LSI name)'!AD27,OFFSET('＠グループ、表示名'!$H$4,MATCH('＠MFP (LSI name)'!AD27,'＠グループ、表示名'!$D$4:$D$250,0)-1,0)))</f>
        <v/>
      </c>
      <c r="AE27" s="18" t="str">
        <f ca="1">IF('＠MFP (LSI name)'!AE27="","",IF(COUNTIF('＠MFP (LSI name)'!AE27,"Serial*")+COUNTIF('＠MFP (LSI name)'!AE27,"Analog*")&gt;0,'＠MFP (LSI name)'!AE27,OFFSET('＠グループ、表示名'!$H$4,MATCH('＠MFP (LSI name)'!AE27,'＠グループ、表示名'!$D$4:$D$250,0)-1,0)))</f>
        <v/>
      </c>
      <c r="AF27" s="69" t="str">
        <f ca="1">IF('＠MFP (LSI name)'!AF27="","",IF(COUNTIF('＠MFP (LSI name)'!AF27,"Serial*")+COUNTIF('＠MFP (LSI name)'!AF27,"Analog*")&gt;0,'＠MFP (LSI name)'!AF27,OFFSET('＠グループ、表示名'!$H$4,MATCH('＠MFP (LSI name)'!AF27,'＠グループ、表示名'!$D$4:$D$250,0)-1,0)))</f>
        <v/>
      </c>
      <c r="AG27" s="69" t="str">
        <f ca="1">IF('＠MFP (LSI name)'!AG27="","",IF(COUNTIF('＠MFP (LSI name)'!AG27,"Serial*")+COUNTIF('＠MFP (LSI name)'!AG27,"Analog*")&gt;0,'＠MFP (LSI name)'!AG27,OFFSET('＠グループ、表示名'!$H$4,MATCH('＠MFP (LSI name)'!AG27,'＠グループ、表示名'!$D$4:$D$250,0)-1,0)))</f>
        <v/>
      </c>
      <c r="AH27" s="69" t="str">
        <f ca="1">IF('＠MFP (LSI name)'!AH27="","",IF(COUNTIF('＠MFP (LSI name)'!AH27,"Serial*")+COUNTIF('＠MFP (LSI name)'!AH27,"Analog*")&gt;0,'＠MFP (LSI name)'!AH27,OFFSET('＠グループ、表示名'!$H$4,MATCH('＠MFP (LSI name)'!AH27,'＠グループ、表示名'!$D$4:$D$250,0)-1,0)))</f>
        <v/>
      </c>
      <c r="AI27" s="69" t="str">
        <f ca="1">IF('＠MFP (LSI name)'!AI27="","",IF(COUNTIF('＠MFP (LSI name)'!AI27,"Serial*")+COUNTIF('＠MFP (LSI name)'!AI27,"Analog*")&gt;0,'＠MFP (LSI name)'!AI27,OFFSET('＠グループ、表示名'!$H$4,MATCH('＠MFP (LSI name)'!AI27,'＠グループ、表示名'!$D$4:$D$250,0)-1,0)))</f>
        <v/>
      </c>
      <c r="AJ27" s="18" t="str">
        <f ca="1">IF('＠MFP (LSI name)'!AJ27="","",IF(COUNTIF('＠MFP (LSI name)'!AJ27,"Serial*")+COUNTIF('＠MFP (LSI name)'!AJ27,"Analog*")&gt;0,'＠MFP (LSI name)'!AJ27,OFFSET('＠グループ、表示名'!$H$4,MATCH('＠MFP (LSI name)'!AJ27,'＠グループ、表示名'!$D$4:$D$250,0)-1,0)))</f>
        <v/>
      </c>
      <c r="AK27" s="69" t="str">
        <f ca="1">IF('＠MFP (LSI name)'!AK27="","",IF(COUNTIF('＠MFP (LSI name)'!AK27,"Serial*")+COUNTIF('＠MFP (LSI name)'!AK27,"Analog*")&gt;0,'＠MFP (LSI name)'!AK27,OFFSET('＠グループ、表示名'!$H$4,MATCH('＠MFP (LSI name)'!AK27,'＠グループ、表示名'!$D$4:$D$250,0)-1,0)))</f>
        <v/>
      </c>
      <c r="AL27" s="9" t="str">
        <f t="shared" si="4"/>
        <v>IOPDMD[7]</v>
      </c>
      <c r="AM27" s="9" t="str">
        <f t="shared" si="5"/>
        <v>IOPDMD[6]</v>
      </c>
      <c r="AN27" s="9" t="str">
        <f t="shared" si="6"/>
        <v>IOPDMD[5]</v>
      </c>
      <c r="AO27" s="9" t="str">
        <f t="shared" si="7"/>
        <v>IOPDMD[4]</v>
      </c>
      <c r="AP27" s="86"/>
    </row>
    <row r="28" spans="1:42" ht="16.149999999999999">
      <c r="A28" s="60">
        <v>25</v>
      </c>
      <c r="B28" s="7">
        <v>25</v>
      </c>
      <c r="C28" s="7"/>
      <c r="D28" s="87"/>
      <c r="E28" s="87"/>
      <c r="F28" s="7">
        <v>25</v>
      </c>
      <c r="G28" s="7"/>
      <c r="H28" s="87"/>
      <c r="I28" s="45" t="s">
        <v>393</v>
      </c>
      <c r="J28" s="45" t="s">
        <v>394</v>
      </c>
      <c r="K28" s="69" t="str">
        <f ca="1">IF('＠MFP (LSI name)'!K28="","",IF(COUNTIF('＠MFP (LSI name)'!K28,"Serial*")+COUNTIF('＠MFP (LSI name)'!K28,"Analog*")&gt;0,'＠MFP (LSI name)'!K28,OFFSET('＠グループ、表示名'!$H$4,MATCH('＠MFP (LSI name)'!K28,'＠グループ、表示名'!$D$4:$D$250,0)-1,0)))</f>
        <v>TM06A</v>
      </c>
      <c r="L28" s="18" t="str">
        <f ca="1">IF('＠MFP (LSI name)'!L28="","",IF(COUNTIF('＠MFP (LSI name)'!L28,"Serial*")+COUNTIF('＠MFP (LSI name)'!L28,"Analog*")&gt;0,'＠MFP (LSI name)'!L28,OFFSET('＠グループ、表示名'!$H$4,MATCH('＠MFP (LSI name)'!L28,'＠グループ、表示名'!$D$4:$D$250,0)-1,0)))</f>
        <v>SIF3_SBT3</v>
      </c>
      <c r="M28" s="69" t="str">
        <f ca="1">IF('＠MFP (LSI name)'!M28="","",IF(COUNTIF('＠MFP (LSI name)'!M28,"Serial*")+COUNTIF('＠MFP (LSI name)'!M28,"Analog*")&gt;0,'＠MFP (LSI name)'!M28,OFFSET('＠グループ、表示名'!$H$4,MATCH('＠MFP (LSI name)'!M28,'＠グループ、表示名'!$D$4:$D$250,0)-1,0)))</f>
        <v/>
      </c>
      <c r="N28" s="69" t="str">
        <f ca="1">IF('＠MFP (LSI name)'!N28="","",IF(COUNTIF('＠MFP (LSI name)'!N28,"Serial*")+COUNTIF('＠MFP (LSI name)'!N28,"Analog*")&gt;0,'＠MFP (LSI name)'!N28,OFFSET('＠グループ、表示名'!$H$4,MATCH('＠MFP (LSI name)'!N28,'＠グループ、表示名'!$D$4:$D$250,0)-1,0)))</f>
        <v/>
      </c>
      <c r="O28" s="69" t="str">
        <f ca="1">IF('＠MFP (LSI name)'!O28="","",IF(COUNTIF('＠MFP (LSI name)'!O28,"Serial*")+COUNTIF('＠MFP (LSI name)'!O28,"Analog*")&gt;0,'＠MFP (LSI name)'!O28,OFFSET('＠グループ、表示名'!$H$4,MATCH('＠MFP (LSI name)'!O28,'＠グループ、表示名'!$D$4:$D$250,0)-1,0)))</f>
        <v/>
      </c>
      <c r="P28" s="69" t="str">
        <f ca="1">IF('＠MFP (LSI name)'!P28="","",IF(COUNTIF('＠MFP (LSI name)'!P28,"Serial*")+COUNTIF('＠MFP (LSI name)'!P28,"Analog*")&gt;0,'＠MFP (LSI name)'!P28,OFFSET('＠グループ、表示名'!$H$4,MATCH('＠MFP (LSI name)'!P28,'＠グループ、表示名'!$D$4:$D$250,0)-1,0)))</f>
        <v/>
      </c>
      <c r="Q28" s="69" t="str">
        <f ca="1">IF('＠MFP (LSI name)'!Q28="","",IF(COUNTIF('＠MFP (LSI name)'!Q28,"Serial*")+COUNTIF('＠MFP (LSI name)'!Q28,"Analog*")&gt;0,'＠MFP (LSI name)'!Q28,OFFSET('＠グループ、表示名'!$H$4,MATCH('＠MFP (LSI name)'!Q28,'＠グループ、表示名'!$D$4:$D$250,0)-1,0)))</f>
        <v/>
      </c>
      <c r="R28" s="69" t="str">
        <f ca="1">IF('＠MFP (LSI name)'!R28="","",IF(COUNTIF('＠MFP (LSI name)'!R28,"Serial*")+COUNTIF('＠MFP (LSI name)'!R28,"Analog*")&gt;0,'＠MFP (LSI name)'!R28,OFFSET('＠グループ、表示名'!$H$4,MATCH('＠MFP (LSI name)'!R28,'＠グループ、表示名'!$D$4:$D$250,0)-1,0)))</f>
        <v/>
      </c>
      <c r="S28" s="69" t="str">
        <f ca="1">IF('＠MFP (LSI name)'!S28="","",IF(COUNTIF('＠MFP (LSI name)'!S28,"Serial*")+COUNTIF('＠MFP (LSI name)'!S28,"Analog*")&gt;0,'＠MFP (LSI name)'!S28,OFFSET('＠グループ、表示名'!$H$4,MATCH('＠MFP (LSI name)'!S28,'＠グループ、表示名'!$D$4:$D$250,0)-1,0)))</f>
        <v/>
      </c>
      <c r="T28" s="69" t="str">
        <f ca="1">IF('＠MFP (LSI name)'!T28="","",IF(COUNTIF('＠MFP (LSI name)'!T28,"Serial*")+COUNTIF('＠MFP (LSI name)'!T28,"Analog*")&gt;0,'＠MFP (LSI name)'!T28,OFFSET('＠グループ、表示名'!$H$4,MATCH('＠MFP (LSI name)'!T28,'＠グループ、表示名'!$D$4:$D$250,0)-1,0)))</f>
        <v/>
      </c>
      <c r="U28" s="69" t="str">
        <f ca="1">IF('＠MFP (LSI name)'!U28="","",IF(COUNTIF('＠MFP (LSI name)'!U28,"Serial*")+COUNTIF('＠MFP (LSI name)'!U28,"Analog*")&gt;0,'＠MFP (LSI name)'!U28,OFFSET('＠グループ、表示名'!$H$4,MATCH('＠MFP (LSI name)'!U28,'＠グループ、表示名'!$D$4:$D$250,0)-1,0)))</f>
        <v/>
      </c>
      <c r="V28" s="18" t="str">
        <f ca="1">IF('＠MFP (LSI name)'!V28="","",IF(COUNTIF('＠MFP (LSI name)'!V28,"Serial*")+COUNTIF('＠MFP (LSI name)'!V28,"Analog*")&gt;0,'＠MFP (LSI name)'!V28,OFFSET('＠グループ、表示名'!$H$4,MATCH('＠MFP (LSI name)'!V28,'＠グループ、表示名'!$D$4:$D$250,0)-1,0)))</f>
        <v/>
      </c>
      <c r="W28" s="18" t="str">
        <f ca="1">IF('＠MFP (LSI name)'!W28="","",IF(COUNTIF('＠MFP (LSI name)'!W28,"Serial*")+COUNTIF('＠MFP (LSI name)'!W28,"Analog*")&gt;0,'＠MFP (LSI name)'!W28,OFFSET('＠グループ、表示名'!$H$4,MATCH('＠MFP (LSI name)'!W28,'＠グループ、表示名'!$D$4:$D$250,0)-1,0)))</f>
        <v/>
      </c>
      <c r="X28" s="18" t="str">
        <f ca="1">IF('＠MFP (LSI name)'!X28="","",IF(COUNTIF('＠MFP (LSI name)'!X28,"Serial*")+COUNTIF('＠MFP (LSI name)'!X28,"Analog*")&gt;0,'＠MFP (LSI name)'!X28,OFFSET('＠グループ、表示名'!$H$4,MATCH('＠MFP (LSI name)'!X28,'＠グループ、表示名'!$D$4:$D$250,0)-1,0)))</f>
        <v/>
      </c>
      <c r="Y28" s="18" t="str">
        <f ca="1">IF('＠MFP (LSI name)'!Y28="","",IF(COUNTIF('＠MFP (LSI name)'!Y28,"Serial*")+COUNTIF('＠MFP (LSI name)'!Y28,"Analog*")&gt;0,'＠MFP (LSI name)'!Y28,OFFSET('＠グループ、表示名'!$H$4,MATCH('＠MFP (LSI name)'!Y28,'＠グループ、表示名'!$D$4:$D$250,0)-1,0)))</f>
        <v/>
      </c>
      <c r="Z28" s="18" t="str">
        <f ca="1">IF('＠MFP (LSI name)'!Z28="","",IF(COUNTIF('＠MFP (LSI name)'!Z28,"Serial*")+COUNTIF('＠MFP (LSI name)'!Z28,"Analog*")&gt;0,'＠MFP (LSI name)'!Z28,OFFSET('＠グループ、表示名'!$H$4,MATCH('＠MFP (LSI name)'!Z28,'＠グループ、表示名'!$D$4:$D$250,0)-1,0)))</f>
        <v/>
      </c>
      <c r="AA28" s="69" t="str">
        <f ca="1">IF('＠MFP (LSI name)'!AA28="","",IF(COUNTIF('＠MFP (LSI name)'!AA28,"Serial*")+COUNTIF('＠MFP (LSI name)'!AA28,"Analog*")&gt;0,'＠MFP (LSI name)'!AA28,OFFSET('＠グループ、表示名'!$H$4,MATCH('＠MFP (LSI name)'!AA28,'＠グループ、表示名'!$D$4:$D$250,0)-1,0)))</f>
        <v/>
      </c>
      <c r="AB28" s="18" t="str">
        <f ca="1">IF('＠MFP (LSI name)'!AB28="","",IF(COUNTIF('＠MFP (LSI name)'!AB28,"Serial*")+COUNTIF('＠MFP (LSI name)'!AB28,"Analog*")&gt;0,'＠MFP (LSI name)'!AB28,OFFSET('＠グループ、表示名'!$H$4,MATCH('＠MFP (LSI name)'!AB28,'＠グループ、表示名'!$D$4:$D$250,0)-1,0)))</f>
        <v/>
      </c>
      <c r="AC28" s="18" t="str">
        <f ca="1">IF('＠MFP (LSI name)'!AC28="","",IF(COUNTIF('＠MFP (LSI name)'!AC28,"Serial*")+COUNTIF('＠MFP (LSI name)'!AC28,"Analog*")&gt;0,'＠MFP (LSI name)'!AC28,OFFSET('＠グループ、表示名'!$H$4,MATCH('＠MFP (LSI name)'!AC28,'＠グループ、表示名'!$D$4:$D$250,0)-1,0)))</f>
        <v/>
      </c>
      <c r="AD28" s="18" t="str">
        <f ca="1">IF('＠MFP (LSI name)'!AD28="","",IF(COUNTIF('＠MFP (LSI name)'!AD28,"Serial*")+COUNTIF('＠MFP (LSI name)'!AD28,"Analog*")&gt;0,'＠MFP (LSI name)'!AD28,OFFSET('＠グループ、表示名'!$H$4,MATCH('＠MFP (LSI name)'!AD28,'＠グループ、表示名'!$D$4:$D$250,0)-1,0)))</f>
        <v/>
      </c>
      <c r="AE28" s="18" t="str">
        <f ca="1">IF('＠MFP (LSI name)'!AE28="","",IF(COUNTIF('＠MFP (LSI name)'!AE28,"Serial*")+COUNTIF('＠MFP (LSI name)'!AE28,"Analog*")&gt;0,'＠MFP (LSI name)'!AE28,OFFSET('＠グループ、表示名'!$H$4,MATCH('＠MFP (LSI name)'!AE28,'＠グループ、表示名'!$D$4:$D$250,0)-1,0)))</f>
        <v/>
      </c>
      <c r="AF28" s="69" t="str">
        <f ca="1">IF('＠MFP (LSI name)'!AF28="","",IF(COUNTIF('＠MFP (LSI name)'!AF28,"Serial*")+COUNTIF('＠MFP (LSI name)'!AF28,"Analog*")&gt;0,'＠MFP (LSI name)'!AF28,OFFSET('＠グループ、表示名'!$H$4,MATCH('＠MFP (LSI name)'!AF28,'＠グループ、表示名'!$D$4:$D$250,0)-1,0)))</f>
        <v/>
      </c>
      <c r="AG28" s="18" t="str">
        <f ca="1">IF('＠MFP (LSI name)'!AG28="","",IF(COUNTIF('＠MFP (LSI name)'!AG28,"Serial*")+COUNTIF('＠MFP (LSI name)'!AG28,"Analog*")&gt;0,'＠MFP (LSI name)'!AG28,OFFSET('＠グループ、表示名'!$H$4,MATCH('＠MFP (LSI name)'!AG28,'＠グループ、表示名'!$D$4:$D$250,0)-1,0)))</f>
        <v/>
      </c>
      <c r="AH28" s="18" t="str">
        <f ca="1">IF('＠MFP (LSI name)'!AH28="","",IF(COUNTIF('＠MFP (LSI name)'!AH28,"Serial*")+COUNTIF('＠MFP (LSI name)'!AH28,"Analog*")&gt;0,'＠MFP (LSI name)'!AH28,OFFSET('＠グループ、表示名'!$H$4,MATCH('＠MFP (LSI name)'!AH28,'＠グループ、表示名'!$D$4:$D$250,0)-1,0)))</f>
        <v/>
      </c>
      <c r="AI28" s="18" t="str">
        <f ca="1">IF('＠MFP (LSI name)'!AI28="","",IF(COUNTIF('＠MFP (LSI name)'!AI28,"Serial*")+COUNTIF('＠MFP (LSI name)'!AI28,"Analog*")&gt;0,'＠MFP (LSI name)'!AI28,OFFSET('＠グループ、表示名'!$H$4,MATCH('＠MFP (LSI name)'!AI28,'＠グループ、表示名'!$D$4:$D$250,0)-1,0)))</f>
        <v/>
      </c>
      <c r="AJ28" s="18" t="str">
        <f ca="1">IF('＠MFP (LSI name)'!AJ28="","",IF(COUNTIF('＠MFP (LSI name)'!AJ28,"Serial*")+COUNTIF('＠MFP (LSI name)'!AJ28,"Analog*")&gt;0,'＠MFP (LSI name)'!AJ28,OFFSET('＠グループ、表示名'!$H$4,MATCH('＠MFP (LSI name)'!AJ28,'＠グループ、表示名'!$D$4:$D$250,0)-1,0)))</f>
        <v/>
      </c>
      <c r="AK28" s="69" t="str">
        <f ca="1">IF('＠MFP (LSI name)'!AK28="","",IF(COUNTIF('＠MFP (LSI name)'!AK28,"Serial*")+COUNTIF('＠MFP (LSI name)'!AK28,"Analog*")&gt;0,'＠MFP (LSI name)'!AK28,OFFSET('＠グループ、表示名'!$H$4,MATCH('＠MFP (LSI name)'!AK28,'＠グループ、表示名'!$D$4:$D$250,0)-1,0)))</f>
        <v/>
      </c>
      <c r="AL28" s="9" t="str">
        <f t="shared" si="4"/>
        <v>IOPDMD[3]</v>
      </c>
      <c r="AM28" s="9" t="str">
        <f t="shared" si="5"/>
        <v>IOPDMD[2]</v>
      </c>
      <c r="AN28" s="9" t="str">
        <f t="shared" si="6"/>
        <v>IOPDMD[1]</v>
      </c>
      <c r="AO28" s="9" t="str">
        <f t="shared" si="7"/>
        <v>IOPDMD[0]</v>
      </c>
      <c r="AP28" s="86"/>
    </row>
    <row r="29" spans="1:42" ht="16.149999999999999">
      <c r="A29" s="61">
        <v>26</v>
      </c>
      <c r="B29" s="7">
        <v>26</v>
      </c>
      <c r="C29" s="7"/>
      <c r="D29" s="87"/>
      <c r="E29" s="87"/>
      <c r="F29" s="7">
        <v>26</v>
      </c>
      <c r="G29" s="7"/>
      <c r="H29" s="87"/>
      <c r="I29" s="45" t="s">
        <v>495</v>
      </c>
      <c r="J29" s="45" t="s">
        <v>496</v>
      </c>
      <c r="K29" s="18" t="str">
        <f ca="1">IF('＠MFP (LSI name)'!K29="","",IF(COUNTIF('＠MFP (LSI name)'!K29,"Serial*")+COUNTIF('＠MFP (LSI name)'!K29,"Analog*")&gt;0,'＠MFP (LSI name)'!K29,OFFSET('＠グループ、表示名'!$H$4,MATCH('＠MFP (LSI name)'!K29,'＠グループ、表示名'!$D$4:$D$250,0)-1,0)))</f>
        <v>SIF0_SBT0</v>
      </c>
      <c r="L29" s="69" t="str">
        <f ca="1">IF('＠MFP (LSI name)'!L29="","",IF(COUNTIF('＠MFP (LSI name)'!L29,"Serial*")+COUNTIF('＠MFP (LSI name)'!L29,"Analog*")&gt;0,'＠MFP (LSI name)'!L29,OFFSET('＠グループ、表示名'!$H$4,MATCH('＠MFP (LSI name)'!L29,'＠グループ、表示名'!$D$4:$D$250,0)-1,0)))</f>
        <v/>
      </c>
      <c r="M29" s="69" t="str">
        <f ca="1">IF('＠MFP (LSI name)'!M29="","",IF(COUNTIF('＠MFP (LSI name)'!M29,"Serial*")+COUNTIF('＠MFP (LSI name)'!M29,"Analog*")&gt;0,'＠MFP (LSI name)'!M29,OFFSET('＠グループ、表示名'!$H$4,MATCH('＠MFP (LSI name)'!M29,'＠グループ、表示名'!$D$4:$D$250,0)-1,0)))</f>
        <v/>
      </c>
      <c r="N29" s="69" t="str">
        <f ca="1">IF('＠MFP (LSI name)'!N29="","",IF(COUNTIF('＠MFP (LSI name)'!N29,"Serial*")+COUNTIF('＠MFP (LSI name)'!N29,"Analog*")&gt;0,'＠MFP (LSI name)'!N29,OFFSET('＠グループ、表示名'!$H$4,MATCH('＠MFP (LSI name)'!N29,'＠グループ、表示名'!$D$4:$D$250,0)-1,0)))</f>
        <v/>
      </c>
      <c r="O29" s="69" t="str">
        <f ca="1">IF('＠MFP (LSI name)'!O29="","",IF(COUNTIF('＠MFP (LSI name)'!O29,"Serial*")+COUNTIF('＠MFP (LSI name)'!O29,"Analog*")&gt;0,'＠MFP (LSI name)'!O29,OFFSET('＠グループ、表示名'!$H$4,MATCH('＠MFP (LSI name)'!O29,'＠グループ、表示名'!$D$4:$D$250,0)-1,0)))</f>
        <v/>
      </c>
      <c r="P29" s="69" t="str">
        <f ca="1">IF('＠MFP (LSI name)'!P29="","",IF(COUNTIF('＠MFP (LSI name)'!P29,"Serial*")+COUNTIF('＠MFP (LSI name)'!P29,"Analog*")&gt;0,'＠MFP (LSI name)'!P29,OFFSET('＠グループ、表示名'!$H$4,MATCH('＠MFP (LSI name)'!P29,'＠グループ、表示名'!$D$4:$D$250,0)-1,0)))</f>
        <v/>
      </c>
      <c r="Q29" s="69" t="str">
        <f ca="1">IF('＠MFP (LSI name)'!Q29="","",IF(COUNTIF('＠MFP (LSI name)'!Q29,"Serial*")+COUNTIF('＠MFP (LSI name)'!Q29,"Analog*")&gt;0,'＠MFP (LSI name)'!Q29,OFFSET('＠グループ、表示名'!$H$4,MATCH('＠MFP (LSI name)'!Q29,'＠グループ、表示名'!$D$4:$D$250,0)-1,0)))</f>
        <v/>
      </c>
      <c r="R29" s="69" t="str">
        <f ca="1">IF('＠MFP (LSI name)'!R29="","",IF(COUNTIF('＠MFP (LSI name)'!R29,"Serial*")+COUNTIF('＠MFP (LSI name)'!R29,"Analog*")&gt;0,'＠MFP (LSI name)'!R29,OFFSET('＠グループ、表示名'!$H$4,MATCH('＠MFP (LSI name)'!R29,'＠グループ、表示名'!$D$4:$D$250,0)-1,0)))</f>
        <v/>
      </c>
      <c r="S29" s="69" t="str">
        <f ca="1">IF('＠MFP (LSI name)'!S29="","",IF(COUNTIF('＠MFP (LSI name)'!S29,"Serial*")+COUNTIF('＠MFP (LSI name)'!S29,"Analog*")&gt;0,'＠MFP (LSI name)'!S29,OFFSET('＠グループ、表示名'!$H$4,MATCH('＠MFP (LSI name)'!S29,'＠グループ、表示名'!$D$4:$D$250,0)-1,0)))</f>
        <v/>
      </c>
      <c r="T29" s="69" t="str">
        <f ca="1">IF('＠MFP (LSI name)'!T29="","",IF(COUNTIF('＠MFP (LSI name)'!T29,"Serial*")+COUNTIF('＠MFP (LSI name)'!T29,"Analog*")&gt;0,'＠MFP (LSI name)'!T29,OFFSET('＠グループ、表示名'!$H$4,MATCH('＠MFP (LSI name)'!T29,'＠グループ、表示名'!$D$4:$D$250,0)-1,0)))</f>
        <v/>
      </c>
      <c r="U29" s="69" t="str">
        <f ca="1">IF('＠MFP (LSI name)'!U29="","",IF(COUNTIF('＠MFP (LSI name)'!U29,"Serial*")+COUNTIF('＠MFP (LSI name)'!U29,"Analog*")&gt;0,'＠MFP (LSI name)'!U29,OFFSET('＠グループ、表示名'!$H$4,MATCH('＠MFP (LSI name)'!U29,'＠グループ、表示名'!$D$4:$D$250,0)-1,0)))</f>
        <v/>
      </c>
      <c r="V29" s="18" t="str">
        <f ca="1">IF('＠MFP (LSI name)'!V29="","",IF(COUNTIF('＠MFP (LSI name)'!V29,"Serial*")+COUNTIF('＠MFP (LSI name)'!V29,"Analog*")&gt;0,'＠MFP (LSI name)'!V29,OFFSET('＠グループ、表示名'!$H$4,MATCH('＠MFP (LSI name)'!V29,'＠グループ、表示名'!$D$4:$D$250,0)-1,0)))</f>
        <v/>
      </c>
      <c r="W29" s="18" t="str">
        <f ca="1">IF('＠MFP (LSI name)'!W29="","",IF(COUNTIF('＠MFP (LSI name)'!W29,"Serial*")+COUNTIF('＠MFP (LSI name)'!W29,"Analog*")&gt;0,'＠MFP (LSI name)'!W29,OFFSET('＠グループ、表示名'!$H$4,MATCH('＠MFP (LSI name)'!W29,'＠グループ、表示名'!$D$4:$D$250,0)-1,0)))</f>
        <v/>
      </c>
      <c r="X29" s="18" t="str">
        <f ca="1">IF('＠MFP (LSI name)'!X29="","",IF(COUNTIF('＠MFP (LSI name)'!X29,"Serial*")+COUNTIF('＠MFP (LSI name)'!X29,"Analog*")&gt;0,'＠MFP (LSI name)'!X29,OFFSET('＠グループ、表示名'!$H$4,MATCH('＠MFP (LSI name)'!X29,'＠グループ、表示名'!$D$4:$D$250,0)-1,0)))</f>
        <v/>
      </c>
      <c r="Y29" s="18" t="str">
        <f ca="1">IF('＠MFP (LSI name)'!Y29="","",IF(COUNTIF('＠MFP (LSI name)'!Y29,"Serial*")+COUNTIF('＠MFP (LSI name)'!Y29,"Analog*")&gt;0,'＠MFP (LSI name)'!Y29,OFFSET('＠グループ、表示名'!$H$4,MATCH('＠MFP (LSI name)'!Y29,'＠グループ、表示名'!$D$4:$D$250,0)-1,0)))</f>
        <v/>
      </c>
      <c r="Z29" s="18" t="str">
        <f ca="1">IF('＠MFP (LSI name)'!Z29="","",IF(COUNTIF('＠MFP (LSI name)'!Z29,"Serial*")+COUNTIF('＠MFP (LSI name)'!Z29,"Analog*")&gt;0,'＠MFP (LSI name)'!Z29,OFFSET('＠グループ、表示名'!$H$4,MATCH('＠MFP (LSI name)'!Z29,'＠グループ、表示名'!$D$4:$D$250,0)-1,0)))</f>
        <v/>
      </c>
      <c r="AA29" s="69" t="str">
        <f ca="1">IF('＠MFP (LSI name)'!AA29="","",IF(COUNTIF('＠MFP (LSI name)'!AA29,"Serial*")+COUNTIF('＠MFP (LSI name)'!AA29,"Analog*")&gt;0,'＠MFP (LSI name)'!AA29,OFFSET('＠グループ、表示名'!$H$4,MATCH('＠MFP (LSI name)'!AA29,'＠グループ、表示名'!$D$4:$D$250,0)-1,0)))</f>
        <v/>
      </c>
      <c r="AB29" s="18" t="str">
        <f ca="1">IF('＠MFP (LSI name)'!AB29="","",IF(COUNTIF('＠MFP (LSI name)'!AB29,"Serial*")+COUNTIF('＠MFP (LSI name)'!AB29,"Analog*")&gt;0,'＠MFP (LSI name)'!AB29,OFFSET('＠グループ、表示名'!$H$4,MATCH('＠MFP (LSI name)'!AB29,'＠グループ、表示名'!$D$4:$D$250,0)-1,0)))</f>
        <v/>
      </c>
      <c r="AC29" s="18" t="str">
        <f ca="1">IF('＠MFP (LSI name)'!AC29="","",IF(COUNTIF('＠MFP (LSI name)'!AC29,"Serial*")+COUNTIF('＠MFP (LSI name)'!AC29,"Analog*")&gt;0,'＠MFP (LSI name)'!AC29,OFFSET('＠グループ、表示名'!$H$4,MATCH('＠MFP (LSI name)'!AC29,'＠グループ、表示名'!$D$4:$D$250,0)-1,0)))</f>
        <v/>
      </c>
      <c r="AD29" s="18" t="str">
        <f ca="1">IF('＠MFP (LSI name)'!AD29="","",IF(COUNTIF('＠MFP (LSI name)'!AD29,"Serial*")+COUNTIF('＠MFP (LSI name)'!AD29,"Analog*")&gt;0,'＠MFP (LSI name)'!AD29,OFFSET('＠グループ、表示名'!$H$4,MATCH('＠MFP (LSI name)'!AD29,'＠グループ、表示名'!$D$4:$D$250,0)-1,0)))</f>
        <v/>
      </c>
      <c r="AE29" s="18" t="str">
        <f ca="1">IF('＠MFP (LSI name)'!AE29="","",IF(COUNTIF('＠MFP (LSI name)'!AE29,"Serial*")+COUNTIF('＠MFP (LSI name)'!AE29,"Analog*")&gt;0,'＠MFP (LSI name)'!AE29,OFFSET('＠グループ、表示名'!$H$4,MATCH('＠MFP (LSI name)'!AE29,'＠グループ、表示名'!$D$4:$D$250,0)-1,0)))</f>
        <v/>
      </c>
      <c r="AF29" s="69" t="str">
        <f ca="1">IF('＠MFP (LSI name)'!AF29="","",IF(COUNTIF('＠MFP (LSI name)'!AF29,"Serial*")+COUNTIF('＠MFP (LSI name)'!AF29,"Analog*")&gt;0,'＠MFP (LSI name)'!AF29,OFFSET('＠グループ、表示名'!$H$4,MATCH('＠MFP (LSI name)'!AF29,'＠グループ、表示名'!$D$4:$D$250,0)-1,0)))</f>
        <v/>
      </c>
      <c r="AG29" s="18" t="str">
        <f ca="1">IF('＠MFP (LSI name)'!AG29="","",IF(COUNTIF('＠MFP (LSI name)'!AG29,"Serial*")+COUNTIF('＠MFP (LSI name)'!AG29,"Analog*")&gt;0,'＠MFP (LSI name)'!AG29,OFFSET('＠グループ、表示名'!$H$4,MATCH('＠MFP (LSI name)'!AG29,'＠グループ、表示名'!$D$4:$D$250,0)-1,0)))</f>
        <v/>
      </c>
      <c r="AH29" s="18" t="str">
        <f ca="1">IF('＠MFP (LSI name)'!AH29="","",IF(COUNTIF('＠MFP (LSI name)'!AH29,"Serial*")+COUNTIF('＠MFP (LSI name)'!AH29,"Analog*")&gt;0,'＠MFP (LSI name)'!AH29,OFFSET('＠グループ、表示名'!$H$4,MATCH('＠MFP (LSI name)'!AH29,'＠グループ、表示名'!$D$4:$D$250,0)-1,0)))</f>
        <v/>
      </c>
      <c r="AI29" s="18" t="str">
        <f ca="1">IF('＠MFP (LSI name)'!AI29="","",IF(COUNTIF('＠MFP (LSI name)'!AI29,"Serial*")+COUNTIF('＠MFP (LSI name)'!AI29,"Analog*")&gt;0,'＠MFP (LSI name)'!AI29,OFFSET('＠グループ、表示名'!$H$4,MATCH('＠MFP (LSI name)'!AI29,'＠グループ、表示名'!$D$4:$D$250,0)-1,0)))</f>
        <v/>
      </c>
      <c r="AJ29" s="18" t="str">
        <f ca="1">IF('＠MFP (LSI name)'!AJ29="","",IF(COUNTIF('＠MFP (LSI name)'!AJ29,"Serial*")+COUNTIF('＠MFP (LSI name)'!AJ29,"Analog*")&gt;0,'＠MFP (LSI name)'!AJ29,OFFSET('＠グループ、表示名'!$H$4,MATCH('＠MFP (LSI name)'!AJ29,'＠グループ、表示名'!$D$4:$D$250,0)-1,0)))</f>
        <v/>
      </c>
      <c r="AK29" s="69" t="str">
        <f ca="1">IF('＠MFP (LSI name)'!AK29="","",IF(COUNTIF('＠MFP (LSI name)'!AK29,"Serial*")+COUNTIF('＠MFP (LSI name)'!AK29,"Analog*")&gt;0,'＠MFP (LSI name)'!AK29,OFFSET('＠グループ、表示名'!$H$4,MATCH('＠MFP (LSI name)'!AK29,'＠グループ、表示名'!$D$4:$D$250,0)-1,0)))</f>
        <v/>
      </c>
      <c r="AL29" s="9" t="str">
        <f t="shared" si="4"/>
        <v>IOPBMD[31]</v>
      </c>
      <c r="AM29" s="9" t="str">
        <f t="shared" si="5"/>
        <v>IOPBMD[30]</v>
      </c>
      <c r="AN29" s="9" t="str">
        <f t="shared" si="6"/>
        <v>IOPBMD[29]</v>
      </c>
      <c r="AO29" s="9" t="str">
        <f t="shared" si="7"/>
        <v>IOPBMD[28]</v>
      </c>
      <c r="AP29" s="86"/>
    </row>
    <row r="30" spans="1:42" ht="16.149999999999999">
      <c r="A30" s="61">
        <v>27</v>
      </c>
      <c r="B30" s="7">
        <v>27</v>
      </c>
      <c r="C30" s="7">
        <v>21</v>
      </c>
      <c r="D30" s="87">
        <v>17</v>
      </c>
      <c r="E30" s="87"/>
      <c r="F30" s="7"/>
      <c r="G30" s="7"/>
      <c r="H30" s="87"/>
      <c r="I30" s="45" t="s">
        <v>497</v>
      </c>
      <c r="J30" s="45" t="s">
        <v>498</v>
      </c>
      <c r="K30" s="69" t="str">
        <f ca="1">IF('＠MFP (LSI name)'!K30="","",IF(COUNTIF('＠MFP (LSI name)'!K30,"Serial*")+COUNTIF('＠MFP (LSI name)'!K30,"Analog*")&gt;0,'＠MFP (LSI name)'!K30,OFFSET('＠グループ、表示名'!$H$4,MATCH('＠MFP (LSI name)'!K30,'＠グループ、表示名'!$D$4:$D$250,0)-1,0)))</f>
        <v>GPWM7_GPWM71</v>
      </c>
      <c r="L30" s="69" t="str">
        <f ca="1">IF('＠MFP (LSI name)'!L30="","",IF(COUNTIF('＠MFP (LSI name)'!L30,"Serial*")+COUNTIF('＠MFP (LSI name)'!L30,"Analog*")&gt;0,'＠MFP (LSI name)'!L30,OFFSET('＠グループ、表示名'!$H$4,MATCH('＠MFP (LSI name)'!L30,'＠グループ、表示名'!$D$4:$D$250,0)-1,0)))</f>
        <v>IRQ05</v>
      </c>
      <c r="M30" s="18" t="str">
        <f ca="1">IF('＠MFP (LSI name)'!M30="","",IF(COUNTIF('＠MFP (LSI name)'!M30,"Serial*")+COUNTIF('＠MFP (LSI name)'!M30,"Analog*")&gt;0,'＠MFP (LSI name)'!M30,OFFSET('＠グループ、表示名'!$H$4,MATCH('＠MFP (LSI name)'!M30,'＠グループ、表示名'!$D$4:$D$250,0)-1,0)))</f>
        <v>SIF0_SBI0</v>
      </c>
      <c r="N30" s="18" t="str">
        <f ca="1">IF('＠MFP (LSI name)'!N30="","",IF(COUNTIF('＠MFP (LSI name)'!N30,"Serial*")+COUNTIF('＠MFP (LSI name)'!N30,"Analog*")&gt;0,'＠MFP (LSI name)'!N30,OFFSET('＠グループ、表示名'!$H$4,MATCH('＠MFP (LSI name)'!N30,'＠グループ、表示名'!$D$4:$D$250,0)-1,0)))</f>
        <v>SIF0_SBO0</v>
      </c>
      <c r="O30" s="18" t="str">
        <f ca="1">IF('＠MFP (LSI name)'!O30="","",IF(COUNTIF('＠MFP (LSI name)'!O30,"Serial*")+COUNTIF('＠MFP (LSI name)'!O30,"Analog*")&gt;0,'＠MFP (LSI name)'!O30,OFFSET('＠グループ、表示名'!$H$4,MATCH('＠MFP (LSI name)'!O30,'＠グループ、表示名'!$D$4:$D$250,0)-1,0)))</f>
        <v>SIF0_SBT0</v>
      </c>
      <c r="P30" s="69" t="str">
        <f ca="1">IF('＠MFP (LSI name)'!P30="","",IF(COUNTIF('＠MFP (LSI name)'!P30,"Serial*")+COUNTIF('＠MFP (LSI name)'!P30,"Analog*")&gt;0,'＠MFP (LSI name)'!P30,OFFSET('＠グループ、表示名'!$H$4,MATCH('＠MFP (LSI name)'!P30,'＠グループ、表示名'!$D$4:$D$250,0)-1,0)))</f>
        <v/>
      </c>
      <c r="Q30" s="69" t="str">
        <f ca="1">IF('＠MFP (LSI name)'!Q30="","",IF(COUNTIF('＠MFP (LSI name)'!Q30,"Serial*")+COUNTIF('＠MFP (LSI name)'!Q30,"Analog*")&gt;0,'＠MFP (LSI name)'!Q30,OFFSET('＠グループ、表示名'!$H$4,MATCH('＠MFP (LSI name)'!Q30,'＠グループ、表示名'!$D$4:$D$250,0)-1,0)))</f>
        <v/>
      </c>
      <c r="R30" s="69" t="str">
        <f ca="1">IF('＠MFP (LSI name)'!R30="","",IF(COUNTIF('＠MFP (LSI name)'!R30,"Serial*")+COUNTIF('＠MFP (LSI name)'!R30,"Analog*")&gt;0,'＠MFP (LSI name)'!R30,OFFSET('＠グループ、表示名'!$H$4,MATCH('＠MFP (LSI name)'!R30,'＠グループ、表示名'!$D$4:$D$250,0)-1,0)))</f>
        <v/>
      </c>
      <c r="S30" s="69" t="str">
        <f ca="1">IF('＠MFP (LSI name)'!S30="","",IF(COUNTIF('＠MFP (LSI name)'!S30,"Serial*")+COUNTIF('＠MFP (LSI name)'!S30,"Analog*")&gt;0,'＠MFP (LSI name)'!S30,OFFSET('＠グループ、表示名'!$H$4,MATCH('＠MFP (LSI name)'!S30,'＠グループ、表示名'!$D$4:$D$250,0)-1,0)))</f>
        <v/>
      </c>
      <c r="T30" s="69" t="str">
        <f ca="1">IF('＠MFP (LSI name)'!T30="","",IF(COUNTIF('＠MFP (LSI name)'!T30,"Serial*")+COUNTIF('＠MFP (LSI name)'!T30,"Analog*")&gt;0,'＠MFP (LSI name)'!T30,OFFSET('＠グループ、表示名'!$H$4,MATCH('＠MFP (LSI name)'!T30,'＠グループ、表示名'!$D$4:$D$250,0)-1,0)))</f>
        <v/>
      </c>
      <c r="U30" s="69" t="str">
        <f ca="1">IF('＠MFP (LSI name)'!U30="","",IF(COUNTIF('＠MFP (LSI name)'!U30,"Serial*")+COUNTIF('＠MFP (LSI name)'!U30,"Analog*")&gt;0,'＠MFP (LSI name)'!U30,OFFSET('＠グループ、表示名'!$H$4,MATCH('＠MFP (LSI name)'!U30,'＠グループ、表示名'!$D$4:$D$250,0)-1,0)))</f>
        <v/>
      </c>
      <c r="V30" s="69" t="str">
        <f ca="1">IF('＠MFP (LSI name)'!V30="","",IF(COUNTIF('＠MFP (LSI name)'!V30,"Serial*")+COUNTIF('＠MFP (LSI name)'!V30,"Analog*")&gt;0,'＠MFP (LSI name)'!V30,OFFSET('＠グループ、表示名'!$H$4,MATCH('＠MFP (LSI name)'!V30,'＠グループ、表示名'!$D$4:$D$250,0)-1,0)))</f>
        <v/>
      </c>
      <c r="W30" s="18" t="str">
        <f ca="1">IF('＠MFP (LSI name)'!W30="","",IF(COUNTIF('＠MFP (LSI name)'!W30,"Serial*")+COUNTIF('＠MFP (LSI name)'!W30,"Analog*")&gt;0,'＠MFP (LSI name)'!W30,OFFSET('＠グループ、表示名'!$H$4,MATCH('＠MFP (LSI name)'!W30,'＠グループ、表示名'!$D$4:$D$250,0)-1,0)))</f>
        <v/>
      </c>
      <c r="X30" s="18" t="str">
        <f ca="1">IF('＠MFP (LSI name)'!X30="","",IF(COUNTIF('＠MFP (LSI name)'!X30,"Serial*")+COUNTIF('＠MFP (LSI name)'!X30,"Analog*")&gt;0,'＠MFP (LSI name)'!X30,OFFSET('＠グループ、表示名'!$H$4,MATCH('＠MFP (LSI name)'!X30,'＠グループ、表示名'!$D$4:$D$250,0)-1,0)))</f>
        <v/>
      </c>
      <c r="Y30" s="18" t="str">
        <f ca="1">IF('＠MFP (LSI name)'!Y30="","",IF(COUNTIF('＠MFP (LSI name)'!Y30,"Serial*")+COUNTIF('＠MFP (LSI name)'!Y30,"Analog*")&gt;0,'＠MFP (LSI name)'!Y30,OFFSET('＠グループ、表示名'!$H$4,MATCH('＠MFP (LSI name)'!Y30,'＠グループ、表示名'!$D$4:$D$250,0)-1,0)))</f>
        <v/>
      </c>
      <c r="Z30" s="18" t="str">
        <f ca="1">IF('＠MFP (LSI name)'!Z30="","",IF(COUNTIF('＠MFP (LSI name)'!Z30,"Serial*")+COUNTIF('＠MFP (LSI name)'!Z30,"Analog*")&gt;0,'＠MFP (LSI name)'!Z30,OFFSET('＠グループ、表示名'!$H$4,MATCH('＠MFP (LSI name)'!Z30,'＠グループ、表示名'!$D$4:$D$250,0)-1,0)))</f>
        <v/>
      </c>
      <c r="AA30" s="69" t="str">
        <f ca="1">IF('＠MFP (LSI name)'!AA30="","",IF(COUNTIF('＠MFP (LSI name)'!AA30,"Serial*")+COUNTIF('＠MFP (LSI name)'!AA30,"Analog*")&gt;0,'＠MFP (LSI name)'!AA30,OFFSET('＠グループ、表示名'!$H$4,MATCH('＠MFP (LSI name)'!AA30,'＠グループ、表示名'!$D$4:$D$250,0)-1,0)))</f>
        <v/>
      </c>
      <c r="AB30" s="69" t="str">
        <f ca="1">IF('＠MFP (LSI name)'!AB30="","",IF(COUNTIF('＠MFP (LSI name)'!AB30,"Serial*")+COUNTIF('＠MFP (LSI name)'!AB30,"Analog*")&gt;0,'＠MFP (LSI name)'!AB30,OFFSET('＠グループ、表示名'!$H$4,MATCH('＠MFP (LSI name)'!AB30,'＠グループ、表示名'!$D$4:$D$250,0)-1,0)))</f>
        <v/>
      </c>
      <c r="AC30" s="18" t="str">
        <f ca="1">IF('＠MFP (LSI name)'!AC30="","",IF(COUNTIF('＠MFP (LSI name)'!AC30,"Serial*")+COUNTIF('＠MFP (LSI name)'!AC30,"Analog*")&gt;0,'＠MFP (LSI name)'!AC30,OFFSET('＠グループ、表示名'!$H$4,MATCH('＠MFP (LSI name)'!AC30,'＠グループ、表示名'!$D$4:$D$250,0)-1,0)))</f>
        <v/>
      </c>
      <c r="AD30" s="18" t="str">
        <f ca="1">IF('＠MFP (LSI name)'!AD30="","",IF(COUNTIF('＠MFP (LSI name)'!AD30,"Serial*")+COUNTIF('＠MFP (LSI name)'!AD30,"Analog*")&gt;0,'＠MFP (LSI name)'!AD30,OFFSET('＠グループ、表示名'!$H$4,MATCH('＠MFP (LSI name)'!AD30,'＠グループ、表示名'!$D$4:$D$250,0)-1,0)))</f>
        <v/>
      </c>
      <c r="AE30" s="18" t="str">
        <f ca="1">IF('＠MFP (LSI name)'!AE30="","",IF(COUNTIF('＠MFP (LSI name)'!AE30,"Serial*")+COUNTIF('＠MFP (LSI name)'!AE30,"Analog*")&gt;0,'＠MFP (LSI name)'!AE30,OFFSET('＠グループ、表示名'!$H$4,MATCH('＠MFP (LSI name)'!AE30,'＠グループ、表示名'!$D$4:$D$250,0)-1,0)))</f>
        <v/>
      </c>
      <c r="AF30" s="69" t="str">
        <f ca="1">IF('＠MFP (LSI name)'!AF30="","",IF(COUNTIF('＠MFP (LSI name)'!AF30,"Serial*")+COUNTIF('＠MFP (LSI name)'!AF30,"Analog*")&gt;0,'＠MFP (LSI name)'!AF30,OFFSET('＠グループ、表示名'!$H$4,MATCH('＠MFP (LSI name)'!AF30,'＠グループ、表示名'!$D$4:$D$250,0)-1,0)))</f>
        <v/>
      </c>
      <c r="AG30" s="69" t="str">
        <f ca="1">IF('＠MFP (LSI name)'!AG30="","",IF(COUNTIF('＠MFP (LSI name)'!AG30,"Serial*")+COUNTIF('＠MFP (LSI name)'!AG30,"Analog*")&gt;0,'＠MFP (LSI name)'!AG30,OFFSET('＠グループ、表示名'!$H$4,MATCH('＠MFP (LSI name)'!AG30,'＠グループ、表示名'!$D$4:$D$250,0)-1,0)))</f>
        <v/>
      </c>
      <c r="AH30" s="18" t="str">
        <f ca="1">IF('＠MFP (LSI name)'!AH30="","",IF(COUNTIF('＠MFP (LSI name)'!AH30,"Serial*")+COUNTIF('＠MFP (LSI name)'!AH30,"Analog*")&gt;0,'＠MFP (LSI name)'!AH30,OFFSET('＠グループ、表示名'!$H$4,MATCH('＠MFP (LSI name)'!AH30,'＠グループ、表示名'!$D$4:$D$250,0)-1,0)))</f>
        <v/>
      </c>
      <c r="AI30" s="18" t="str">
        <f ca="1">IF('＠MFP (LSI name)'!AI30="","",IF(COUNTIF('＠MFP (LSI name)'!AI30,"Serial*")+COUNTIF('＠MFP (LSI name)'!AI30,"Analog*")&gt;0,'＠MFP (LSI name)'!AI30,OFFSET('＠グループ、表示名'!$H$4,MATCH('＠MFP (LSI name)'!AI30,'＠グループ、表示名'!$D$4:$D$250,0)-1,0)))</f>
        <v/>
      </c>
      <c r="AJ30" s="18" t="str">
        <f ca="1">IF('＠MFP (LSI name)'!AJ30="","",IF(COUNTIF('＠MFP (LSI name)'!AJ30,"Serial*")+COUNTIF('＠MFP (LSI name)'!AJ30,"Analog*")&gt;0,'＠MFP (LSI name)'!AJ30,OFFSET('＠グループ、表示名'!$H$4,MATCH('＠MFP (LSI name)'!AJ30,'＠グループ、表示名'!$D$4:$D$250,0)-1,0)))</f>
        <v/>
      </c>
      <c r="AK30" s="69" t="str">
        <f ca="1">IF('＠MFP (LSI name)'!AK30="","",IF(COUNTIF('＠MFP (LSI name)'!AK30,"Serial*")+COUNTIF('＠MFP (LSI name)'!AK30,"Analog*")&gt;0,'＠MFP (LSI name)'!AK30,OFFSET('＠グループ、表示名'!$H$4,MATCH('＠MFP (LSI name)'!AK30,'＠グループ、表示名'!$D$4:$D$250,0)-1,0)))</f>
        <v/>
      </c>
      <c r="AL30" s="9" t="str">
        <f t="shared" si="4"/>
        <v>IOPBMD[27]</v>
      </c>
      <c r="AM30" s="9" t="str">
        <f t="shared" si="5"/>
        <v>IOPBMD[26]</v>
      </c>
      <c r="AN30" s="9" t="str">
        <f t="shared" si="6"/>
        <v>IOPBMD[25]</v>
      </c>
      <c r="AO30" s="9" t="str">
        <f t="shared" si="7"/>
        <v>IOPBMD[24]</v>
      </c>
      <c r="AP30" s="86"/>
    </row>
    <row r="31" spans="1:42" ht="16.149999999999999">
      <c r="A31" s="61" t="s">
        <v>499</v>
      </c>
      <c r="B31" s="7"/>
      <c r="C31" s="7"/>
      <c r="D31" s="87"/>
      <c r="E31" s="87"/>
      <c r="F31" s="7">
        <v>27</v>
      </c>
      <c r="G31" s="7">
        <v>21</v>
      </c>
      <c r="H31" s="87">
        <v>17</v>
      </c>
      <c r="I31" s="45" t="s">
        <v>497</v>
      </c>
      <c r="J31" s="45" t="s">
        <v>500</v>
      </c>
      <c r="K31" s="69" t="str">
        <f ca="1">IF('＠MFP (LSI name)'!K31="","",IF(COUNTIF('＠MFP (LSI name)'!K31,"Serial*")+COUNTIF('＠MFP (LSI name)'!K31,"Analog*")&gt;0,'＠MFP (LSI name)'!K31,OFFSET('＠グループ、表示名'!$H$4,MATCH('＠MFP (LSI name)'!K31,'＠グループ、表示名'!$D$4:$D$250,0)-1,0)))</f>
        <v>GPWM7_GPWM71</v>
      </c>
      <c r="L31" s="69" t="str">
        <f ca="1">IF('＠MFP (LSI name)'!L31="","",IF(COUNTIF('＠MFP (LSI name)'!L31,"Serial*")+COUNTIF('＠MFP (LSI name)'!L31,"Analog*")&gt;0,'＠MFP (LSI name)'!L31,OFFSET('＠グループ、表示名'!$H$4,MATCH('＠MFP (LSI name)'!L31,'＠グループ、表示名'!$D$4:$D$250,0)-1,0)))</f>
        <v>IRQ05</v>
      </c>
      <c r="M31" s="18" t="str">
        <f ca="1">IF('＠MFP (LSI name)'!M31="","",IF(COUNTIF('＠MFP (LSI name)'!M31,"Serial*")+COUNTIF('＠MFP (LSI name)'!M31,"Analog*")&gt;0,'＠MFP (LSI name)'!M31,OFFSET('＠グループ、表示名'!$H$4,MATCH('＠MFP (LSI name)'!M31,'＠グループ、表示名'!$D$4:$D$250,0)-1,0)))</f>
        <v>SIF0_SBI0</v>
      </c>
      <c r="N31" s="18" t="str">
        <f ca="1">IF('＠MFP (LSI name)'!N31="","",IF(COUNTIF('＠MFP (LSI name)'!N31,"Serial*")+COUNTIF('＠MFP (LSI name)'!N31,"Analog*")&gt;0,'＠MFP (LSI name)'!N31,OFFSET('＠グループ、表示名'!$H$4,MATCH('＠MFP (LSI name)'!N31,'＠グループ、表示名'!$D$4:$D$250,0)-1,0)))</f>
        <v>SIF0_SBO0</v>
      </c>
      <c r="O31" s="18" t="str">
        <f ca="1">IF('＠MFP (LSI name)'!O31="","",IF(COUNTIF('＠MFP (LSI name)'!O31,"Serial*")+COUNTIF('＠MFP (LSI name)'!O31,"Analog*")&gt;0,'＠MFP (LSI name)'!O31,OFFSET('＠グループ、表示名'!$H$4,MATCH('＠MFP (LSI name)'!O31,'＠グループ、表示名'!$D$4:$D$250,0)-1,0)))</f>
        <v>SIF0_SBT0</v>
      </c>
      <c r="P31" s="69" t="str">
        <f ca="1">IF('＠MFP (LSI name)'!P31="","",IF(COUNTIF('＠MFP (LSI name)'!P31,"Serial*")+COUNTIF('＠MFP (LSI name)'!P31,"Analog*")&gt;0,'＠MFP (LSI name)'!P31,OFFSET('＠グループ、表示名'!$H$4,MATCH('＠MFP (LSI name)'!P31,'＠グループ、表示名'!$D$4:$D$250,0)-1,0)))</f>
        <v/>
      </c>
      <c r="Q31" s="69" t="str">
        <f ca="1">IF('＠MFP (LSI name)'!Q31="","",IF(COUNTIF('＠MFP (LSI name)'!Q31,"Serial*")+COUNTIF('＠MFP (LSI name)'!Q31,"Analog*")&gt;0,'＠MFP (LSI name)'!Q31,OFFSET('＠グループ、表示名'!$H$4,MATCH('＠MFP (LSI name)'!Q31,'＠グループ、表示名'!$D$4:$D$250,0)-1,0)))</f>
        <v/>
      </c>
      <c r="R31" s="69" t="str">
        <f ca="1">IF('＠MFP (LSI name)'!R31="","",IF(COUNTIF('＠MFP (LSI name)'!R31,"Serial*")+COUNTIF('＠MFP (LSI name)'!R31,"Analog*")&gt;0,'＠MFP (LSI name)'!R31,OFFSET('＠グループ、表示名'!$H$4,MATCH('＠MFP (LSI name)'!R31,'＠グループ、表示名'!$D$4:$D$250,0)-1,0)))</f>
        <v/>
      </c>
      <c r="S31" s="69" t="str">
        <f ca="1">IF('＠MFP (LSI name)'!S31="","",IF(COUNTIF('＠MFP (LSI name)'!S31,"Serial*")+COUNTIF('＠MFP (LSI name)'!S31,"Analog*")&gt;0,'＠MFP (LSI name)'!S31,OFFSET('＠グループ、表示名'!$H$4,MATCH('＠MFP (LSI name)'!S31,'＠グループ、表示名'!$D$4:$D$250,0)-1,0)))</f>
        <v/>
      </c>
      <c r="T31" s="69" t="str">
        <f ca="1">IF('＠MFP (LSI name)'!T31="","",IF(COUNTIF('＠MFP (LSI name)'!T31,"Serial*")+COUNTIF('＠MFP (LSI name)'!T31,"Analog*")&gt;0,'＠MFP (LSI name)'!T31,OFFSET('＠グループ、表示名'!$H$4,MATCH('＠MFP (LSI name)'!T31,'＠グループ、表示名'!$D$4:$D$250,0)-1,0)))</f>
        <v/>
      </c>
      <c r="U31" s="69" t="str">
        <f ca="1">IF('＠MFP (LSI name)'!U31="","",IF(COUNTIF('＠MFP (LSI name)'!U31,"Serial*")+COUNTIF('＠MFP (LSI name)'!U31,"Analog*")&gt;0,'＠MFP (LSI name)'!U31,OFFSET('＠グループ、表示名'!$H$4,MATCH('＠MFP (LSI name)'!U31,'＠グループ、表示名'!$D$4:$D$250,0)-1,0)))</f>
        <v/>
      </c>
      <c r="V31" s="69" t="str">
        <f ca="1">IF('＠MFP (LSI name)'!V31="","",IF(COUNTIF('＠MFP (LSI name)'!V31,"Serial*")+COUNTIF('＠MFP (LSI name)'!V31,"Analog*")&gt;0,'＠MFP (LSI name)'!V31,OFFSET('＠グループ、表示名'!$H$4,MATCH('＠MFP (LSI name)'!V31,'＠グループ、表示名'!$D$4:$D$250,0)-1,0)))</f>
        <v/>
      </c>
      <c r="W31" s="18" t="str">
        <f ca="1">IF('＠MFP (LSI name)'!W31="","",IF(COUNTIF('＠MFP (LSI name)'!W31,"Serial*")+COUNTIF('＠MFP (LSI name)'!W31,"Analog*")&gt;0,'＠MFP (LSI name)'!W31,OFFSET('＠グループ、表示名'!$H$4,MATCH('＠MFP (LSI name)'!W31,'＠グループ、表示名'!$D$4:$D$250,0)-1,0)))</f>
        <v/>
      </c>
      <c r="X31" s="18" t="str">
        <f ca="1">IF('＠MFP (LSI name)'!X31="","",IF(COUNTIF('＠MFP (LSI name)'!X31,"Serial*")+COUNTIF('＠MFP (LSI name)'!X31,"Analog*")&gt;0,'＠MFP (LSI name)'!X31,OFFSET('＠グループ、表示名'!$H$4,MATCH('＠MFP (LSI name)'!X31,'＠グループ、表示名'!$D$4:$D$250,0)-1,0)))</f>
        <v/>
      </c>
      <c r="Y31" s="18" t="str">
        <f ca="1">IF('＠MFP (LSI name)'!Y31="","",IF(COUNTIF('＠MFP (LSI name)'!Y31,"Serial*")+COUNTIF('＠MFP (LSI name)'!Y31,"Analog*")&gt;0,'＠MFP (LSI name)'!Y31,OFFSET('＠グループ、表示名'!$H$4,MATCH('＠MFP (LSI name)'!Y31,'＠グループ、表示名'!$D$4:$D$250,0)-1,0)))</f>
        <v/>
      </c>
      <c r="Z31" s="18" t="str">
        <f ca="1">IF('＠MFP (LSI name)'!Z31="","",IF(COUNTIF('＠MFP (LSI name)'!Z31,"Serial*")+COUNTIF('＠MFP (LSI name)'!Z31,"Analog*")&gt;0,'＠MFP (LSI name)'!Z31,OFFSET('＠グループ、表示名'!$H$4,MATCH('＠MFP (LSI name)'!Z31,'＠グループ、表示名'!$D$4:$D$250,0)-1,0)))</f>
        <v/>
      </c>
      <c r="AA31" s="69" t="str">
        <f ca="1">IF('＠MFP (LSI name)'!AA31="","",IF(COUNTIF('＠MFP (LSI name)'!AA31,"Serial*")+COUNTIF('＠MFP (LSI name)'!AA31,"Analog*")&gt;0,'＠MFP (LSI name)'!AA31,OFFSET('＠グループ、表示名'!$H$4,MATCH('＠MFP (LSI name)'!AA31,'＠グループ、表示名'!$D$4:$D$250,0)-1,0)))</f>
        <v/>
      </c>
      <c r="AB31" s="69" t="str">
        <f ca="1">IF('＠MFP (LSI name)'!AB31="","",IF(COUNTIF('＠MFP (LSI name)'!AB31,"Serial*")+COUNTIF('＠MFP (LSI name)'!AB31,"Analog*")&gt;0,'＠MFP (LSI name)'!AB31,OFFSET('＠グループ、表示名'!$H$4,MATCH('＠MFP (LSI name)'!AB31,'＠グループ、表示名'!$D$4:$D$250,0)-1,0)))</f>
        <v/>
      </c>
      <c r="AC31" s="18" t="str">
        <f ca="1">IF('＠MFP (LSI name)'!AC31="","",IF(COUNTIF('＠MFP (LSI name)'!AC31,"Serial*")+COUNTIF('＠MFP (LSI name)'!AC31,"Analog*")&gt;0,'＠MFP (LSI name)'!AC31,OFFSET('＠グループ、表示名'!$H$4,MATCH('＠MFP (LSI name)'!AC31,'＠グループ、表示名'!$D$4:$D$250,0)-1,0)))</f>
        <v/>
      </c>
      <c r="AD31" s="18" t="str">
        <f ca="1">IF('＠MFP (LSI name)'!AD31="","",IF(COUNTIF('＠MFP (LSI name)'!AD31,"Serial*")+COUNTIF('＠MFP (LSI name)'!AD31,"Analog*")&gt;0,'＠MFP (LSI name)'!AD31,OFFSET('＠グループ、表示名'!$H$4,MATCH('＠MFP (LSI name)'!AD31,'＠グループ、表示名'!$D$4:$D$250,0)-1,0)))</f>
        <v/>
      </c>
      <c r="AE31" s="18" t="str">
        <f ca="1">IF('＠MFP (LSI name)'!AE31="","",IF(COUNTIF('＠MFP (LSI name)'!AE31,"Serial*")+COUNTIF('＠MFP (LSI name)'!AE31,"Analog*")&gt;0,'＠MFP (LSI name)'!AE31,OFFSET('＠グループ、表示名'!$H$4,MATCH('＠MFP (LSI name)'!AE31,'＠グループ、表示名'!$D$4:$D$250,0)-1,0)))</f>
        <v/>
      </c>
      <c r="AF31" s="69" t="str">
        <f ca="1">IF('＠MFP (LSI name)'!AF31="","",IF(COUNTIF('＠MFP (LSI name)'!AF31,"Serial*")+COUNTIF('＠MFP (LSI name)'!AF31,"Analog*")&gt;0,'＠MFP (LSI name)'!AF31,OFFSET('＠グループ、表示名'!$H$4,MATCH('＠MFP (LSI name)'!AF31,'＠グループ、表示名'!$D$4:$D$250,0)-1,0)))</f>
        <v/>
      </c>
      <c r="AG31" s="69" t="str">
        <f ca="1">IF('＠MFP (LSI name)'!AG31="","",IF(COUNTIF('＠MFP (LSI name)'!AG31,"Serial*")+COUNTIF('＠MFP (LSI name)'!AG31,"Analog*")&gt;0,'＠MFP (LSI name)'!AG31,OFFSET('＠グループ、表示名'!$H$4,MATCH('＠MFP (LSI name)'!AG31,'＠グループ、表示名'!$D$4:$D$250,0)-1,0)))</f>
        <v/>
      </c>
      <c r="AH31" s="18" t="str">
        <f ca="1">IF('＠MFP (LSI name)'!AH31="","",IF(COUNTIF('＠MFP (LSI name)'!AH31,"Serial*")+COUNTIF('＠MFP (LSI name)'!AH31,"Analog*")&gt;0,'＠MFP (LSI name)'!AH31,OFFSET('＠グループ、表示名'!$H$4,MATCH('＠MFP (LSI name)'!AH31,'＠グループ、表示名'!$D$4:$D$250,0)-1,0)))</f>
        <v/>
      </c>
      <c r="AI31" s="18" t="str">
        <f ca="1">IF('＠MFP (LSI name)'!AI31="","",IF(COUNTIF('＠MFP (LSI name)'!AI31,"Serial*")+COUNTIF('＠MFP (LSI name)'!AI31,"Analog*")&gt;0,'＠MFP (LSI name)'!AI31,OFFSET('＠グループ、表示名'!$H$4,MATCH('＠MFP (LSI name)'!AI31,'＠グループ、表示名'!$D$4:$D$250,0)-1,0)))</f>
        <v/>
      </c>
      <c r="AJ31" s="18" t="str">
        <f ca="1">IF('＠MFP (LSI name)'!AJ31="","",IF(COUNTIF('＠MFP (LSI name)'!AJ31,"Serial*")+COUNTIF('＠MFP (LSI name)'!AJ31,"Analog*")&gt;0,'＠MFP (LSI name)'!AJ31,OFFSET('＠グループ、表示名'!$H$4,MATCH('＠MFP (LSI name)'!AJ31,'＠グループ、表示名'!$D$4:$D$250,0)-1,0)))</f>
        <v/>
      </c>
      <c r="AK31" s="69" t="str">
        <f ca="1">IF('＠MFP (LSI name)'!AK31="","",IF(COUNTIF('＠MFP (LSI name)'!AK31,"Serial*")+COUNTIF('＠MFP (LSI name)'!AK31,"Analog*")&gt;0,'＠MFP (LSI name)'!AK31,OFFSET('＠グループ、表示名'!$H$4,MATCH('＠MFP (LSI name)'!AK31,'＠グループ、表示名'!$D$4:$D$250,0)-1,0)))</f>
        <v/>
      </c>
      <c r="AL31" s="9" t="str">
        <f t="shared" si="4"/>
        <v>IOPBMD[27]</v>
      </c>
      <c r="AM31" s="9" t="str">
        <f t="shared" si="5"/>
        <v>IOPBMD[26]</v>
      </c>
      <c r="AN31" s="9" t="str">
        <f t="shared" si="6"/>
        <v>IOPBMD[25]</v>
      </c>
      <c r="AO31" s="9" t="str">
        <f t="shared" si="7"/>
        <v>IOPBMD[24]</v>
      </c>
      <c r="AP31" s="86"/>
    </row>
    <row r="32" spans="1:42" ht="16.149999999999999">
      <c r="A32" s="61">
        <v>28</v>
      </c>
      <c r="B32" s="7">
        <v>28</v>
      </c>
      <c r="C32" s="7">
        <v>22</v>
      </c>
      <c r="D32" s="87">
        <v>18</v>
      </c>
      <c r="E32" s="87"/>
      <c r="F32" s="7"/>
      <c r="G32" s="7"/>
      <c r="H32" s="87"/>
      <c r="I32" s="45" t="s">
        <v>25</v>
      </c>
      <c r="J32" s="45" t="s">
        <v>26</v>
      </c>
      <c r="K32" s="69" t="str">
        <f ca="1">IF('＠MFP (LSI name)'!K32="","",IF(COUNTIF('＠MFP (LSI name)'!K32,"Serial*")+COUNTIF('＠MFP (LSI name)'!K32,"Analog*")&gt;0,'＠MFP (LSI name)'!K32,OFFSET('＠グループ、表示名'!$H$4,MATCH('＠MFP (LSI name)'!K32,'＠グループ、表示名'!$D$4:$D$250,0)-1,0)))</f>
        <v>GPWM6_GPWM61</v>
      </c>
      <c r="L32" s="18" t="str">
        <f ca="1">IF('＠MFP (LSI name)'!L32="","",IF(COUNTIF('＠MFP (LSI name)'!L32,"Serial*")+COUNTIF('＠MFP (LSI name)'!L32,"Analog*")&gt;0,'＠MFP (LSI name)'!L32,OFFSET('＠グループ、表示名'!$H$4,MATCH('＠MFP (LSI name)'!L32,'＠グループ、表示名'!$D$4:$D$250,0)-1,0)))</f>
        <v>SIF0_SBI0</v>
      </c>
      <c r="M32" s="18" t="str">
        <f ca="1">IF('＠MFP (LSI name)'!M32="","",IF(COUNTIF('＠MFP (LSI name)'!M32,"Serial*")+COUNTIF('＠MFP (LSI name)'!M32,"Analog*")&gt;0,'＠MFP (LSI name)'!M32,OFFSET('＠グループ、表示名'!$H$4,MATCH('＠MFP (LSI name)'!M32,'＠グループ、表示名'!$D$4:$D$250,0)-1,0)))</f>
        <v>SIF0_SBO0</v>
      </c>
      <c r="N32" s="69" t="str">
        <f ca="1">IF('＠MFP (LSI name)'!N32="","",IF(COUNTIF('＠MFP (LSI name)'!N32,"Serial*")+COUNTIF('＠MFP (LSI name)'!N32,"Analog*")&gt;0,'＠MFP (LSI name)'!N32,OFFSET('＠グループ、表示名'!$H$4,MATCH('＠MFP (LSI name)'!N32,'＠グループ、表示名'!$D$4:$D$250,0)-1,0)))</f>
        <v/>
      </c>
      <c r="O32" s="69" t="str">
        <f ca="1">IF('＠MFP (LSI name)'!O32="","",IF(COUNTIF('＠MFP (LSI name)'!O32,"Serial*")+COUNTIF('＠MFP (LSI name)'!O32,"Analog*")&gt;0,'＠MFP (LSI name)'!O32,OFFSET('＠グループ、表示名'!$H$4,MATCH('＠MFP (LSI name)'!O32,'＠グループ、表示名'!$D$4:$D$250,0)-1,0)))</f>
        <v/>
      </c>
      <c r="P32" s="69" t="str">
        <f ca="1">IF('＠MFP (LSI name)'!P32="","",IF(COUNTIF('＠MFP (LSI name)'!P32,"Serial*")+COUNTIF('＠MFP (LSI name)'!P32,"Analog*")&gt;0,'＠MFP (LSI name)'!P32,OFFSET('＠グループ、表示名'!$H$4,MATCH('＠MFP (LSI name)'!P32,'＠グループ、表示名'!$D$4:$D$250,0)-1,0)))</f>
        <v/>
      </c>
      <c r="Q32" s="69" t="str">
        <f ca="1">IF('＠MFP (LSI name)'!Q32="","",IF(COUNTIF('＠MFP (LSI name)'!Q32,"Serial*")+COUNTIF('＠MFP (LSI name)'!Q32,"Analog*")&gt;0,'＠MFP (LSI name)'!Q32,OFFSET('＠グループ、表示名'!$H$4,MATCH('＠MFP (LSI name)'!Q32,'＠グループ、表示名'!$D$4:$D$250,0)-1,0)))</f>
        <v/>
      </c>
      <c r="R32" s="69" t="str">
        <f ca="1">IF('＠MFP (LSI name)'!R32="","",IF(COUNTIF('＠MFP (LSI name)'!R32,"Serial*")+COUNTIF('＠MFP (LSI name)'!R32,"Analog*")&gt;0,'＠MFP (LSI name)'!R32,OFFSET('＠グループ、表示名'!$H$4,MATCH('＠MFP (LSI name)'!R32,'＠グループ、表示名'!$D$4:$D$250,0)-1,0)))</f>
        <v/>
      </c>
      <c r="S32" s="69" t="str">
        <f ca="1">IF('＠MFP (LSI name)'!S32="","",IF(COUNTIF('＠MFP (LSI name)'!S32,"Serial*")+COUNTIF('＠MFP (LSI name)'!S32,"Analog*")&gt;0,'＠MFP (LSI name)'!S32,OFFSET('＠グループ、表示名'!$H$4,MATCH('＠MFP (LSI name)'!S32,'＠グループ、表示名'!$D$4:$D$250,0)-1,0)))</f>
        <v/>
      </c>
      <c r="T32" s="69" t="str">
        <f ca="1">IF('＠MFP (LSI name)'!T32="","",IF(COUNTIF('＠MFP (LSI name)'!T32,"Serial*")+COUNTIF('＠MFP (LSI name)'!T32,"Analog*")&gt;0,'＠MFP (LSI name)'!T32,OFFSET('＠グループ、表示名'!$H$4,MATCH('＠MFP (LSI name)'!T32,'＠グループ、表示名'!$D$4:$D$250,0)-1,0)))</f>
        <v/>
      </c>
      <c r="U32" s="69" t="str">
        <f ca="1">IF('＠MFP (LSI name)'!U32="","",IF(COUNTIF('＠MFP (LSI name)'!U32,"Serial*")+COUNTIF('＠MFP (LSI name)'!U32,"Analog*")&gt;0,'＠MFP (LSI name)'!U32,OFFSET('＠グループ、表示名'!$H$4,MATCH('＠MFP (LSI name)'!U32,'＠グループ、表示名'!$D$4:$D$250,0)-1,0)))</f>
        <v/>
      </c>
      <c r="V32" s="69" t="str">
        <f ca="1">IF('＠MFP (LSI name)'!V32="","",IF(COUNTIF('＠MFP (LSI name)'!V32,"Serial*")+COUNTIF('＠MFP (LSI name)'!V32,"Analog*")&gt;0,'＠MFP (LSI name)'!V32,OFFSET('＠グループ、表示名'!$H$4,MATCH('＠MFP (LSI name)'!V32,'＠グループ、表示名'!$D$4:$D$250,0)-1,0)))</f>
        <v/>
      </c>
      <c r="W32" s="18" t="str">
        <f ca="1">IF('＠MFP (LSI name)'!W32="","",IF(COUNTIF('＠MFP (LSI name)'!W32,"Serial*")+COUNTIF('＠MFP (LSI name)'!W32,"Analog*")&gt;0,'＠MFP (LSI name)'!W32,OFFSET('＠グループ、表示名'!$H$4,MATCH('＠MFP (LSI name)'!W32,'＠グループ、表示名'!$D$4:$D$250,0)-1,0)))</f>
        <v/>
      </c>
      <c r="X32" s="18" t="str">
        <f ca="1">IF('＠MFP (LSI name)'!X32="","",IF(COUNTIF('＠MFP (LSI name)'!X32,"Serial*")+COUNTIF('＠MFP (LSI name)'!X32,"Analog*")&gt;0,'＠MFP (LSI name)'!X32,OFFSET('＠グループ、表示名'!$H$4,MATCH('＠MFP (LSI name)'!X32,'＠グループ、表示名'!$D$4:$D$250,0)-1,0)))</f>
        <v/>
      </c>
      <c r="Y32" s="18" t="str">
        <f ca="1">IF('＠MFP (LSI name)'!Y32="","",IF(COUNTIF('＠MFP (LSI name)'!Y32,"Serial*")+COUNTIF('＠MFP (LSI name)'!Y32,"Analog*")&gt;0,'＠MFP (LSI name)'!Y32,OFFSET('＠グループ、表示名'!$H$4,MATCH('＠MFP (LSI name)'!Y32,'＠グループ、表示名'!$D$4:$D$250,0)-1,0)))</f>
        <v/>
      </c>
      <c r="Z32" s="18" t="str">
        <f ca="1">IF('＠MFP (LSI name)'!Z32="","",IF(COUNTIF('＠MFP (LSI name)'!Z32,"Serial*")+COUNTIF('＠MFP (LSI name)'!Z32,"Analog*")&gt;0,'＠MFP (LSI name)'!Z32,OFFSET('＠グループ、表示名'!$H$4,MATCH('＠MFP (LSI name)'!Z32,'＠グループ、表示名'!$D$4:$D$250,0)-1,0)))</f>
        <v/>
      </c>
      <c r="AA32" s="69" t="str">
        <f ca="1">IF('＠MFP (LSI name)'!AA32="","",IF(COUNTIF('＠MFP (LSI name)'!AA32,"Serial*")+COUNTIF('＠MFP (LSI name)'!AA32,"Analog*")&gt;0,'＠MFP (LSI name)'!AA32,OFFSET('＠グループ、表示名'!$H$4,MATCH('＠MFP (LSI name)'!AA32,'＠グループ、表示名'!$D$4:$D$250,0)-1,0)))</f>
        <v/>
      </c>
      <c r="AB32" s="69" t="str">
        <f ca="1">IF('＠MFP (LSI name)'!AB32="","",IF(COUNTIF('＠MFP (LSI name)'!AB32,"Serial*")+COUNTIF('＠MFP (LSI name)'!AB32,"Analog*")&gt;0,'＠MFP (LSI name)'!AB32,OFFSET('＠グループ、表示名'!$H$4,MATCH('＠MFP (LSI name)'!AB32,'＠グループ、表示名'!$D$4:$D$250,0)-1,0)))</f>
        <v/>
      </c>
      <c r="AC32" s="18" t="str">
        <f ca="1">IF('＠MFP (LSI name)'!AC32="","",IF(COUNTIF('＠MFP (LSI name)'!AC32,"Serial*")+COUNTIF('＠MFP (LSI name)'!AC32,"Analog*")&gt;0,'＠MFP (LSI name)'!AC32,OFFSET('＠グループ、表示名'!$H$4,MATCH('＠MFP (LSI name)'!AC32,'＠グループ、表示名'!$D$4:$D$250,0)-1,0)))</f>
        <v/>
      </c>
      <c r="AD32" s="18" t="str">
        <f ca="1">IF('＠MFP (LSI name)'!AD32="","",IF(COUNTIF('＠MFP (LSI name)'!AD32,"Serial*")+COUNTIF('＠MFP (LSI name)'!AD32,"Analog*")&gt;0,'＠MFP (LSI name)'!AD32,OFFSET('＠グループ、表示名'!$H$4,MATCH('＠MFP (LSI name)'!AD32,'＠グループ、表示名'!$D$4:$D$250,0)-1,0)))</f>
        <v/>
      </c>
      <c r="AE32" s="18" t="str">
        <f ca="1">IF('＠MFP (LSI name)'!AE32="","",IF(COUNTIF('＠MFP (LSI name)'!AE32,"Serial*")+COUNTIF('＠MFP (LSI name)'!AE32,"Analog*")&gt;0,'＠MFP (LSI name)'!AE32,OFFSET('＠グループ、表示名'!$H$4,MATCH('＠MFP (LSI name)'!AE32,'＠グループ、表示名'!$D$4:$D$250,0)-1,0)))</f>
        <v/>
      </c>
      <c r="AF32" s="69" t="str">
        <f ca="1">IF('＠MFP (LSI name)'!AF32="","",IF(COUNTIF('＠MFP (LSI name)'!AF32,"Serial*")+COUNTIF('＠MFP (LSI name)'!AF32,"Analog*")&gt;0,'＠MFP (LSI name)'!AF32,OFFSET('＠グループ、表示名'!$H$4,MATCH('＠MFP (LSI name)'!AF32,'＠グループ、表示名'!$D$4:$D$250,0)-1,0)))</f>
        <v/>
      </c>
      <c r="AG32" s="69" t="str">
        <f ca="1">IF('＠MFP (LSI name)'!AG32="","",IF(COUNTIF('＠MFP (LSI name)'!AG32,"Serial*")+COUNTIF('＠MFP (LSI name)'!AG32,"Analog*")&gt;0,'＠MFP (LSI name)'!AG32,OFFSET('＠グループ、表示名'!$H$4,MATCH('＠MFP (LSI name)'!AG32,'＠グループ、表示名'!$D$4:$D$250,0)-1,0)))</f>
        <v/>
      </c>
      <c r="AH32" s="18" t="str">
        <f ca="1">IF('＠MFP (LSI name)'!AH32="","",IF(COUNTIF('＠MFP (LSI name)'!AH32,"Serial*")+COUNTIF('＠MFP (LSI name)'!AH32,"Analog*")&gt;0,'＠MFP (LSI name)'!AH32,OFFSET('＠グループ、表示名'!$H$4,MATCH('＠MFP (LSI name)'!AH32,'＠グループ、表示名'!$D$4:$D$250,0)-1,0)))</f>
        <v/>
      </c>
      <c r="AI32" s="18" t="str">
        <f ca="1">IF('＠MFP (LSI name)'!AI32="","",IF(COUNTIF('＠MFP (LSI name)'!AI32,"Serial*")+COUNTIF('＠MFP (LSI name)'!AI32,"Analog*")&gt;0,'＠MFP (LSI name)'!AI32,OFFSET('＠グループ、表示名'!$H$4,MATCH('＠MFP (LSI name)'!AI32,'＠グループ、表示名'!$D$4:$D$250,0)-1,0)))</f>
        <v/>
      </c>
      <c r="AJ32" s="18" t="str">
        <f ca="1">IF('＠MFP (LSI name)'!AJ32="","",IF(COUNTIF('＠MFP (LSI name)'!AJ32,"Serial*")+COUNTIF('＠MFP (LSI name)'!AJ32,"Analog*")&gt;0,'＠MFP (LSI name)'!AJ32,OFFSET('＠グループ、表示名'!$H$4,MATCH('＠MFP (LSI name)'!AJ32,'＠グループ、表示名'!$D$4:$D$250,0)-1,0)))</f>
        <v/>
      </c>
      <c r="AK32" s="69" t="str">
        <f ca="1">IF('＠MFP (LSI name)'!AK32="","",IF(COUNTIF('＠MFP (LSI name)'!AK32,"Serial*")+COUNTIF('＠MFP (LSI name)'!AK32,"Analog*")&gt;0,'＠MFP (LSI name)'!AK32,OFFSET('＠グループ、表示名'!$H$4,MATCH('＠MFP (LSI name)'!AK32,'＠グループ、表示名'!$D$4:$D$250,0)-1,0)))</f>
        <v/>
      </c>
      <c r="AL32" s="9" t="str">
        <f t="shared" si="4"/>
        <v>IOPBMD[23]</v>
      </c>
      <c r="AM32" s="9" t="str">
        <f t="shared" si="5"/>
        <v>IOPBMD[22]</v>
      </c>
      <c r="AN32" s="9" t="str">
        <f t="shared" si="6"/>
        <v>IOPBMD[21]</v>
      </c>
      <c r="AO32" s="9" t="str">
        <f t="shared" si="7"/>
        <v>IOPBMD[20]</v>
      </c>
      <c r="AP32" s="86"/>
    </row>
    <row r="33" spans="1:42" ht="16.149999999999999">
      <c r="A33" s="61" t="s">
        <v>501</v>
      </c>
      <c r="B33" s="7"/>
      <c r="C33" s="7"/>
      <c r="D33" s="87"/>
      <c r="E33" s="87"/>
      <c r="F33" s="7">
        <v>28</v>
      </c>
      <c r="G33" s="7">
        <v>22</v>
      </c>
      <c r="H33" s="87">
        <v>18</v>
      </c>
      <c r="I33" s="45" t="s">
        <v>25</v>
      </c>
      <c r="J33" s="45" t="s">
        <v>26</v>
      </c>
      <c r="K33" s="69" t="str">
        <f ca="1">IF('＠MFP (LSI name)'!K33="","",IF(COUNTIF('＠MFP (LSI name)'!K33,"Serial*")+COUNTIF('＠MFP (LSI name)'!K33,"Analog*")&gt;0,'＠MFP (LSI name)'!K33,OFFSET('＠グループ、表示名'!$H$4,MATCH('＠MFP (LSI name)'!K33,'＠グループ、表示名'!$D$4:$D$250,0)-1,0)))</f>
        <v>GPWM6_GPWM61</v>
      </c>
      <c r="L33" s="18" t="str">
        <f ca="1">IF('＠MFP (LSI name)'!L33="","",IF(COUNTIF('＠MFP (LSI name)'!L33,"Serial*")+COUNTIF('＠MFP (LSI name)'!L33,"Analog*")&gt;0,'＠MFP (LSI name)'!L33,OFFSET('＠グループ、表示名'!$H$4,MATCH('＠MFP (LSI name)'!L33,'＠グループ、表示名'!$D$4:$D$250,0)-1,0)))</f>
        <v>SIF0_SBI0</v>
      </c>
      <c r="M33" s="18" t="str">
        <f ca="1">IF('＠MFP (LSI name)'!M33="","",IF(COUNTIF('＠MFP (LSI name)'!M33,"Serial*")+COUNTIF('＠MFP (LSI name)'!M33,"Analog*")&gt;0,'＠MFP (LSI name)'!M33,OFFSET('＠グループ、表示名'!$H$4,MATCH('＠MFP (LSI name)'!M33,'＠グループ、表示名'!$D$4:$D$250,0)-1,0)))</f>
        <v>SIF0_SBO0</v>
      </c>
      <c r="N33" s="69" t="str">
        <f ca="1">IF('＠MFP (LSI name)'!N33="","",IF(COUNTIF('＠MFP (LSI name)'!N33,"Serial*")+COUNTIF('＠MFP (LSI name)'!N33,"Analog*")&gt;0,'＠MFP (LSI name)'!N33,OFFSET('＠グループ、表示名'!$H$4,MATCH('＠MFP (LSI name)'!N33,'＠グループ、表示名'!$D$4:$D$250,0)-1,0)))</f>
        <v/>
      </c>
      <c r="O33" s="69" t="str">
        <f ca="1">IF('＠MFP (LSI name)'!O33="","",IF(COUNTIF('＠MFP (LSI name)'!O33,"Serial*")+COUNTIF('＠MFP (LSI name)'!O33,"Analog*")&gt;0,'＠MFP (LSI name)'!O33,OFFSET('＠グループ、表示名'!$H$4,MATCH('＠MFP (LSI name)'!O33,'＠グループ、表示名'!$D$4:$D$250,0)-1,0)))</f>
        <v/>
      </c>
      <c r="P33" s="69" t="str">
        <f ca="1">IF('＠MFP (LSI name)'!P33="","",IF(COUNTIF('＠MFP (LSI name)'!P33,"Serial*")+COUNTIF('＠MFP (LSI name)'!P33,"Analog*")&gt;0,'＠MFP (LSI name)'!P33,OFFSET('＠グループ、表示名'!$H$4,MATCH('＠MFP (LSI name)'!P33,'＠グループ、表示名'!$D$4:$D$250,0)-1,0)))</f>
        <v/>
      </c>
      <c r="Q33" s="69" t="str">
        <f ca="1">IF('＠MFP (LSI name)'!Q33="","",IF(COUNTIF('＠MFP (LSI name)'!Q33,"Serial*")+COUNTIF('＠MFP (LSI name)'!Q33,"Analog*")&gt;0,'＠MFP (LSI name)'!Q33,OFFSET('＠グループ、表示名'!$H$4,MATCH('＠MFP (LSI name)'!Q33,'＠グループ、表示名'!$D$4:$D$250,0)-1,0)))</f>
        <v/>
      </c>
      <c r="R33" s="69" t="str">
        <f ca="1">IF('＠MFP (LSI name)'!R33="","",IF(COUNTIF('＠MFP (LSI name)'!R33,"Serial*")+COUNTIF('＠MFP (LSI name)'!R33,"Analog*")&gt;0,'＠MFP (LSI name)'!R33,OFFSET('＠グループ、表示名'!$H$4,MATCH('＠MFP (LSI name)'!R33,'＠グループ、表示名'!$D$4:$D$250,0)-1,0)))</f>
        <v/>
      </c>
      <c r="S33" s="69" t="str">
        <f ca="1">IF('＠MFP (LSI name)'!S33="","",IF(COUNTIF('＠MFP (LSI name)'!S33,"Serial*")+COUNTIF('＠MFP (LSI name)'!S33,"Analog*")&gt;0,'＠MFP (LSI name)'!S33,OFFSET('＠グループ、表示名'!$H$4,MATCH('＠MFP (LSI name)'!S33,'＠グループ、表示名'!$D$4:$D$250,0)-1,0)))</f>
        <v/>
      </c>
      <c r="T33" s="69" t="str">
        <f ca="1">IF('＠MFP (LSI name)'!T33="","",IF(COUNTIF('＠MFP (LSI name)'!T33,"Serial*")+COUNTIF('＠MFP (LSI name)'!T33,"Analog*")&gt;0,'＠MFP (LSI name)'!T33,OFFSET('＠グループ、表示名'!$H$4,MATCH('＠MFP (LSI name)'!T33,'＠グループ、表示名'!$D$4:$D$250,0)-1,0)))</f>
        <v/>
      </c>
      <c r="U33" s="69" t="str">
        <f ca="1">IF('＠MFP (LSI name)'!U33="","",IF(COUNTIF('＠MFP (LSI name)'!U33,"Serial*")+COUNTIF('＠MFP (LSI name)'!U33,"Analog*")&gt;0,'＠MFP (LSI name)'!U33,OFFSET('＠グループ、表示名'!$H$4,MATCH('＠MFP (LSI name)'!U33,'＠グループ、表示名'!$D$4:$D$250,0)-1,0)))</f>
        <v/>
      </c>
      <c r="V33" s="69" t="str">
        <f ca="1">IF('＠MFP (LSI name)'!V33="","",IF(COUNTIF('＠MFP (LSI name)'!V33,"Serial*")+COUNTIF('＠MFP (LSI name)'!V33,"Analog*")&gt;0,'＠MFP (LSI name)'!V33,OFFSET('＠グループ、表示名'!$H$4,MATCH('＠MFP (LSI name)'!V33,'＠グループ、表示名'!$D$4:$D$250,0)-1,0)))</f>
        <v/>
      </c>
      <c r="W33" s="18" t="str">
        <f ca="1">IF('＠MFP (LSI name)'!W33="","",IF(COUNTIF('＠MFP (LSI name)'!W33,"Serial*")+COUNTIF('＠MFP (LSI name)'!W33,"Analog*")&gt;0,'＠MFP (LSI name)'!W33,OFFSET('＠グループ、表示名'!$H$4,MATCH('＠MFP (LSI name)'!W33,'＠グループ、表示名'!$D$4:$D$250,0)-1,0)))</f>
        <v/>
      </c>
      <c r="X33" s="18" t="str">
        <f ca="1">IF('＠MFP (LSI name)'!X33="","",IF(COUNTIF('＠MFP (LSI name)'!X33,"Serial*")+COUNTIF('＠MFP (LSI name)'!X33,"Analog*")&gt;0,'＠MFP (LSI name)'!X33,OFFSET('＠グループ、表示名'!$H$4,MATCH('＠MFP (LSI name)'!X33,'＠グループ、表示名'!$D$4:$D$250,0)-1,0)))</f>
        <v/>
      </c>
      <c r="Y33" s="18" t="str">
        <f ca="1">IF('＠MFP (LSI name)'!Y33="","",IF(COUNTIF('＠MFP (LSI name)'!Y33,"Serial*")+COUNTIF('＠MFP (LSI name)'!Y33,"Analog*")&gt;0,'＠MFP (LSI name)'!Y33,OFFSET('＠グループ、表示名'!$H$4,MATCH('＠MFP (LSI name)'!Y33,'＠グループ、表示名'!$D$4:$D$250,0)-1,0)))</f>
        <v/>
      </c>
      <c r="Z33" s="18" t="str">
        <f ca="1">IF('＠MFP (LSI name)'!Z33="","",IF(COUNTIF('＠MFP (LSI name)'!Z33,"Serial*")+COUNTIF('＠MFP (LSI name)'!Z33,"Analog*")&gt;0,'＠MFP (LSI name)'!Z33,OFFSET('＠グループ、表示名'!$H$4,MATCH('＠MFP (LSI name)'!Z33,'＠グループ、表示名'!$D$4:$D$250,0)-1,0)))</f>
        <v/>
      </c>
      <c r="AA33" s="69" t="str">
        <f ca="1">IF('＠MFP (LSI name)'!AA33="","",IF(COUNTIF('＠MFP (LSI name)'!AA33,"Serial*")+COUNTIF('＠MFP (LSI name)'!AA33,"Analog*")&gt;0,'＠MFP (LSI name)'!AA33,OFFSET('＠グループ、表示名'!$H$4,MATCH('＠MFP (LSI name)'!AA33,'＠グループ、表示名'!$D$4:$D$250,0)-1,0)))</f>
        <v/>
      </c>
      <c r="AB33" s="69" t="str">
        <f ca="1">IF('＠MFP (LSI name)'!AB33="","",IF(COUNTIF('＠MFP (LSI name)'!AB33,"Serial*")+COUNTIF('＠MFP (LSI name)'!AB33,"Analog*")&gt;0,'＠MFP (LSI name)'!AB33,OFFSET('＠グループ、表示名'!$H$4,MATCH('＠MFP (LSI name)'!AB33,'＠グループ、表示名'!$D$4:$D$250,0)-1,0)))</f>
        <v/>
      </c>
      <c r="AC33" s="18" t="str">
        <f ca="1">IF('＠MFP (LSI name)'!AC33="","",IF(COUNTIF('＠MFP (LSI name)'!AC33,"Serial*")+COUNTIF('＠MFP (LSI name)'!AC33,"Analog*")&gt;0,'＠MFP (LSI name)'!AC33,OFFSET('＠グループ、表示名'!$H$4,MATCH('＠MFP (LSI name)'!AC33,'＠グループ、表示名'!$D$4:$D$250,0)-1,0)))</f>
        <v/>
      </c>
      <c r="AD33" s="18" t="str">
        <f ca="1">IF('＠MFP (LSI name)'!AD33="","",IF(COUNTIF('＠MFP (LSI name)'!AD33,"Serial*")+COUNTIF('＠MFP (LSI name)'!AD33,"Analog*")&gt;0,'＠MFP (LSI name)'!AD33,OFFSET('＠グループ、表示名'!$H$4,MATCH('＠MFP (LSI name)'!AD33,'＠グループ、表示名'!$D$4:$D$250,0)-1,0)))</f>
        <v/>
      </c>
      <c r="AE33" s="18" t="str">
        <f ca="1">IF('＠MFP (LSI name)'!AE33="","",IF(COUNTIF('＠MFP (LSI name)'!AE33,"Serial*")+COUNTIF('＠MFP (LSI name)'!AE33,"Analog*")&gt;0,'＠MFP (LSI name)'!AE33,OFFSET('＠グループ、表示名'!$H$4,MATCH('＠MFP (LSI name)'!AE33,'＠グループ、表示名'!$D$4:$D$250,0)-1,0)))</f>
        <v/>
      </c>
      <c r="AF33" s="69" t="str">
        <f ca="1">IF('＠MFP (LSI name)'!AF33="","",IF(COUNTIF('＠MFP (LSI name)'!AF33,"Serial*")+COUNTIF('＠MFP (LSI name)'!AF33,"Analog*")&gt;0,'＠MFP (LSI name)'!AF33,OFFSET('＠グループ、表示名'!$H$4,MATCH('＠MFP (LSI name)'!AF33,'＠グループ、表示名'!$D$4:$D$250,0)-1,0)))</f>
        <v/>
      </c>
      <c r="AG33" s="69" t="str">
        <f ca="1">IF('＠MFP (LSI name)'!AG33="","",IF(COUNTIF('＠MFP (LSI name)'!AG33,"Serial*")+COUNTIF('＠MFP (LSI name)'!AG33,"Analog*")&gt;0,'＠MFP (LSI name)'!AG33,OFFSET('＠グループ、表示名'!$H$4,MATCH('＠MFP (LSI name)'!AG33,'＠グループ、表示名'!$D$4:$D$250,0)-1,0)))</f>
        <v/>
      </c>
      <c r="AH33" s="18" t="str">
        <f ca="1">IF('＠MFP (LSI name)'!AH33="","",IF(COUNTIF('＠MFP (LSI name)'!AH33,"Serial*")+COUNTIF('＠MFP (LSI name)'!AH33,"Analog*")&gt;0,'＠MFP (LSI name)'!AH33,OFFSET('＠グループ、表示名'!$H$4,MATCH('＠MFP (LSI name)'!AH33,'＠グループ、表示名'!$D$4:$D$250,0)-1,0)))</f>
        <v/>
      </c>
      <c r="AI33" s="18" t="str">
        <f ca="1">IF('＠MFP (LSI name)'!AI33="","",IF(COUNTIF('＠MFP (LSI name)'!AI33,"Serial*")+COUNTIF('＠MFP (LSI name)'!AI33,"Analog*")&gt;0,'＠MFP (LSI name)'!AI33,OFFSET('＠グループ、表示名'!$H$4,MATCH('＠MFP (LSI name)'!AI33,'＠グループ、表示名'!$D$4:$D$250,0)-1,0)))</f>
        <v/>
      </c>
      <c r="AJ33" s="18" t="str">
        <f ca="1">IF('＠MFP (LSI name)'!AJ33="","",IF(COUNTIF('＠MFP (LSI name)'!AJ33,"Serial*")+COUNTIF('＠MFP (LSI name)'!AJ33,"Analog*")&gt;0,'＠MFP (LSI name)'!AJ33,OFFSET('＠グループ、表示名'!$H$4,MATCH('＠MFP (LSI name)'!AJ33,'＠グループ、表示名'!$D$4:$D$250,0)-1,0)))</f>
        <v/>
      </c>
      <c r="AK33" s="69" t="str">
        <f ca="1">IF('＠MFP (LSI name)'!AK33="","",IF(COUNTIF('＠MFP (LSI name)'!AK33,"Serial*")+COUNTIF('＠MFP (LSI name)'!AK33,"Analog*")&gt;0,'＠MFP (LSI name)'!AK33,OFFSET('＠グループ、表示名'!$H$4,MATCH('＠MFP (LSI name)'!AK33,'＠グループ、表示名'!$D$4:$D$250,0)-1,0)))</f>
        <v/>
      </c>
      <c r="AL33" s="9" t="str">
        <f t="shared" si="4"/>
        <v>IOPBMD[23]</v>
      </c>
      <c r="AM33" s="9" t="str">
        <f t="shared" si="5"/>
        <v>IOPBMD[22]</v>
      </c>
      <c r="AN33" s="9" t="str">
        <f t="shared" si="6"/>
        <v>IOPBMD[21]</v>
      </c>
      <c r="AO33" s="9" t="str">
        <f t="shared" si="7"/>
        <v>IOPBMD[20]</v>
      </c>
      <c r="AP33" s="86"/>
    </row>
    <row r="34" spans="1:42" ht="16.149999999999999">
      <c r="A34" s="61">
        <v>29</v>
      </c>
      <c r="B34" s="7">
        <v>29</v>
      </c>
      <c r="C34" s="7">
        <v>23</v>
      </c>
      <c r="D34" s="87"/>
      <c r="E34" s="87"/>
      <c r="F34" s="7">
        <v>29</v>
      </c>
      <c r="G34" s="7">
        <v>23</v>
      </c>
      <c r="H34" s="87"/>
      <c r="I34" s="45" t="s">
        <v>110</v>
      </c>
      <c r="J34" s="45" t="s">
        <v>492</v>
      </c>
      <c r="K34" s="69" t="str">
        <f ca="1">IF('＠MFP (LSI name)'!K34="","",IF(COUNTIF('＠MFP (LSI name)'!K34,"Serial*")+COUNTIF('＠MFP (LSI name)'!K34,"Analog*")&gt;0,'＠MFP (LSI name)'!K34,OFFSET('＠グループ、表示名'!$H$4,MATCH('＠MFP (LSI name)'!K34,'＠グループ、表示名'!$D$4:$D$250,0)-1,0)))</f>
        <v/>
      </c>
      <c r="L34" s="69" t="str">
        <f ca="1">IF('＠MFP (LSI name)'!L34="","",IF(COUNTIF('＠MFP (LSI name)'!L34,"Serial*")+COUNTIF('＠MFP (LSI name)'!L34,"Analog*")&gt;0,'＠MFP (LSI name)'!L34,OFFSET('＠グループ、表示名'!$H$4,MATCH('＠MFP (LSI name)'!L34,'＠グループ、表示名'!$D$4:$D$250,0)-1,0)))</f>
        <v/>
      </c>
      <c r="M34" s="69" t="str">
        <f ca="1">IF('＠MFP (LSI name)'!M34="","",IF(COUNTIF('＠MFP (LSI name)'!M34,"Serial*")+COUNTIF('＠MFP (LSI name)'!M34,"Analog*")&gt;0,'＠MFP (LSI name)'!M34,OFFSET('＠グループ、表示名'!$H$4,MATCH('＠MFP (LSI name)'!M34,'＠グループ、表示名'!$D$4:$D$250,0)-1,0)))</f>
        <v/>
      </c>
      <c r="N34" s="69" t="str">
        <f ca="1">IF('＠MFP (LSI name)'!N34="","",IF(COUNTIF('＠MFP (LSI name)'!N34,"Serial*")+COUNTIF('＠MFP (LSI name)'!N34,"Analog*")&gt;0,'＠MFP (LSI name)'!N34,OFFSET('＠グループ、表示名'!$H$4,MATCH('＠MFP (LSI name)'!N34,'＠グループ、表示名'!$D$4:$D$250,0)-1,0)))</f>
        <v/>
      </c>
      <c r="O34" s="69" t="str">
        <f ca="1">IF('＠MFP (LSI name)'!O34="","",IF(COUNTIF('＠MFP (LSI name)'!O34,"Serial*")+COUNTIF('＠MFP (LSI name)'!O34,"Analog*")&gt;0,'＠MFP (LSI name)'!O34,OFFSET('＠グループ、表示名'!$H$4,MATCH('＠MFP (LSI name)'!O34,'＠グループ、表示名'!$D$4:$D$250,0)-1,0)))</f>
        <v/>
      </c>
      <c r="P34" s="69" t="str">
        <f ca="1">IF('＠MFP (LSI name)'!P34="","",IF(COUNTIF('＠MFP (LSI name)'!P34,"Serial*")+COUNTIF('＠MFP (LSI name)'!P34,"Analog*")&gt;0,'＠MFP (LSI name)'!P34,OFFSET('＠グループ、表示名'!$H$4,MATCH('＠MFP (LSI name)'!P34,'＠グループ、表示名'!$D$4:$D$250,0)-1,0)))</f>
        <v/>
      </c>
      <c r="Q34" s="69" t="str">
        <f ca="1">IF('＠MFP (LSI name)'!Q34="","",IF(COUNTIF('＠MFP (LSI name)'!Q34,"Serial*")+COUNTIF('＠MFP (LSI name)'!Q34,"Analog*")&gt;0,'＠MFP (LSI name)'!Q34,OFFSET('＠グループ、表示名'!$H$4,MATCH('＠MFP (LSI name)'!Q34,'＠グループ、表示名'!$D$4:$D$250,0)-1,0)))</f>
        <v/>
      </c>
      <c r="R34" s="69" t="str">
        <f ca="1">IF('＠MFP (LSI name)'!R34="","",IF(COUNTIF('＠MFP (LSI name)'!R34,"Serial*")+COUNTIF('＠MFP (LSI name)'!R34,"Analog*")&gt;0,'＠MFP (LSI name)'!R34,OFFSET('＠グループ、表示名'!$H$4,MATCH('＠MFP (LSI name)'!R34,'＠グループ、表示名'!$D$4:$D$250,0)-1,0)))</f>
        <v/>
      </c>
      <c r="S34" s="69" t="str">
        <f ca="1">IF('＠MFP (LSI name)'!S34="","",IF(COUNTIF('＠MFP (LSI name)'!S34,"Serial*")+COUNTIF('＠MFP (LSI name)'!S34,"Analog*")&gt;0,'＠MFP (LSI name)'!S34,OFFSET('＠グループ、表示名'!$H$4,MATCH('＠MFP (LSI name)'!S34,'＠グループ、表示名'!$D$4:$D$250,0)-1,0)))</f>
        <v/>
      </c>
      <c r="T34" s="69" t="str">
        <f ca="1">IF('＠MFP (LSI name)'!T34="","",IF(COUNTIF('＠MFP (LSI name)'!T34,"Serial*")+COUNTIF('＠MFP (LSI name)'!T34,"Analog*")&gt;0,'＠MFP (LSI name)'!T34,OFFSET('＠グループ、表示名'!$H$4,MATCH('＠MFP (LSI name)'!T34,'＠グループ、表示名'!$D$4:$D$250,0)-1,0)))</f>
        <v/>
      </c>
      <c r="U34" s="69" t="str">
        <f ca="1">IF('＠MFP (LSI name)'!U34="","",IF(COUNTIF('＠MFP (LSI name)'!U34,"Serial*")+COUNTIF('＠MFP (LSI name)'!U34,"Analog*")&gt;0,'＠MFP (LSI name)'!U34,OFFSET('＠グループ、表示名'!$H$4,MATCH('＠MFP (LSI name)'!U34,'＠グループ、表示名'!$D$4:$D$250,0)-1,0)))</f>
        <v/>
      </c>
      <c r="V34" s="69" t="str">
        <f ca="1">IF('＠MFP (LSI name)'!V34="","",IF(COUNTIF('＠MFP (LSI name)'!V34,"Serial*")+COUNTIF('＠MFP (LSI name)'!V34,"Analog*")&gt;0,'＠MFP (LSI name)'!V34,OFFSET('＠グループ、表示名'!$H$4,MATCH('＠MFP (LSI name)'!V34,'＠グループ、表示名'!$D$4:$D$250,0)-1,0)))</f>
        <v/>
      </c>
      <c r="W34" s="18" t="str">
        <f ca="1">IF('＠MFP (LSI name)'!W34="","",IF(COUNTIF('＠MFP (LSI name)'!W34,"Serial*")+COUNTIF('＠MFP (LSI name)'!W34,"Analog*")&gt;0,'＠MFP (LSI name)'!W34,OFFSET('＠グループ、表示名'!$H$4,MATCH('＠MFP (LSI name)'!W34,'＠グループ、表示名'!$D$4:$D$250,0)-1,0)))</f>
        <v/>
      </c>
      <c r="X34" s="18" t="str">
        <f ca="1">IF('＠MFP (LSI name)'!X34="","",IF(COUNTIF('＠MFP (LSI name)'!X34,"Serial*")+COUNTIF('＠MFP (LSI name)'!X34,"Analog*")&gt;0,'＠MFP (LSI name)'!X34,OFFSET('＠グループ、表示名'!$H$4,MATCH('＠MFP (LSI name)'!X34,'＠グループ、表示名'!$D$4:$D$250,0)-1,0)))</f>
        <v/>
      </c>
      <c r="Y34" s="18" t="str">
        <f ca="1">IF('＠MFP (LSI name)'!Y34="","",IF(COUNTIF('＠MFP (LSI name)'!Y34,"Serial*")+COUNTIF('＠MFP (LSI name)'!Y34,"Analog*")&gt;0,'＠MFP (LSI name)'!Y34,OFFSET('＠グループ、表示名'!$H$4,MATCH('＠MFP (LSI name)'!Y34,'＠グループ、表示名'!$D$4:$D$250,0)-1,0)))</f>
        <v/>
      </c>
      <c r="Z34" s="18" t="str">
        <f ca="1">IF('＠MFP (LSI name)'!Z34="","",IF(COUNTIF('＠MFP (LSI name)'!Z34,"Serial*")+COUNTIF('＠MFP (LSI name)'!Z34,"Analog*")&gt;0,'＠MFP (LSI name)'!Z34,OFFSET('＠グループ、表示名'!$H$4,MATCH('＠MFP (LSI name)'!Z34,'＠グループ、表示名'!$D$4:$D$250,0)-1,0)))</f>
        <v/>
      </c>
      <c r="AA34" s="69" t="str">
        <f ca="1">IF('＠MFP (LSI name)'!AA34="","",IF(COUNTIF('＠MFP (LSI name)'!AA34,"Serial*")+COUNTIF('＠MFP (LSI name)'!AA34,"Analog*")&gt;0,'＠MFP (LSI name)'!AA34,OFFSET('＠グループ、表示名'!$H$4,MATCH('＠MFP (LSI name)'!AA34,'＠グループ、表示名'!$D$4:$D$250,0)-1,0)))</f>
        <v/>
      </c>
      <c r="AB34" s="69" t="str">
        <f ca="1">IF('＠MFP (LSI name)'!AB34="","",IF(COUNTIF('＠MFP (LSI name)'!AB34,"Serial*")+COUNTIF('＠MFP (LSI name)'!AB34,"Analog*")&gt;0,'＠MFP (LSI name)'!AB34,OFFSET('＠グループ、表示名'!$H$4,MATCH('＠MFP (LSI name)'!AB34,'＠グループ、表示名'!$D$4:$D$250,0)-1,0)))</f>
        <v/>
      </c>
      <c r="AC34" s="18" t="str">
        <f ca="1">IF('＠MFP (LSI name)'!AC34="","",IF(COUNTIF('＠MFP (LSI name)'!AC34,"Serial*")+COUNTIF('＠MFP (LSI name)'!AC34,"Analog*")&gt;0,'＠MFP (LSI name)'!AC34,OFFSET('＠グループ、表示名'!$H$4,MATCH('＠MFP (LSI name)'!AC34,'＠グループ、表示名'!$D$4:$D$250,0)-1,0)))</f>
        <v/>
      </c>
      <c r="AD34" s="18" t="str">
        <f ca="1">IF('＠MFP (LSI name)'!AD34="","",IF(COUNTIF('＠MFP (LSI name)'!AD34,"Serial*")+COUNTIF('＠MFP (LSI name)'!AD34,"Analog*")&gt;0,'＠MFP (LSI name)'!AD34,OFFSET('＠グループ、表示名'!$H$4,MATCH('＠MFP (LSI name)'!AD34,'＠グループ、表示名'!$D$4:$D$250,0)-1,0)))</f>
        <v/>
      </c>
      <c r="AE34" s="18" t="str">
        <f ca="1">IF('＠MFP (LSI name)'!AE34="","",IF(COUNTIF('＠MFP (LSI name)'!AE34,"Serial*")+COUNTIF('＠MFP (LSI name)'!AE34,"Analog*")&gt;0,'＠MFP (LSI name)'!AE34,OFFSET('＠グループ、表示名'!$H$4,MATCH('＠MFP (LSI name)'!AE34,'＠グループ、表示名'!$D$4:$D$250,0)-1,0)))</f>
        <v/>
      </c>
      <c r="AF34" s="69" t="str">
        <f ca="1">IF('＠MFP (LSI name)'!AF34="","",IF(COUNTIF('＠MFP (LSI name)'!AF34,"Serial*")+COUNTIF('＠MFP (LSI name)'!AF34,"Analog*")&gt;0,'＠MFP (LSI name)'!AF34,OFFSET('＠グループ、表示名'!$H$4,MATCH('＠MFP (LSI name)'!AF34,'＠グループ、表示名'!$D$4:$D$250,0)-1,0)))</f>
        <v/>
      </c>
      <c r="AG34" s="69" t="str">
        <f ca="1">IF('＠MFP (LSI name)'!AG34="","",IF(COUNTIF('＠MFP (LSI name)'!AG34,"Serial*")+COUNTIF('＠MFP (LSI name)'!AG34,"Analog*")&gt;0,'＠MFP (LSI name)'!AG34,OFFSET('＠グループ、表示名'!$H$4,MATCH('＠MFP (LSI name)'!AG34,'＠グループ、表示名'!$D$4:$D$250,0)-1,0)))</f>
        <v/>
      </c>
      <c r="AH34" s="18" t="str">
        <f ca="1">IF('＠MFP (LSI name)'!AH34="","",IF(COUNTIF('＠MFP (LSI name)'!AH34,"Serial*")+COUNTIF('＠MFP (LSI name)'!AH34,"Analog*")&gt;0,'＠MFP (LSI name)'!AH34,OFFSET('＠グループ、表示名'!$H$4,MATCH('＠MFP (LSI name)'!AH34,'＠グループ、表示名'!$D$4:$D$250,0)-1,0)))</f>
        <v/>
      </c>
      <c r="AI34" s="18" t="str">
        <f ca="1">IF('＠MFP (LSI name)'!AI34="","",IF(COUNTIF('＠MFP (LSI name)'!AI34,"Serial*")+COUNTIF('＠MFP (LSI name)'!AI34,"Analog*")&gt;0,'＠MFP (LSI name)'!AI34,OFFSET('＠グループ、表示名'!$H$4,MATCH('＠MFP (LSI name)'!AI34,'＠グループ、表示名'!$D$4:$D$250,0)-1,0)))</f>
        <v/>
      </c>
      <c r="AJ34" s="18" t="str">
        <f ca="1">IF('＠MFP (LSI name)'!AJ34="","",IF(COUNTIF('＠MFP (LSI name)'!AJ34,"Serial*")+COUNTIF('＠MFP (LSI name)'!AJ34,"Analog*")&gt;0,'＠MFP (LSI name)'!AJ34,OFFSET('＠グループ、表示名'!$H$4,MATCH('＠MFP (LSI name)'!AJ34,'＠グループ、表示名'!$D$4:$D$250,0)-1,0)))</f>
        <v/>
      </c>
      <c r="AK34" s="69" t="str">
        <f ca="1">IF('＠MFP (LSI name)'!AK34="","",IF(COUNTIF('＠MFP (LSI name)'!AK34,"Serial*")+COUNTIF('＠MFP (LSI name)'!AK34,"Analog*")&gt;0,'＠MFP (LSI name)'!AK34,OFFSET('＠グループ、表示名'!$H$4,MATCH('＠MFP (LSI name)'!AK34,'＠グループ、表示名'!$D$4:$D$250,0)-1,0)))</f>
        <v/>
      </c>
      <c r="AL34" s="9" t="str">
        <f t="shared" si="4"/>
        <v/>
      </c>
      <c r="AM34" s="9" t="str">
        <f t="shared" si="5"/>
        <v/>
      </c>
      <c r="AN34" s="9" t="str">
        <f t="shared" si="6"/>
        <v/>
      </c>
      <c r="AO34" s="9" t="str">
        <f t="shared" si="7"/>
        <v/>
      </c>
      <c r="AP34" s="86"/>
    </row>
    <row r="35" spans="1:42" ht="16.149999999999999">
      <c r="A35" s="61">
        <v>30</v>
      </c>
      <c r="B35" s="7">
        <v>30</v>
      </c>
      <c r="C35" s="7">
        <v>24</v>
      </c>
      <c r="D35" s="87">
        <v>19</v>
      </c>
      <c r="E35" s="87">
        <v>13</v>
      </c>
      <c r="F35" s="7">
        <v>30</v>
      </c>
      <c r="G35" s="7">
        <v>24</v>
      </c>
      <c r="H35" s="87">
        <v>19</v>
      </c>
      <c r="I35" s="45" t="s">
        <v>38</v>
      </c>
      <c r="J35" s="45" t="s">
        <v>39</v>
      </c>
      <c r="K35" s="69" t="str">
        <f ca="1">IF('＠MFP (LSI name)'!K35="","",IF(COUNTIF('＠MFP (LSI name)'!K35,"Serial*")+COUNTIF('＠MFP (LSI name)'!K35,"Analog*")&gt;0,'＠MFP (LSI name)'!K35,OFFSET('＠グループ、表示名'!$H$4,MATCH('＠MFP (LSI name)'!K35,'＠グループ、表示名'!$D$4:$D$250,0)-1,0)))</f>
        <v>GPWM7_GPWM70</v>
      </c>
      <c r="L35" s="69" t="str">
        <f ca="1">IF('＠MFP (LSI name)'!L35="","",IF(COUNTIF('＠MFP (LSI name)'!L35,"Serial*")+COUNTIF('＠MFP (LSI name)'!L35,"Analog*")&gt;0,'＠MFP (LSI name)'!L35,OFFSET('＠グループ、表示名'!$H$4,MATCH('＠MFP (LSI name)'!L35,'＠グループ、表示名'!$D$4:$D$250,0)-1,0)))</f>
        <v>IRQ03</v>
      </c>
      <c r="M35" s="69" t="str">
        <f ca="1">IF('＠MFP (LSI name)'!M35="","",IF(COUNTIF('＠MFP (LSI name)'!M35,"Serial*")+COUNTIF('＠MFP (LSI name)'!M35,"Analog*")&gt;0,'＠MFP (LSI name)'!M35,OFFSET('＠グループ、表示名'!$H$4,MATCH('＠MFP (LSI name)'!M35,'＠グループ、表示名'!$D$4:$D$250,0)-1,0)))</f>
        <v>IRQ12</v>
      </c>
      <c r="N35" s="117" t="str">
        <f ca="1">IF('＠MFP (LSI name)'!N35="","",IF(COUNTIF('＠MFP (LSI name)'!N35,"Serial*")+COUNTIF('＠MFP (LSI name)'!N35,"Analog*")&gt;0,'＠MFP (LSI name)'!N35,OFFSET('＠グループ、表示名'!$H$4,MATCH('＠MFP (LSI name)'!N35,'＠グループ、表示名'!$D$4:$D$250,0)-1,0)))</f>
        <v>SIF0_SBCS0</v>
      </c>
      <c r="O35" s="69" t="str">
        <f ca="1">IF('＠MFP (LSI name)'!O35="","",IF(COUNTIF('＠MFP (LSI name)'!O35,"Serial*")+COUNTIF('＠MFP (LSI name)'!O35,"Analog*")&gt;0,'＠MFP (LSI name)'!O35,OFFSET('＠グループ、表示名'!$H$4,MATCH('＠MFP (LSI name)'!O35,'＠グループ、表示名'!$D$4:$D$250,0)-1,0)))</f>
        <v/>
      </c>
      <c r="P35" s="69" t="str">
        <f ca="1">IF('＠MFP (LSI name)'!P35="","",IF(COUNTIF('＠MFP (LSI name)'!P35,"Serial*")+COUNTIF('＠MFP (LSI name)'!P35,"Analog*")&gt;0,'＠MFP (LSI name)'!P35,OFFSET('＠グループ、表示名'!$H$4,MATCH('＠MFP (LSI name)'!P35,'＠グループ、表示名'!$D$4:$D$250,0)-1,0)))</f>
        <v/>
      </c>
      <c r="Q35" s="69" t="str">
        <f ca="1">IF('＠MFP (LSI name)'!Q35="","",IF(COUNTIF('＠MFP (LSI name)'!Q35,"Serial*")+COUNTIF('＠MFP (LSI name)'!Q35,"Analog*")&gt;0,'＠MFP (LSI name)'!Q35,OFFSET('＠グループ、表示名'!$H$4,MATCH('＠MFP (LSI name)'!Q35,'＠グループ、表示名'!$D$4:$D$250,0)-1,0)))</f>
        <v/>
      </c>
      <c r="R35" s="69" t="str">
        <f ca="1">IF('＠MFP (LSI name)'!R35="","",IF(COUNTIF('＠MFP (LSI name)'!R35,"Serial*")+COUNTIF('＠MFP (LSI name)'!R35,"Analog*")&gt;0,'＠MFP (LSI name)'!R35,OFFSET('＠グループ、表示名'!$H$4,MATCH('＠MFP (LSI name)'!R35,'＠グループ、表示名'!$D$4:$D$250,0)-1,0)))</f>
        <v/>
      </c>
      <c r="S35" s="69" t="str">
        <f ca="1">IF('＠MFP (LSI name)'!S35="","",IF(COUNTIF('＠MFP (LSI name)'!S35,"Serial*")+COUNTIF('＠MFP (LSI name)'!S35,"Analog*")&gt;0,'＠MFP (LSI name)'!S35,OFFSET('＠グループ、表示名'!$H$4,MATCH('＠MFP (LSI name)'!S35,'＠グループ、表示名'!$D$4:$D$250,0)-1,0)))</f>
        <v/>
      </c>
      <c r="T35" s="69" t="str">
        <f ca="1">IF('＠MFP (LSI name)'!T35="","",IF(COUNTIF('＠MFP (LSI name)'!T35,"Serial*")+COUNTIF('＠MFP (LSI name)'!T35,"Analog*")&gt;0,'＠MFP (LSI name)'!T35,OFFSET('＠グループ、表示名'!$H$4,MATCH('＠MFP (LSI name)'!T35,'＠グループ、表示名'!$D$4:$D$250,0)-1,0)))</f>
        <v/>
      </c>
      <c r="U35" s="69" t="str">
        <f ca="1">IF('＠MFP (LSI name)'!U35="","",IF(COUNTIF('＠MFP (LSI name)'!U35,"Serial*")+COUNTIF('＠MFP (LSI name)'!U35,"Analog*")&gt;0,'＠MFP (LSI name)'!U35,OFFSET('＠グループ、表示名'!$H$4,MATCH('＠MFP (LSI name)'!U35,'＠グループ、表示名'!$D$4:$D$250,0)-1,0)))</f>
        <v/>
      </c>
      <c r="V35" s="69" t="str">
        <f ca="1">IF('＠MFP (LSI name)'!V35="","",IF(COUNTIF('＠MFP (LSI name)'!V35,"Serial*")+COUNTIF('＠MFP (LSI name)'!V35,"Analog*")&gt;0,'＠MFP (LSI name)'!V35,OFFSET('＠グループ、表示名'!$H$4,MATCH('＠MFP (LSI name)'!V35,'＠グループ、表示名'!$D$4:$D$250,0)-1,0)))</f>
        <v/>
      </c>
      <c r="W35" s="18" t="str">
        <f ca="1">IF('＠MFP (LSI name)'!W35="","",IF(COUNTIF('＠MFP (LSI name)'!W35,"Serial*")+COUNTIF('＠MFP (LSI name)'!W35,"Analog*")&gt;0,'＠MFP (LSI name)'!W35,OFFSET('＠グループ、表示名'!$H$4,MATCH('＠MFP (LSI name)'!W35,'＠グループ、表示名'!$D$4:$D$250,0)-1,0)))</f>
        <v/>
      </c>
      <c r="X35" s="18" t="str">
        <f ca="1">IF('＠MFP (LSI name)'!X35="","",IF(COUNTIF('＠MFP (LSI name)'!X35,"Serial*")+COUNTIF('＠MFP (LSI name)'!X35,"Analog*")&gt;0,'＠MFP (LSI name)'!X35,OFFSET('＠グループ、表示名'!$H$4,MATCH('＠MFP (LSI name)'!X35,'＠グループ、表示名'!$D$4:$D$250,0)-1,0)))</f>
        <v/>
      </c>
      <c r="Y35" s="18" t="str">
        <f ca="1">IF('＠MFP (LSI name)'!Y35="","",IF(COUNTIF('＠MFP (LSI name)'!Y35,"Serial*")+COUNTIF('＠MFP (LSI name)'!Y35,"Analog*")&gt;0,'＠MFP (LSI name)'!Y35,OFFSET('＠グループ、表示名'!$H$4,MATCH('＠MFP (LSI name)'!Y35,'＠グループ、表示名'!$D$4:$D$250,0)-1,0)))</f>
        <v/>
      </c>
      <c r="Z35" s="18" t="str">
        <f ca="1">IF('＠MFP (LSI name)'!Z35="","",IF(COUNTIF('＠MFP (LSI name)'!Z35,"Serial*")+COUNTIF('＠MFP (LSI name)'!Z35,"Analog*")&gt;0,'＠MFP (LSI name)'!Z35,OFFSET('＠グループ、表示名'!$H$4,MATCH('＠MFP (LSI name)'!Z35,'＠グループ、表示名'!$D$4:$D$250,0)-1,0)))</f>
        <v/>
      </c>
      <c r="AA35" s="69" t="str">
        <f ca="1">IF('＠MFP (LSI name)'!AA35="","",IF(COUNTIF('＠MFP (LSI name)'!AA35,"Serial*")+COUNTIF('＠MFP (LSI name)'!AA35,"Analog*")&gt;0,'＠MFP (LSI name)'!AA35,OFFSET('＠グループ、表示名'!$H$4,MATCH('＠MFP (LSI name)'!AA35,'＠グループ、表示名'!$D$4:$D$250,0)-1,0)))</f>
        <v/>
      </c>
      <c r="AB35" s="69" t="str">
        <f ca="1">IF('＠MFP (LSI name)'!AB35="","",IF(COUNTIF('＠MFP (LSI name)'!AB35,"Serial*")+COUNTIF('＠MFP (LSI name)'!AB35,"Analog*")&gt;0,'＠MFP (LSI name)'!AB35,OFFSET('＠グループ、表示名'!$H$4,MATCH('＠MFP (LSI name)'!AB35,'＠グループ、表示名'!$D$4:$D$250,0)-1,0)))</f>
        <v/>
      </c>
      <c r="AC35" s="18" t="str">
        <f ca="1">IF('＠MFP (LSI name)'!AC35="","",IF(COUNTIF('＠MFP (LSI name)'!AC35,"Serial*")+COUNTIF('＠MFP (LSI name)'!AC35,"Analog*")&gt;0,'＠MFP (LSI name)'!AC35,OFFSET('＠グループ、表示名'!$H$4,MATCH('＠MFP (LSI name)'!AC35,'＠グループ、表示名'!$D$4:$D$250,0)-1,0)))</f>
        <v/>
      </c>
      <c r="AD35" s="18" t="str">
        <f ca="1">IF('＠MFP (LSI name)'!AD35="","",IF(COUNTIF('＠MFP (LSI name)'!AD35,"Serial*")+COUNTIF('＠MFP (LSI name)'!AD35,"Analog*")&gt;0,'＠MFP (LSI name)'!AD35,OFFSET('＠グループ、表示名'!$H$4,MATCH('＠MFP (LSI name)'!AD35,'＠グループ、表示名'!$D$4:$D$250,0)-1,0)))</f>
        <v/>
      </c>
      <c r="AE35" s="18" t="str">
        <f ca="1">IF('＠MFP (LSI name)'!AE35="","",IF(COUNTIF('＠MFP (LSI name)'!AE35,"Serial*")+COUNTIF('＠MFP (LSI name)'!AE35,"Analog*")&gt;0,'＠MFP (LSI name)'!AE35,OFFSET('＠グループ、表示名'!$H$4,MATCH('＠MFP (LSI name)'!AE35,'＠グループ、表示名'!$D$4:$D$250,0)-1,0)))</f>
        <v/>
      </c>
      <c r="AF35" s="69" t="str">
        <f ca="1">IF('＠MFP (LSI name)'!AF35="","",IF(COUNTIF('＠MFP (LSI name)'!AF35,"Serial*")+COUNTIF('＠MFP (LSI name)'!AF35,"Analog*")&gt;0,'＠MFP (LSI name)'!AF35,OFFSET('＠グループ、表示名'!$H$4,MATCH('＠MFP (LSI name)'!AF35,'＠グループ、表示名'!$D$4:$D$250,0)-1,0)))</f>
        <v/>
      </c>
      <c r="AG35" s="69" t="str">
        <f ca="1">IF('＠MFP (LSI name)'!AG35="","",IF(COUNTIF('＠MFP (LSI name)'!AG35,"Serial*")+COUNTIF('＠MFP (LSI name)'!AG35,"Analog*")&gt;0,'＠MFP (LSI name)'!AG35,OFFSET('＠グループ、表示名'!$H$4,MATCH('＠MFP (LSI name)'!AG35,'＠グループ、表示名'!$D$4:$D$250,0)-1,0)))</f>
        <v/>
      </c>
      <c r="AH35" s="18" t="str">
        <f ca="1">IF('＠MFP (LSI name)'!AH35="","",IF(COUNTIF('＠MFP (LSI name)'!AH35,"Serial*")+COUNTIF('＠MFP (LSI name)'!AH35,"Analog*")&gt;0,'＠MFP (LSI name)'!AH35,OFFSET('＠グループ、表示名'!$H$4,MATCH('＠MFP (LSI name)'!AH35,'＠グループ、表示名'!$D$4:$D$250,0)-1,0)))</f>
        <v/>
      </c>
      <c r="AI35" s="18" t="str">
        <f ca="1">IF('＠MFP (LSI name)'!AI35="","",IF(COUNTIF('＠MFP (LSI name)'!AI35,"Serial*")+COUNTIF('＠MFP (LSI name)'!AI35,"Analog*")&gt;0,'＠MFP (LSI name)'!AI35,OFFSET('＠グループ、表示名'!$H$4,MATCH('＠MFP (LSI name)'!AI35,'＠グループ、表示名'!$D$4:$D$250,0)-1,0)))</f>
        <v/>
      </c>
      <c r="AJ35" s="18" t="str">
        <f ca="1">IF('＠MFP (LSI name)'!AJ35="","",IF(COUNTIF('＠MFP (LSI name)'!AJ35,"Serial*")+COUNTIF('＠MFP (LSI name)'!AJ35,"Analog*")&gt;0,'＠MFP (LSI name)'!AJ35,OFFSET('＠グループ、表示名'!$H$4,MATCH('＠MFP (LSI name)'!AJ35,'＠グループ、表示名'!$D$4:$D$250,0)-1,0)))</f>
        <v/>
      </c>
      <c r="AK35" s="69" t="str">
        <f ca="1">IF('＠MFP (LSI name)'!AK35="","",IF(COUNTIF('＠MFP (LSI name)'!AK35,"Serial*")+COUNTIF('＠MFP (LSI name)'!AK35,"Analog*")&gt;0,'＠MFP (LSI name)'!AK35,OFFSET('＠グループ、表示名'!$H$4,MATCH('＠MFP (LSI name)'!AK35,'＠グループ、表示名'!$D$4:$D$250,0)-1,0)))</f>
        <v/>
      </c>
      <c r="AL35" s="9" t="str">
        <f t="shared" si="4"/>
        <v>IOPBMD[19]</v>
      </c>
      <c r="AM35" s="9" t="str">
        <f t="shared" si="5"/>
        <v>IOPBMD[18]</v>
      </c>
      <c r="AN35" s="9" t="str">
        <f t="shared" si="6"/>
        <v>IOPBMD[17]</v>
      </c>
      <c r="AO35" s="9" t="str">
        <f t="shared" si="7"/>
        <v>IOPBMD[16]</v>
      </c>
      <c r="AP35" s="86"/>
    </row>
    <row r="36" spans="1:42" ht="16.149999999999999">
      <c r="A36" s="61">
        <v>31</v>
      </c>
      <c r="B36" s="7">
        <v>31</v>
      </c>
      <c r="C36" s="7">
        <v>25</v>
      </c>
      <c r="D36" s="87"/>
      <c r="E36" s="87"/>
      <c r="F36" s="7">
        <v>31</v>
      </c>
      <c r="G36" s="7">
        <v>25</v>
      </c>
      <c r="H36" s="87"/>
      <c r="I36" s="45" t="s">
        <v>108</v>
      </c>
      <c r="J36" s="45" t="s">
        <v>109</v>
      </c>
      <c r="K36" s="69" t="str">
        <f ca="1">IF('＠MFP (LSI name)'!K36="","",IF(COUNTIF('＠MFP (LSI name)'!K36,"Serial*")+COUNTIF('＠MFP (LSI name)'!K36,"Analog*")&gt;0,'＠MFP (LSI name)'!K36,OFFSET('＠グループ、表示名'!$H$4,MATCH('＠MFP (LSI name)'!K36,'＠グループ、表示名'!$D$4:$D$250,0)-1,0)))</f>
        <v/>
      </c>
      <c r="L36" s="69" t="str">
        <f ca="1">IF('＠MFP (LSI name)'!L36="","",IF(COUNTIF('＠MFP (LSI name)'!L36,"Serial*")+COUNTIF('＠MFP (LSI name)'!L36,"Analog*")&gt;0,'＠MFP (LSI name)'!L36,OFFSET('＠グループ、表示名'!$H$4,MATCH('＠MFP (LSI name)'!L36,'＠グループ、表示名'!$D$4:$D$250,0)-1,0)))</f>
        <v/>
      </c>
      <c r="M36" s="69" t="str">
        <f ca="1">IF('＠MFP (LSI name)'!M36="","",IF(COUNTIF('＠MFP (LSI name)'!M36,"Serial*")+COUNTIF('＠MFP (LSI name)'!M36,"Analog*")&gt;0,'＠MFP (LSI name)'!M36,OFFSET('＠グループ、表示名'!$H$4,MATCH('＠MFP (LSI name)'!M36,'＠グループ、表示名'!$D$4:$D$250,0)-1,0)))</f>
        <v/>
      </c>
      <c r="N36" s="69" t="str">
        <f ca="1">IF('＠MFP (LSI name)'!N36="","",IF(COUNTIF('＠MFP (LSI name)'!N36,"Serial*")+COUNTIF('＠MFP (LSI name)'!N36,"Analog*")&gt;0,'＠MFP (LSI name)'!N36,OFFSET('＠グループ、表示名'!$H$4,MATCH('＠MFP (LSI name)'!N36,'＠グループ、表示名'!$D$4:$D$250,0)-1,0)))</f>
        <v/>
      </c>
      <c r="O36" s="69" t="str">
        <f ca="1">IF('＠MFP (LSI name)'!O36="","",IF(COUNTIF('＠MFP (LSI name)'!O36,"Serial*")+COUNTIF('＠MFP (LSI name)'!O36,"Analog*")&gt;0,'＠MFP (LSI name)'!O36,OFFSET('＠グループ、表示名'!$H$4,MATCH('＠MFP (LSI name)'!O36,'＠グループ、表示名'!$D$4:$D$250,0)-1,0)))</f>
        <v/>
      </c>
      <c r="P36" s="69" t="str">
        <f ca="1">IF('＠MFP (LSI name)'!P36="","",IF(COUNTIF('＠MFP (LSI name)'!P36,"Serial*")+COUNTIF('＠MFP (LSI name)'!P36,"Analog*")&gt;0,'＠MFP (LSI name)'!P36,OFFSET('＠グループ、表示名'!$H$4,MATCH('＠MFP (LSI name)'!P36,'＠グループ、表示名'!$D$4:$D$250,0)-1,0)))</f>
        <v/>
      </c>
      <c r="Q36" s="69" t="str">
        <f ca="1">IF('＠MFP (LSI name)'!Q36="","",IF(COUNTIF('＠MFP (LSI name)'!Q36,"Serial*")+COUNTIF('＠MFP (LSI name)'!Q36,"Analog*")&gt;0,'＠MFP (LSI name)'!Q36,OFFSET('＠グループ、表示名'!$H$4,MATCH('＠MFP (LSI name)'!Q36,'＠グループ、表示名'!$D$4:$D$250,0)-1,0)))</f>
        <v/>
      </c>
      <c r="R36" s="69" t="str">
        <f ca="1">IF('＠MFP (LSI name)'!R36="","",IF(COUNTIF('＠MFP (LSI name)'!R36,"Serial*")+COUNTIF('＠MFP (LSI name)'!R36,"Analog*")&gt;0,'＠MFP (LSI name)'!R36,OFFSET('＠グループ、表示名'!$H$4,MATCH('＠MFP (LSI name)'!R36,'＠グループ、表示名'!$D$4:$D$250,0)-1,0)))</f>
        <v/>
      </c>
      <c r="S36" s="69" t="str">
        <f ca="1">IF('＠MFP (LSI name)'!S36="","",IF(COUNTIF('＠MFP (LSI name)'!S36,"Serial*")+COUNTIF('＠MFP (LSI name)'!S36,"Analog*")&gt;0,'＠MFP (LSI name)'!S36,OFFSET('＠グループ、表示名'!$H$4,MATCH('＠MFP (LSI name)'!S36,'＠グループ、表示名'!$D$4:$D$250,0)-1,0)))</f>
        <v/>
      </c>
      <c r="T36" s="69" t="str">
        <f ca="1">IF('＠MFP (LSI name)'!T36="","",IF(COUNTIF('＠MFP (LSI name)'!T36,"Serial*")+COUNTIF('＠MFP (LSI name)'!T36,"Analog*")&gt;0,'＠MFP (LSI name)'!T36,OFFSET('＠グループ、表示名'!$H$4,MATCH('＠MFP (LSI name)'!T36,'＠グループ、表示名'!$D$4:$D$250,0)-1,0)))</f>
        <v/>
      </c>
      <c r="U36" s="69" t="str">
        <f ca="1">IF('＠MFP (LSI name)'!U36="","",IF(COUNTIF('＠MFP (LSI name)'!U36,"Serial*")+COUNTIF('＠MFP (LSI name)'!U36,"Analog*")&gt;0,'＠MFP (LSI name)'!U36,OFFSET('＠グループ、表示名'!$H$4,MATCH('＠MFP (LSI name)'!U36,'＠グループ、表示名'!$D$4:$D$250,0)-1,0)))</f>
        <v/>
      </c>
      <c r="V36" s="69" t="str">
        <f ca="1">IF('＠MFP (LSI name)'!V36="","",IF(COUNTIF('＠MFP (LSI name)'!V36,"Serial*")+COUNTIF('＠MFP (LSI name)'!V36,"Analog*")&gt;0,'＠MFP (LSI name)'!V36,OFFSET('＠グループ、表示名'!$H$4,MATCH('＠MFP (LSI name)'!V36,'＠グループ、表示名'!$D$4:$D$250,0)-1,0)))</f>
        <v/>
      </c>
      <c r="W36" s="18" t="str">
        <f ca="1">IF('＠MFP (LSI name)'!W36="","",IF(COUNTIF('＠MFP (LSI name)'!W36,"Serial*")+COUNTIF('＠MFP (LSI name)'!W36,"Analog*")&gt;0,'＠MFP (LSI name)'!W36,OFFSET('＠グループ、表示名'!$H$4,MATCH('＠MFP (LSI name)'!W36,'＠グループ、表示名'!$D$4:$D$250,0)-1,0)))</f>
        <v/>
      </c>
      <c r="X36" s="18" t="str">
        <f ca="1">IF('＠MFP (LSI name)'!X36="","",IF(COUNTIF('＠MFP (LSI name)'!X36,"Serial*")+COUNTIF('＠MFP (LSI name)'!X36,"Analog*")&gt;0,'＠MFP (LSI name)'!X36,OFFSET('＠グループ、表示名'!$H$4,MATCH('＠MFP (LSI name)'!X36,'＠グループ、表示名'!$D$4:$D$250,0)-1,0)))</f>
        <v/>
      </c>
      <c r="Y36" s="18" t="str">
        <f ca="1">IF('＠MFP (LSI name)'!Y36="","",IF(COUNTIF('＠MFP (LSI name)'!Y36,"Serial*")+COUNTIF('＠MFP (LSI name)'!Y36,"Analog*")&gt;0,'＠MFP (LSI name)'!Y36,OFFSET('＠グループ、表示名'!$H$4,MATCH('＠MFP (LSI name)'!Y36,'＠グループ、表示名'!$D$4:$D$250,0)-1,0)))</f>
        <v/>
      </c>
      <c r="Z36" s="18" t="str">
        <f ca="1">IF('＠MFP (LSI name)'!Z36="","",IF(COUNTIF('＠MFP (LSI name)'!Z36,"Serial*")+COUNTIF('＠MFP (LSI name)'!Z36,"Analog*")&gt;0,'＠MFP (LSI name)'!Z36,OFFSET('＠グループ、表示名'!$H$4,MATCH('＠MFP (LSI name)'!Z36,'＠グループ、表示名'!$D$4:$D$250,0)-1,0)))</f>
        <v/>
      </c>
      <c r="AA36" s="69" t="str">
        <f ca="1">IF('＠MFP (LSI name)'!AA36="","",IF(COUNTIF('＠MFP (LSI name)'!AA36,"Serial*")+COUNTIF('＠MFP (LSI name)'!AA36,"Analog*")&gt;0,'＠MFP (LSI name)'!AA36,OFFSET('＠グループ、表示名'!$H$4,MATCH('＠MFP (LSI name)'!AA36,'＠グループ、表示名'!$D$4:$D$250,0)-1,0)))</f>
        <v/>
      </c>
      <c r="AB36" s="69" t="str">
        <f ca="1">IF('＠MFP (LSI name)'!AB36="","",IF(COUNTIF('＠MFP (LSI name)'!AB36,"Serial*")+COUNTIF('＠MFP (LSI name)'!AB36,"Analog*")&gt;0,'＠MFP (LSI name)'!AB36,OFFSET('＠グループ、表示名'!$H$4,MATCH('＠MFP (LSI name)'!AB36,'＠グループ、表示名'!$D$4:$D$250,0)-1,0)))</f>
        <v/>
      </c>
      <c r="AC36" s="18" t="str">
        <f ca="1">IF('＠MFP (LSI name)'!AC36="","",IF(COUNTIF('＠MFP (LSI name)'!AC36,"Serial*")+COUNTIF('＠MFP (LSI name)'!AC36,"Analog*")&gt;0,'＠MFP (LSI name)'!AC36,OFFSET('＠グループ、表示名'!$H$4,MATCH('＠MFP (LSI name)'!AC36,'＠グループ、表示名'!$D$4:$D$250,0)-1,0)))</f>
        <v/>
      </c>
      <c r="AD36" s="18" t="str">
        <f ca="1">IF('＠MFP (LSI name)'!AD36="","",IF(COUNTIF('＠MFP (LSI name)'!AD36,"Serial*")+COUNTIF('＠MFP (LSI name)'!AD36,"Analog*")&gt;0,'＠MFP (LSI name)'!AD36,OFFSET('＠グループ、表示名'!$H$4,MATCH('＠MFP (LSI name)'!AD36,'＠グループ、表示名'!$D$4:$D$250,0)-1,0)))</f>
        <v/>
      </c>
      <c r="AE36" s="18" t="str">
        <f ca="1">IF('＠MFP (LSI name)'!AE36="","",IF(COUNTIF('＠MFP (LSI name)'!AE36,"Serial*")+COUNTIF('＠MFP (LSI name)'!AE36,"Analog*")&gt;0,'＠MFP (LSI name)'!AE36,OFFSET('＠グループ、表示名'!$H$4,MATCH('＠MFP (LSI name)'!AE36,'＠グループ、表示名'!$D$4:$D$250,0)-1,0)))</f>
        <v/>
      </c>
      <c r="AF36" s="69" t="str">
        <f ca="1">IF('＠MFP (LSI name)'!AF36="","",IF(COUNTIF('＠MFP (LSI name)'!AF36,"Serial*")+COUNTIF('＠MFP (LSI name)'!AF36,"Analog*")&gt;0,'＠MFP (LSI name)'!AF36,OFFSET('＠グループ、表示名'!$H$4,MATCH('＠MFP (LSI name)'!AF36,'＠グループ、表示名'!$D$4:$D$250,0)-1,0)))</f>
        <v/>
      </c>
      <c r="AG36" s="69" t="str">
        <f ca="1">IF('＠MFP (LSI name)'!AG36="","",IF(COUNTIF('＠MFP (LSI name)'!AG36,"Serial*")+COUNTIF('＠MFP (LSI name)'!AG36,"Analog*")&gt;0,'＠MFP (LSI name)'!AG36,OFFSET('＠グループ、表示名'!$H$4,MATCH('＠MFP (LSI name)'!AG36,'＠グループ、表示名'!$D$4:$D$250,0)-1,0)))</f>
        <v/>
      </c>
      <c r="AH36" s="18" t="str">
        <f ca="1">IF('＠MFP (LSI name)'!AH36="","",IF(COUNTIF('＠MFP (LSI name)'!AH36,"Serial*")+COUNTIF('＠MFP (LSI name)'!AH36,"Analog*")&gt;0,'＠MFP (LSI name)'!AH36,OFFSET('＠グループ、表示名'!$H$4,MATCH('＠MFP (LSI name)'!AH36,'＠グループ、表示名'!$D$4:$D$250,0)-1,0)))</f>
        <v/>
      </c>
      <c r="AI36" s="18" t="str">
        <f ca="1">IF('＠MFP (LSI name)'!AI36="","",IF(COUNTIF('＠MFP (LSI name)'!AI36,"Serial*")+COUNTIF('＠MFP (LSI name)'!AI36,"Analog*")&gt;0,'＠MFP (LSI name)'!AI36,OFFSET('＠グループ、表示名'!$H$4,MATCH('＠MFP (LSI name)'!AI36,'＠グループ、表示名'!$D$4:$D$250,0)-1,0)))</f>
        <v/>
      </c>
      <c r="AJ36" s="18" t="str">
        <f ca="1">IF('＠MFP (LSI name)'!AJ36="","",IF(COUNTIF('＠MFP (LSI name)'!AJ36,"Serial*")+COUNTIF('＠MFP (LSI name)'!AJ36,"Analog*")&gt;0,'＠MFP (LSI name)'!AJ36,OFFSET('＠グループ、表示名'!$H$4,MATCH('＠MFP (LSI name)'!AJ36,'＠グループ、表示名'!$D$4:$D$250,0)-1,0)))</f>
        <v/>
      </c>
      <c r="AK36" s="69" t="str">
        <f ca="1">IF('＠MFP (LSI name)'!AK36="","",IF(COUNTIF('＠MFP (LSI name)'!AK36,"Serial*")+COUNTIF('＠MFP (LSI name)'!AK36,"Analog*")&gt;0,'＠MFP (LSI name)'!AK36,OFFSET('＠グループ、表示名'!$H$4,MATCH('＠MFP (LSI name)'!AK36,'＠グループ、表示名'!$D$4:$D$250,0)-1,0)))</f>
        <v/>
      </c>
      <c r="AL36" s="9" t="str">
        <f t="shared" si="4"/>
        <v/>
      </c>
      <c r="AM36" s="9" t="str">
        <f t="shared" si="5"/>
        <v/>
      </c>
      <c r="AN36" s="9" t="str">
        <f t="shared" si="6"/>
        <v/>
      </c>
      <c r="AO36" s="9" t="str">
        <f t="shared" si="7"/>
        <v/>
      </c>
      <c r="AP36" s="86"/>
    </row>
    <row r="37" spans="1:42" ht="16.149999999999999">
      <c r="A37" s="61">
        <v>32</v>
      </c>
      <c r="B37" s="7">
        <v>32</v>
      </c>
      <c r="C37" s="7">
        <v>26</v>
      </c>
      <c r="D37" s="87">
        <v>20</v>
      </c>
      <c r="E37" s="87">
        <v>14</v>
      </c>
      <c r="F37" s="7">
        <v>32</v>
      </c>
      <c r="G37" s="7">
        <v>26</v>
      </c>
      <c r="H37" s="87">
        <v>20</v>
      </c>
      <c r="I37" s="45" t="s">
        <v>49</v>
      </c>
      <c r="J37" s="45" t="s">
        <v>50</v>
      </c>
      <c r="K37" s="69" t="str">
        <f ca="1">IF('＠MFP (LSI name)'!K37="","",IF(COUNTIF('＠MFP (LSI name)'!K37,"Serial*")+COUNTIF('＠MFP (LSI name)'!K37,"Analog*")&gt;0,'＠MFP (LSI name)'!K37,OFFSET('＠グループ、表示名'!$H$4,MATCH('＠MFP (LSI name)'!K37,'＠グループ、表示名'!$D$4:$D$250,0)-1,0)))</f>
        <v>GPWM6_GPWM60</v>
      </c>
      <c r="L37" s="69" t="str">
        <f ca="1">IF('＠MFP (LSI name)'!L37="","",IF(COUNTIF('＠MFP (LSI name)'!L37,"Serial*")+COUNTIF('＠MFP (LSI name)'!L37,"Analog*")&gt;0,'＠MFP (LSI name)'!L37,OFFSET('＠グループ、表示名'!$H$4,MATCH('＠MFP (LSI name)'!L37,'＠グループ、表示名'!$D$4:$D$250,0)-1,0)))</f>
        <v>TM10A</v>
      </c>
      <c r="M37" s="18" t="str">
        <f ca="1">IF('＠MFP (LSI name)'!M37="","",IF(COUNTIF('＠MFP (LSI name)'!M37,"Serial*")+COUNTIF('＠MFP (LSI name)'!M37,"Analog*")&gt;0,'＠MFP (LSI name)'!M37,OFFSET('＠グループ、表示名'!$H$4,MATCH('＠MFP (LSI name)'!M37,'＠グループ、表示名'!$D$4:$D$250,0)-1,0)))</f>
        <v>SIF2_SBT2</v>
      </c>
      <c r="N37" s="18" t="str">
        <f ca="1">IF('＠MFP (LSI name)'!N37="","",IF(COUNTIF('＠MFP (LSI name)'!N37,"Serial*")+COUNTIF('＠MFP (LSI name)'!N37,"Analog*")&gt;0,'＠MFP (LSI name)'!N37,OFFSET('＠グループ、表示名'!$H$4,MATCH('＠MFP (LSI name)'!N37,'＠グループ、表示名'!$D$4:$D$250,0)-1,0)))</f>
        <v>SIF3_SBT3</v>
      </c>
      <c r="O37" s="69" t="str">
        <f ca="1">IF('＠MFP (LSI name)'!O37="","",IF(COUNTIF('＠MFP (LSI name)'!O37,"Serial*")+COUNTIF('＠MFP (LSI name)'!O37,"Analog*")&gt;0,'＠MFP (LSI name)'!O37,OFFSET('＠グループ、表示名'!$H$4,MATCH('＠MFP (LSI name)'!O37,'＠グループ、表示名'!$D$4:$D$250,0)-1,0)))</f>
        <v>CKMREF</v>
      </c>
      <c r="P37" s="69" t="str">
        <f ca="1">IF('＠MFP (LSI name)'!P37="","",IF(COUNTIF('＠MFP (LSI name)'!P37,"Serial*")+COUNTIF('＠MFP (LSI name)'!P37,"Analog*")&gt;0,'＠MFP (LSI name)'!P37,OFFSET('＠グループ、表示名'!$H$4,MATCH('＠MFP (LSI name)'!P37,'＠グループ、表示名'!$D$4:$D$250,0)-1,0)))</f>
        <v/>
      </c>
      <c r="Q37" s="69" t="str">
        <f ca="1">IF('＠MFP (LSI name)'!Q37="","",IF(COUNTIF('＠MFP (LSI name)'!Q37,"Serial*")+COUNTIF('＠MFP (LSI name)'!Q37,"Analog*")&gt;0,'＠MFP (LSI name)'!Q37,OFFSET('＠グループ、表示名'!$H$4,MATCH('＠MFP (LSI name)'!Q37,'＠グループ、表示名'!$D$4:$D$250,0)-1,0)))</f>
        <v/>
      </c>
      <c r="R37" s="69" t="str">
        <f ca="1">IF('＠MFP (LSI name)'!R37="","",IF(COUNTIF('＠MFP (LSI name)'!R37,"Serial*")+COUNTIF('＠MFP (LSI name)'!R37,"Analog*")&gt;0,'＠MFP (LSI name)'!R37,OFFSET('＠グループ、表示名'!$H$4,MATCH('＠MFP (LSI name)'!R37,'＠グループ、表示名'!$D$4:$D$250,0)-1,0)))</f>
        <v/>
      </c>
      <c r="S37" s="69" t="str">
        <f ca="1">IF('＠MFP (LSI name)'!S37="","",IF(COUNTIF('＠MFP (LSI name)'!S37,"Serial*")+COUNTIF('＠MFP (LSI name)'!S37,"Analog*")&gt;0,'＠MFP (LSI name)'!S37,OFFSET('＠グループ、表示名'!$H$4,MATCH('＠MFP (LSI name)'!S37,'＠グループ、表示名'!$D$4:$D$250,0)-1,0)))</f>
        <v/>
      </c>
      <c r="T37" s="69" t="str">
        <f ca="1">IF('＠MFP (LSI name)'!T37="","",IF(COUNTIF('＠MFP (LSI name)'!T37,"Serial*")+COUNTIF('＠MFP (LSI name)'!T37,"Analog*")&gt;0,'＠MFP (LSI name)'!T37,OFFSET('＠グループ、表示名'!$H$4,MATCH('＠MFP (LSI name)'!T37,'＠グループ、表示名'!$D$4:$D$250,0)-1,0)))</f>
        <v/>
      </c>
      <c r="U37" s="69" t="str">
        <f ca="1">IF('＠MFP (LSI name)'!U37="","",IF(COUNTIF('＠MFP (LSI name)'!U37,"Serial*")+COUNTIF('＠MFP (LSI name)'!U37,"Analog*")&gt;0,'＠MFP (LSI name)'!U37,OFFSET('＠グループ、表示名'!$H$4,MATCH('＠MFP (LSI name)'!U37,'＠グループ、表示名'!$D$4:$D$250,0)-1,0)))</f>
        <v/>
      </c>
      <c r="V37" s="18" t="str">
        <f ca="1">IF('＠MFP (LSI name)'!V37="","",IF(COUNTIF('＠MFP (LSI name)'!V37,"Serial*")+COUNTIF('＠MFP (LSI name)'!V37,"Analog*")&gt;0,'＠MFP (LSI name)'!V37,OFFSET('＠グループ、表示名'!$H$4,MATCH('＠MFP (LSI name)'!V37,'＠グループ、表示名'!$D$4:$D$250,0)-1,0)))</f>
        <v/>
      </c>
      <c r="W37" s="18" t="str">
        <f ca="1">IF('＠MFP (LSI name)'!W37="","",IF(COUNTIF('＠MFP (LSI name)'!W37,"Serial*")+COUNTIF('＠MFP (LSI name)'!W37,"Analog*")&gt;0,'＠MFP (LSI name)'!W37,OFFSET('＠グループ、表示名'!$H$4,MATCH('＠MFP (LSI name)'!W37,'＠グループ、表示名'!$D$4:$D$250,0)-1,0)))</f>
        <v/>
      </c>
      <c r="X37" s="18" t="str">
        <f ca="1">IF('＠MFP (LSI name)'!X37="","",IF(COUNTIF('＠MFP (LSI name)'!X37,"Serial*")+COUNTIF('＠MFP (LSI name)'!X37,"Analog*")&gt;0,'＠MFP (LSI name)'!X37,OFFSET('＠グループ、表示名'!$H$4,MATCH('＠MFP (LSI name)'!X37,'＠グループ、表示名'!$D$4:$D$250,0)-1,0)))</f>
        <v/>
      </c>
      <c r="Y37" s="18" t="str">
        <f ca="1">IF('＠MFP (LSI name)'!Y37="","",IF(COUNTIF('＠MFP (LSI name)'!Y37,"Serial*")+COUNTIF('＠MFP (LSI name)'!Y37,"Analog*")&gt;0,'＠MFP (LSI name)'!Y37,OFFSET('＠グループ、表示名'!$H$4,MATCH('＠MFP (LSI name)'!Y37,'＠グループ、表示名'!$D$4:$D$250,0)-1,0)))</f>
        <v/>
      </c>
      <c r="Z37" s="18" t="str">
        <f ca="1">IF('＠MFP (LSI name)'!Z37="","",IF(COUNTIF('＠MFP (LSI name)'!Z37,"Serial*")+COUNTIF('＠MFP (LSI name)'!Z37,"Analog*")&gt;0,'＠MFP (LSI name)'!Z37,OFFSET('＠グループ、表示名'!$H$4,MATCH('＠MFP (LSI name)'!Z37,'＠グループ、表示名'!$D$4:$D$250,0)-1,0)))</f>
        <v/>
      </c>
      <c r="AA37" s="69" t="str">
        <f ca="1">IF('＠MFP (LSI name)'!AA37="","",IF(COUNTIF('＠MFP (LSI name)'!AA37,"Serial*")+COUNTIF('＠MFP (LSI name)'!AA37,"Analog*")&gt;0,'＠MFP (LSI name)'!AA37,OFFSET('＠グループ、表示名'!$H$4,MATCH('＠MFP (LSI name)'!AA37,'＠グループ、表示名'!$D$4:$D$250,0)-1,0)))</f>
        <v/>
      </c>
      <c r="AB37" s="18" t="str">
        <f ca="1">IF('＠MFP (LSI name)'!AB37="","",IF(COUNTIF('＠MFP (LSI name)'!AB37,"Serial*")+COUNTIF('＠MFP (LSI name)'!AB37,"Analog*")&gt;0,'＠MFP (LSI name)'!AB37,OFFSET('＠グループ、表示名'!$H$4,MATCH('＠MFP (LSI name)'!AB37,'＠グループ、表示名'!$D$4:$D$250,0)-1,0)))</f>
        <v/>
      </c>
      <c r="AC37" s="18" t="str">
        <f ca="1">IF('＠MFP (LSI name)'!AC37="","",IF(COUNTIF('＠MFP (LSI name)'!AC37,"Serial*")+COUNTIF('＠MFP (LSI name)'!AC37,"Analog*")&gt;0,'＠MFP (LSI name)'!AC37,OFFSET('＠グループ、表示名'!$H$4,MATCH('＠MFP (LSI name)'!AC37,'＠グループ、表示名'!$D$4:$D$250,0)-1,0)))</f>
        <v/>
      </c>
      <c r="AD37" s="18" t="str">
        <f ca="1">IF('＠MFP (LSI name)'!AD37="","",IF(COUNTIF('＠MFP (LSI name)'!AD37,"Serial*")+COUNTIF('＠MFP (LSI name)'!AD37,"Analog*")&gt;0,'＠MFP (LSI name)'!AD37,OFFSET('＠グループ、表示名'!$H$4,MATCH('＠MFP (LSI name)'!AD37,'＠グループ、表示名'!$D$4:$D$250,0)-1,0)))</f>
        <v/>
      </c>
      <c r="AE37" s="18" t="str">
        <f ca="1">IF('＠MFP (LSI name)'!AE37="","",IF(COUNTIF('＠MFP (LSI name)'!AE37,"Serial*")+COUNTIF('＠MFP (LSI name)'!AE37,"Analog*")&gt;0,'＠MFP (LSI name)'!AE37,OFFSET('＠グループ、表示名'!$H$4,MATCH('＠MFP (LSI name)'!AE37,'＠グループ、表示名'!$D$4:$D$250,0)-1,0)))</f>
        <v/>
      </c>
      <c r="AF37" s="69" t="str">
        <f ca="1">IF('＠MFP (LSI name)'!AF37="","",IF(COUNTIF('＠MFP (LSI name)'!AF37,"Serial*")+COUNTIF('＠MFP (LSI name)'!AF37,"Analog*")&gt;0,'＠MFP (LSI name)'!AF37,OFFSET('＠グループ、表示名'!$H$4,MATCH('＠MFP (LSI name)'!AF37,'＠グループ、表示名'!$D$4:$D$250,0)-1,0)))</f>
        <v/>
      </c>
      <c r="AG37" s="18" t="str">
        <f ca="1">IF('＠MFP (LSI name)'!AG37="","",IF(COUNTIF('＠MFP (LSI name)'!AG37,"Serial*")+COUNTIF('＠MFP (LSI name)'!AG37,"Analog*")&gt;0,'＠MFP (LSI name)'!AG37,OFFSET('＠グループ、表示名'!$H$4,MATCH('＠MFP (LSI name)'!AG37,'＠グループ、表示名'!$D$4:$D$250,0)-1,0)))</f>
        <v/>
      </c>
      <c r="AH37" s="18" t="str">
        <f ca="1">IF('＠MFP (LSI name)'!AH37="","",IF(COUNTIF('＠MFP (LSI name)'!AH37,"Serial*")+COUNTIF('＠MFP (LSI name)'!AH37,"Analog*")&gt;0,'＠MFP (LSI name)'!AH37,OFFSET('＠グループ、表示名'!$H$4,MATCH('＠MFP (LSI name)'!AH37,'＠グループ、表示名'!$D$4:$D$250,0)-1,0)))</f>
        <v/>
      </c>
      <c r="AI37" s="18" t="str">
        <f ca="1">IF('＠MFP (LSI name)'!AI37="","",IF(COUNTIF('＠MFP (LSI name)'!AI37,"Serial*")+COUNTIF('＠MFP (LSI name)'!AI37,"Analog*")&gt;0,'＠MFP (LSI name)'!AI37,OFFSET('＠グループ、表示名'!$H$4,MATCH('＠MFP (LSI name)'!AI37,'＠グループ、表示名'!$D$4:$D$250,0)-1,0)))</f>
        <v/>
      </c>
      <c r="AJ37" s="18" t="str">
        <f ca="1">IF('＠MFP (LSI name)'!AJ37="","",IF(COUNTIF('＠MFP (LSI name)'!AJ37,"Serial*")+COUNTIF('＠MFP (LSI name)'!AJ37,"Analog*")&gt;0,'＠MFP (LSI name)'!AJ37,OFFSET('＠グループ、表示名'!$H$4,MATCH('＠MFP (LSI name)'!AJ37,'＠グループ、表示名'!$D$4:$D$250,0)-1,0)))</f>
        <v/>
      </c>
      <c r="AK37" s="69" t="str">
        <f ca="1">IF('＠MFP (LSI name)'!AK37="","",IF(COUNTIF('＠MFP (LSI name)'!AK37,"Serial*")+COUNTIF('＠MFP (LSI name)'!AK37,"Analog*")&gt;0,'＠MFP (LSI name)'!AK37,OFFSET('＠グループ、表示名'!$H$4,MATCH('＠MFP (LSI name)'!AK37,'＠グループ、表示名'!$D$4:$D$250,0)-1,0)))</f>
        <v/>
      </c>
      <c r="AL37" s="9" t="str">
        <f t="shared" si="4"/>
        <v>IOPBMD[15]</v>
      </c>
      <c r="AM37" s="9" t="str">
        <f t="shared" si="5"/>
        <v>IOPBMD[14]</v>
      </c>
      <c r="AN37" s="9" t="str">
        <f t="shared" si="6"/>
        <v>IOPBMD[13]</v>
      </c>
      <c r="AO37" s="9" t="str">
        <f t="shared" si="7"/>
        <v>IOPBMD[12]</v>
      </c>
      <c r="AP37" s="86"/>
    </row>
    <row r="38" spans="1:42" ht="16.149999999999999">
      <c r="A38" s="61">
        <v>33</v>
      </c>
      <c r="B38" s="7">
        <v>33</v>
      </c>
      <c r="C38" s="7">
        <v>27</v>
      </c>
      <c r="D38" s="87">
        <v>21</v>
      </c>
      <c r="E38" s="87">
        <v>15</v>
      </c>
      <c r="F38" s="7">
        <v>33</v>
      </c>
      <c r="G38" s="7">
        <v>27</v>
      </c>
      <c r="H38" s="87">
        <v>21</v>
      </c>
      <c r="I38" s="45" t="s">
        <v>60</v>
      </c>
      <c r="J38" s="45" t="s">
        <v>61</v>
      </c>
      <c r="K38" s="69" t="str">
        <f ca="1">IF('＠MFP (LSI name)'!K38="","",IF(COUNTIF('＠MFP (LSI name)'!K38,"Serial*")+COUNTIF('＠MFP (LSI name)'!K38,"Analog*")&gt;0,'＠MFP (LSI name)'!K38,OFFSET('＠グループ、表示名'!$H$4,MATCH('＠MFP (LSI name)'!K38,'＠グループ、表示名'!$D$4:$D$250,0)-1,0)))</f>
        <v>IRQ30</v>
      </c>
      <c r="L38" s="69" t="str">
        <f ca="1">IF('＠MFP (LSI name)'!L38="","",IF(COUNTIF('＠MFP (LSI name)'!L38,"Serial*")+COUNTIF('＠MFP (LSI name)'!L38,"Analog*")&gt;0,'＠MFP (LSI name)'!L38,OFFSET('＠グループ、表示名'!$H$4,MATCH('＠MFP (LSI name)'!L38,'＠グループ、表示名'!$D$4:$D$250,0)-1,0)))</f>
        <v>TM10B</v>
      </c>
      <c r="M38" s="18" t="str">
        <f ca="1">IF('＠MFP (LSI name)'!M38="","",IF(COUNTIF('＠MFP (LSI name)'!M38,"Serial*")+COUNTIF('＠MFP (LSI name)'!M38,"Analog*")&gt;0,'＠MFP (LSI name)'!M38,OFFSET('＠グループ、表示名'!$H$4,MATCH('＠MFP (LSI name)'!M38,'＠グループ、表示名'!$D$4:$D$250,0)-1,0)))</f>
        <v>SIF2_SBI2</v>
      </c>
      <c r="N38" s="18" t="str">
        <f ca="1">IF('＠MFP (LSI name)'!N38="","",IF(COUNTIF('＠MFP (LSI name)'!N38,"Serial*")+COUNTIF('＠MFP (LSI name)'!N38,"Analog*")&gt;0,'＠MFP (LSI name)'!N38,OFFSET('＠グループ、表示名'!$H$4,MATCH('＠MFP (LSI name)'!N38,'＠グループ、表示名'!$D$4:$D$250,0)-1,0)))</f>
        <v>SIF2_SBO2</v>
      </c>
      <c r="O38" s="69" t="str">
        <f ca="1">IF('＠MFP (LSI name)'!O38="","",IF(COUNTIF('＠MFP (LSI name)'!O38,"Serial*")+COUNTIF('＠MFP (LSI name)'!O38,"Analog*")&gt;0,'＠MFP (LSI name)'!O38,OFFSET('＠グループ、表示名'!$H$4,MATCH('＠MFP (LSI name)'!O38,'＠グループ、表示名'!$D$4:$D$250,0)-1,0)))</f>
        <v/>
      </c>
      <c r="P38" s="69" t="str">
        <f ca="1">IF('＠MFP (LSI name)'!P38="","",IF(COUNTIF('＠MFP (LSI name)'!P38,"Serial*")+COUNTIF('＠MFP (LSI name)'!P38,"Analog*")&gt;0,'＠MFP (LSI name)'!P38,OFFSET('＠グループ、表示名'!$H$4,MATCH('＠MFP (LSI name)'!P38,'＠グループ、表示名'!$D$4:$D$250,0)-1,0)))</f>
        <v/>
      </c>
      <c r="Q38" s="69" t="str">
        <f ca="1">IF('＠MFP (LSI name)'!Q38="","",IF(COUNTIF('＠MFP (LSI name)'!Q38,"Serial*")+COUNTIF('＠MFP (LSI name)'!Q38,"Analog*")&gt;0,'＠MFP (LSI name)'!Q38,OFFSET('＠グループ、表示名'!$H$4,MATCH('＠MFP (LSI name)'!Q38,'＠グループ、表示名'!$D$4:$D$250,0)-1,0)))</f>
        <v/>
      </c>
      <c r="R38" s="69" t="str">
        <f ca="1">IF('＠MFP (LSI name)'!R38="","",IF(COUNTIF('＠MFP (LSI name)'!R38,"Serial*")+COUNTIF('＠MFP (LSI name)'!R38,"Analog*")&gt;0,'＠MFP (LSI name)'!R38,OFFSET('＠グループ、表示名'!$H$4,MATCH('＠MFP (LSI name)'!R38,'＠グループ、表示名'!$D$4:$D$250,0)-1,0)))</f>
        <v/>
      </c>
      <c r="S38" s="69" t="str">
        <f ca="1">IF('＠MFP (LSI name)'!S38="","",IF(COUNTIF('＠MFP (LSI name)'!S38,"Serial*")+COUNTIF('＠MFP (LSI name)'!S38,"Analog*")&gt;0,'＠MFP (LSI name)'!S38,OFFSET('＠グループ、表示名'!$H$4,MATCH('＠MFP (LSI name)'!S38,'＠グループ、表示名'!$D$4:$D$250,0)-1,0)))</f>
        <v/>
      </c>
      <c r="T38" s="69" t="str">
        <f ca="1">IF('＠MFP (LSI name)'!T38="","",IF(COUNTIF('＠MFP (LSI name)'!T38,"Serial*")+COUNTIF('＠MFP (LSI name)'!T38,"Analog*")&gt;0,'＠MFP (LSI name)'!T38,OFFSET('＠グループ、表示名'!$H$4,MATCH('＠MFP (LSI name)'!T38,'＠グループ、表示名'!$D$4:$D$250,0)-1,0)))</f>
        <v/>
      </c>
      <c r="U38" s="69" t="str">
        <f ca="1">IF('＠MFP (LSI name)'!U38="","",IF(COUNTIF('＠MFP (LSI name)'!U38,"Serial*")+COUNTIF('＠MFP (LSI name)'!U38,"Analog*")&gt;0,'＠MFP (LSI name)'!U38,OFFSET('＠グループ、表示名'!$H$4,MATCH('＠MFP (LSI name)'!U38,'＠グループ、表示名'!$D$4:$D$250,0)-1,0)))</f>
        <v/>
      </c>
      <c r="V38" s="69" t="str">
        <f ca="1">IF('＠MFP (LSI name)'!V38="","",IF(COUNTIF('＠MFP (LSI name)'!V38,"Serial*")+COUNTIF('＠MFP (LSI name)'!V38,"Analog*")&gt;0,'＠MFP (LSI name)'!V38,OFFSET('＠グループ、表示名'!$H$4,MATCH('＠MFP (LSI name)'!V38,'＠グループ、表示名'!$D$4:$D$250,0)-1,0)))</f>
        <v/>
      </c>
      <c r="W38" s="18" t="str">
        <f ca="1">IF('＠MFP (LSI name)'!W38="","",IF(COUNTIF('＠MFP (LSI name)'!W38,"Serial*")+COUNTIF('＠MFP (LSI name)'!W38,"Analog*")&gt;0,'＠MFP (LSI name)'!W38,OFFSET('＠グループ、表示名'!$H$4,MATCH('＠MFP (LSI name)'!W38,'＠グループ、表示名'!$D$4:$D$250,0)-1,0)))</f>
        <v/>
      </c>
      <c r="X38" s="18" t="str">
        <f ca="1">IF('＠MFP (LSI name)'!X38="","",IF(COUNTIF('＠MFP (LSI name)'!X38,"Serial*")+COUNTIF('＠MFP (LSI name)'!X38,"Analog*")&gt;0,'＠MFP (LSI name)'!X38,OFFSET('＠グループ、表示名'!$H$4,MATCH('＠MFP (LSI name)'!X38,'＠グループ、表示名'!$D$4:$D$250,0)-1,0)))</f>
        <v/>
      </c>
      <c r="Y38" s="18" t="str">
        <f ca="1">IF('＠MFP (LSI name)'!Y38="","",IF(COUNTIF('＠MFP (LSI name)'!Y38,"Serial*")+COUNTIF('＠MFP (LSI name)'!Y38,"Analog*")&gt;0,'＠MFP (LSI name)'!Y38,OFFSET('＠グループ、表示名'!$H$4,MATCH('＠MFP (LSI name)'!Y38,'＠グループ、表示名'!$D$4:$D$250,0)-1,0)))</f>
        <v/>
      </c>
      <c r="Z38" s="18" t="str">
        <f ca="1">IF('＠MFP (LSI name)'!Z38="","",IF(COUNTIF('＠MFP (LSI name)'!Z38,"Serial*")+COUNTIF('＠MFP (LSI name)'!Z38,"Analog*")&gt;0,'＠MFP (LSI name)'!Z38,OFFSET('＠グループ、表示名'!$H$4,MATCH('＠MFP (LSI name)'!Z38,'＠グループ、表示名'!$D$4:$D$250,0)-1,0)))</f>
        <v/>
      </c>
      <c r="AA38" s="69" t="str">
        <f ca="1">IF('＠MFP (LSI name)'!AA38="","",IF(COUNTIF('＠MFP (LSI name)'!AA38,"Serial*")+COUNTIF('＠MFP (LSI name)'!AA38,"Analog*")&gt;0,'＠MFP (LSI name)'!AA38,OFFSET('＠グループ、表示名'!$H$4,MATCH('＠MFP (LSI name)'!AA38,'＠グループ、表示名'!$D$4:$D$250,0)-1,0)))</f>
        <v/>
      </c>
      <c r="AB38" s="69" t="str">
        <f ca="1">IF('＠MFP (LSI name)'!AB38="","",IF(COUNTIF('＠MFP (LSI name)'!AB38,"Serial*")+COUNTIF('＠MFP (LSI name)'!AB38,"Analog*")&gt;0,'＠MFP (LSI name)'!AB38,OFFSET('＠グループ、表示名'!$H$4,MATCH('＠MFP (LSI name)'!AB38,'＠グループ、表示名'!$D$4:$D$250,0)-1,0)))</f>
        <v/>
      </c>
      <c r="AC38" s="18" t="str">
        <f ca="1">IF('＠MFP (LSI name)'!AC38="","",IF(COUNTIF('＠MFP (LSI name)'!AC38,"Serial*")+COUNTIF('＠MFP (LSI name)'!AC38,"Analog*")&gt;0,'＠MFP (LSI name)'!AC38,OFFSET('＠グループ、表示名'!$H$4,MATCH('＠MFP (LSI name)'!AC38,'＠グループ、表示名'!$D$4:$D$250,0)-1,0)))</f>
        <v/>
      </c>
      <c r="AD38" s="18" t="str">
        <f ca="1">IF('＠MFP (LSI name)'!AD38="","",IF(COUNTIF('＠MFP (LSI name)'!AD38,"Serial*")+COUNTIF('＠MFP (LSI name)'!AD38,"Analog*")&gt;0,'＠MFP (LSI name)'!AD38,OFFSET('＠グループ、表示名'!$H$4,MATCH('＠MFP (LSI name)'!AD38,'＠グループ、表示名'!$D$4:$D$250,0)-1,0)))</f>
        <v/>
      </c>
      <c r="AE38" s="18" t="str">
        <f ca="1">IF('＠MFP (LSI name)'!AE38="","",IF(COUNTIF('＠MFP (LSI name)'!AE38,"Serial*")+COUNTIF('＠MFP (LSI name)'!AE38,"Analog*")&gt;0,'＠MFP (LSI name)'!AE38,OFFSET('＠グループ、表示名'!$H$4,MATCH('＠MFP (LSI name)'!AE38,'＠グループ、表示名'!$D$4:$D$250,0)-1,0)))</f>
        <v/>
      </c>
      <c r="AF38" s="69" t="str">
        <f ca="1">IF('＠MFP (LSI name)'!AF38="","",IF(COUNTIF('＠MFP (LSI name)'!AF38,"Serial*")+COUNTIF('＠MFP (LSI name)'!AF38,"Analog*")&gt;0,'＠MFP (LSI name)'!AF38,OFFSET('＠グループ、表示名'!$H$4,MATCH('＠MFP (LSI name)'!AF38,'＠グループ、表示名'!$D$4:$D$250,0)-1,0)))</f>
        <v/>
      </c>
      <c r="AG38" s="69" t="str">
        <f ca="1">IF('＠MFP (LSI name)'!AG38="","",IF(COUNTIF('＠MFP (LSI name)'!AG38,"Serial*")+COUNTIF('＠MFP (LSI name)'!AG38,"Analog*")&gt;0,'＠MFP (LSI name)'!AG38,OFFSET('＠グループ、表示名'!$H$4,MATCH('＠MFP (LSI name)'!AG38,'＠グループ、表示名'!$D$4:$D$250,0)-1,0)))</f>
        <v/>
      </c>
      <c r="AH38" s="18" t="str">
        <f ca="1">IF('＠MFP (LSI name)'!AH38="","",IF(COUNTIF('＠MFP (LSI name)'!AH38,"Serial*")+COUNTIF('＠MFP (LSI name)'!AH38,"Analog*")&gt;0,'＠MFP (LSI name)'!AH38,OFFSET('＠グループ、表示名'!$H$4,MATCH('＠MFP (LSI name)'!AH38,'＠グループ、表示名'!$D$4:$D$250,0)-1,0)))</f>
        <v/>
      </c>
      <c r="AI38" s="18" t="str">
        <f ca="1">IF('＠MFP (LSI name)'!AI38="","",IF(COUNTIF('＠MFP (LSI name)'!AI38,"Serial*")+COUNTIF('＠MFP (LSI name)'!AI38,"Analog*")&gt;0,'＠MFP (LSI name)'!AI38,OFFSET('＠グループ、表示名'!$H$4,MATCH('＠MFP (LSI name)'!AI38,'＠グループ、表示名'!$D$4:$D$250,0)-1,0)))</f>
        <v/>
      </c>
      <c r="AJ38" s="18" t="str">
        <f ca="1">IF('＠MFP (LSI name)'!AJ38="","",IF(COUNTIF('＠MFP (LSI name)'!AJ38,"Serial*")+COUNTIF('＠MFP (LSI name)'!AJ38,"Analog*")&gt;0,'＠MFP (LSI name)'!AJ38,OFFSET('＠グループ、表示名'!$H$4,MATCH('＠MFP (LSI name)'!AJ38,'＠グループ、表示名'!$D$4:$D$250,0)-1,0)))</f>
        <v/>
      </c>
      <c r="AK38" s="69" t="str">
        <f ca="1">IF('＠MFP (LSI name)'!AK38="","",IF(COUNTIF('＠MFP (LSI name)'!AK38,"Serial*")+COUNTIF('＠MFP (LSI name)'!AK38,"Analog*")&gt;0,'＠MFP (LSI name)'!AK38,OFFSET('＠グループ、表示名'!$H$4,MATCH('＠MFP (LSI name)'!AK38,'＠グループ、表示名'!$D$4:$D$250,0)-1,0)))</f>
        <v/>
      </c>
      <c r="AL38" s="9" t="str">
        <f t="shared" si="4"/>
        <v>IOPBMD[11]</v>
      </c>
      <c r="AM38" s="9" t="str">
        <f t="shared" si="5"/>
        <v>IOPBMD[10]</v>
      </c>
      <c r="AN38" s="9" t="str">
        <f t="shared" si="6"/>
        <v>IOPBMD[9]</v>
      </c>
      <c r="AO38" s="9" t="str">
        <f t="shared" si="7"/>
        <v>IOPBMD[8]</v>
      </c>
      <c r="AP38" s="86"/>
    </row>
    <row r="39" spans="1:42" ht="16.149999999999999">
      <c r="A39" s="61">
        <v>34</v>
      </c>
      <c r="B39" s="7">
        <v>34</v>
      </c>
      <c r="C39" s="7">
        <v>28</v>
      </c>
      <c r="D39" s="87">
        <v>22</v>
      </c>
      <c r="E39" s="87">
        <v>16</v>
      </c>
      <c r="F39" s="7">
        <v>34</v>
      </c>
      <c r="G39" s="7">
        <v>28</v>
      </c>
      <c r="H39" s="87">
        <v>22</v>
      </c>
      <c r="I39" s="45" t="s">
        <v>91</v>
      </c>
      <c r="J39" s="45" t="s">
        <v>92</v>
      </c>
      <c r="K39" s="69" t="str">
        <f ca="1">IF('＠MFP (LSI name)'!K39="","",IF(COUNTIF('＠MFP (LSI name)'!K39,"Serial*")+COUNTIF('＠MFP (LSI name)'!K39,"Analog*")&gt;0,'＠MFP (LSI name)'!K39,OFFSET('＠グループ、表示名'!$H$4,MATCH('＠MFP (LSI name)'!K39,'＠グループ、表示名'!$D$4:$D$250,0)-1,0)))</f>
        <v>TM00B</v>
      </c>
      <c r="L39" s="69" t="str">
        <f ca="1">IF('＠MFP (LSI name)'!L39="","",IF(COUNTIF('＠MFP (LSI name)'!L39,"Serial*")+COUNTIF('＠MFP (LSI name)'!L39,"Analog*")&gt;0,'＠MFP (LSI name)'!L39,OFFSET('＠グループ、表示名'!$H$4,MATCH('＠MFP (LSI name)'!L39,'＠グループ、表示名'!$D$4:$D$250,0)-1,0)))</f>
        <v>TM11A</v>
      </c>
      <c r="M39" s="18" t="str">
        <f ca="1">IF('＠MFP (LSI name)'!M39="","",IF(COUNTIF('＠MFP (LSI name)'!M39,"Serial*")+COUNTIF('＠MFP (LSI name)'!M39,"Analog*")&gt;0,'＠MFP (LSI name)'!M39,OFFSET('＠グループ、表示名'!$H$4,MATCH('＠MFP (LSI name)'!M39,'＠グループ、表示名'!$D$4:$D$250,0)-1,0)))</f>
        <v>SIF2_SBI2</v>
      </c>
      <c r="N39" s="18" t="str">
        <f ca="1">IF('＠MFP (LSI name)'!N39="","",IF(COUNTIF('＠MFP (LSI name)'!N39,"Serial*")+COUNTIF('＠MFP (LSI name)'!N39,"Analog*")&gt;0,'＠MFP (LSI name)'!N39,OFFSET('＠グループ、表示名'!$H$4,MATCH('＠MFP (LSI name)'!N39,'＠グループ、表示名'!$D$4:$D$250,0)-1,0)))</f>
        <v>SIF2_SBO2</v>
      </c>
      <c r="O39" s="18" t="str">
        <f ca="1">IF('＠MFP (LSI name)'!O39="","",IF(COUNTIF('＠MFP (LSI name)'!O39,"Serial*")+COUNTIF('＠MFP (LSI name)'!O39,"Analog*")&gt;0,'＠MFP (LSI name)'!O39,OFFSET('＠グループ、表示名'!$H$4,MATCH('＠MFP (LSI name)'!O39,'＠グループ、表示名'!$D$4:$D$250,0)-1,0)))</f>
        <v>SIF2_SBT2</v>
      </c>
      <c r="P39" s="69" t="str">
        <f ca="1">IF('＠MFP (LSI name)'!P39="","",IF(COUNTIF('＠MFP (LSI name)'!P39,"Serial*")+COUNTIF('＠MFP (LSI name)'!P39,"Analog*")&gt;0,'＠MFP (LSI name)'!P39,OFFSET('＠グループ、表示名'!$H$4,MATCH('＠MFP (LSI name)'!P39,'＠グループ、表示名'!$D$4:$D$250,0)-1,0)))</f>
        <v/>
      </c>
      <c r="Q39" s="69" t="str">
        <f ca="1">IF('＠MFP (LSI name)'!Q39="","",IF(COUNTIF('＠MFP (LSI name)'!Q39,"Serial*")+COUNTIF('＠MFP (LSI name)'!Q39,"Analog*")&gt;0,'＠MFP (LSI name)'!Q39,OFFSET('＠グループ、表示名'!$H$4,MATCH('＠MFP (LSI name)'!Q39,'＠グループ、表示名'!$D$4:$D$250,0)-1,0)))</f>
        <v/>
      </c>
      <c r="R39" s="69" t="str">
        <f ca="1">IF('＠MFP (LSI name)'!R39="","",IF(COUNTIF('＠MFP (LSI name)'!R39,"Serial*")+COUNTIF('＠MFP (LSI name)'!R39,"Analog*")&gt;0,'＠MFP (LSI name)'!R39,OFFSET('＠グループ、表示名'!$H$4,MATCH('＠MFP (LSI name)'!R39,'＠グループ、表示名'!$D$4:$D$250,0)-1,0)))</f>
        <v/>
      </c>
      <c r="S39" s="69" t="str">
        <f ca="1">IF('＠MFP (LSI name)'!S39="","",IF(COUNTIF('＠MFP (LSI name)'!S39,"Serial*")+COUNTIF('＠MFP (LSI name)'!S39,"Analog*")&gt;0,'＠MFP (LSI name)'!S39,OFFSET('＠グループ、表示名'!$H$4,MATCH('＠MFP (LSI name)'!S39,'＠グループ、表示名'!$D$4:$D$250,0)-1,0)))</f>
        <v/>
      </c>
      <c r="T39" s="69" t="str">
        <f ca="1">IF('＠MFP (LSI name)'!T39="","",IF(COUNTIF('＠MFP (LSI name)'!T39,"Serial*")+COUNTIF('＠MFP (LSI name)'!T39,"Analog*")&gt;0,'＠MFP (LSI name)'!T39,OFFSET('＠グループ、表示名'!$H$4,MATCH('＠MFP (LSI name)'!T39,'＠グループ、表示名'!$D$4:$D$250,0)-1,0)))</f>
        <v/>
      </c>
      <c r="U39" s="69" t="str">
        <f ca="1">IF('＠MFP (LSI name)'!U39="","",IF(COUNTIF('＠MFP (LSI name)'!U39,"Serial*")+COUNTIF('＠MFP (LSI name)'!U39,"Analog*")&gt;0,'＠MFP (LSI name)'!U39,OFFSET('＠グループ、表示名'!$H$4,MATCH('＠MFP (LSI name)'!U39,'＠グループ、表示名'!$D$4:$D$250,0)-1,0)))</f>
        <v/>
      </c>
      <c r="V39" s="69" t="str">
        <f ca="1">IF('＠MFP (LSI name)'!V39="","",IF(COUNTIF('＠MFP (LSI name)'!V39,"Serial*")+COUNTIF('＠MFP (LSI name)'!V39,"Analog*")&gt;0,'＠MFP (LSI name)'!V39,OFFSET('＠グループ、表示名'!$H$4,MATCH('＠MFP (LSI name)'!V39,'＠グループ、表示名'!$D$4:$D$250,0)-1,0)))</f>
        <v/>
      </c>
      <c r="W39" s="18" t="str">
        <f ca="1">IF('＠MFP (LSI name)'!W39="","",IF(COUNTIF('＠MFP (LSI name)'!W39,"Serial*")+COUNTIF('＠MFP (LSI name)'!W39,"Analog*")&gt;0,'＠MFP (LSI name)'!W39,OFFSET('＠グループ、表示名'!$H$4,MATCH('＠MFP (LSI name)'!W39,'＠グループ、表示名'!$D$4:$D$250,0)-1,0)))</f>
        <v/>
      </c>
      <c r="X39" s="18" t="str">
        <f ca="1">IF('＠MFP (LSI name)'!X39="","",IF(COUNTIF('＠MFP (LSI name)'!X39,"Serial*")+COUNTIF('＠MFP (LSI name)'!X39,"Analog*")&gt;0,'＠MFP (LSI name)'!X39,OFFSET('＠グループ、表示名'!$H$4,MATCH('＠MFP (LSI name)'!X39,'＠グループ、表示名'!$D$4:$D$250,0)-1,0)))</f>
        <v/>
      </c>
      <c r="Y39" s="18" t="str">
        <f ca="1">IF('＠MFP (LSI name)'!Y39="","",IF(COUNTIF('＠MFP (LSI name)'!Y39,"Serial*")+COUNTIF('＠MFP (LSI name)'!Y39,"Analog*")&gt;0,'＠MFP (LSI name)'!Y39,OFFSET('＠グループ、表示名'!$H$4,MATCH('＠MFP (LSI name)'!Y39,'＠グループ、表示名'!$D$4:$D$250,0)-1,0)))</f>
        <v/>
      </c>
      <c r="Z39" s="18" t="str">
        <f ca="1">IF('＠MFP (LSI name)'!Z39="","",IF(COUNTIF('＠MFP (LSI name)'!Z39,"Serial*")+COUNTIF('＠MFP (LSI name)'!Z39,"Analog*")&gt;0,'＠MFP (LSI name)'!Z39,OFFSET('＠グループ、表示名'!$H$4,MATCH('＠MFP (LSI name)'!Z39,'＠グループ、表示名'!$D$4:$D$250,0)-1,0)))</f>
        <v/>
      </c>
      <c r="AA39" s="69" t="str">
        <f ca="1">IF('＠MFP (LSI name)'!AA39="","",IF(COUNTIF('＠MFP (LSI name)'!AA39,"Serial*")+COUNTIF('＠MFP (LSI name)'!AA39,"Analog*")&gt;0,'＠MFP (LSI name)'!AA39,OFFSET('＠グループ、表示名'!$H$4,MATCH('＠MFP (LSI name)'!AA39,'＠グループ、表示名'!$D$4:$D$250,0)-1,0)))</f>
        <v/>
      </c>
      <c r="AB39" s="69" t="str">
        <f ca="1">IF('＠MFP (LSI name)'!AB39="","",IF(COUNTIF('＠MFP (LSI name)'!AB39,"Serial*")+COUNTIF('＠MFP (LSI name)'!AB39,"Analog*")&gt;0,'＠MFP (LSI name)'!AB39,OFFSET('＠グループ、表示名'!$H$4,MATCH('＠MFP (LSI name)'!AB39,'＠グループ、表示名'!$D$4:$D$250,0)-1,0)))</f>
        <v/>
      </c>
      <c r="AC39" s="18" t="str">
        <f ca="1">IF('＠MFP (LSI name)'!AC39="","",IF(COUNTIF('＠MFP (LSI name)'!AC39,"Serial*")+COUNTIF('＠MFP (LSI name)'!AC39,"Analog*")&gt;0,'＠MFP (LSI name)'!AC39,OFFSET('＠グループ、表示名'!$H$4,MATCH('＠MFP (LSI name)'!AC39,'＠グループ、表示名'!$D$4:$D$250,0)-1,0)))</f>
        <v/>
      </c>
      <c r="AD39" s="18" t="str">
        <f ca="1">IF('＠MFP (LSI name)'!AD39="","",IF(COUNTIF('＠MFP (LSI name)'!AD39,"Serial*")+COUNTIF('＠MFP (LSI name)'!AD39,"Analog*")&gt;0,'＠MFP (LSI name)'!AD39,OFFSET('＠グループ、表示名'!$H$4,MATCH('＠MFP (LSI name)'!AD39,'＠グループ、表示名'!$D$4:$D$250,0)-1,0)))</f>
        <v/>
      </c>
      <c r="AE39" s="18" t="str">
        <f ca="1">IF('＠MFP (LSI name)'!AE39="","",IF(COUNTIF('＠MFP (LSI name)'!AE39,"Serial*")+COUNTIF('＠MFP (LSI name)'!AE39,"Analog*")&gt;0,'＠MFP (LSI name)'!AE39,OFFSET('＠グループ、表示名'!$H$4,MATCH('＠MFP (LSI name)'!AE39,'＠グループ、表示名'!$D$4:$D$250,0)-1,0)))</f>
        <v/>
      </c>
      <c r="AF39" s="69" t="str">
        <f ca="1">IF('＠MFP (LSI name)'!AF39="","",IF(COUNTIF('＠MFP (LSI name)'!AF39,"Serial*")+COUNTIF('＠MFP (LSI name)'!AF39,"Analog*")&gt;0,'＠MFP (LSI name)'!AF39,OFFSET('＠グループ、表示名'!$H$4,MATCH('＠MFP (LSI name)'!AF39,'＠グループ、表示名'!$D$4:$D$250,0)-1,0)))</f>
        <v/>
      </c>
      <c r="AG39" s="69" t="str">
        <f ca="1">IF('＠MFP (LSI name)'!AG39="","",IF(COUNTIF('＠MFP (LSI name)'!AG39,"Serial*")+COUNTIF('＠MFP (LSI name)'!AG39,"Analog*")&gt;0,'＠MFP (LSI name)'!AG39,OFFSET('＠グループ、表示名'!$H$4,MATCH('＠MFP (LSI name)'!AG39,'＠グループ、表示名'!$D$4:$D$250,0)-1,0)))</f>
        <v/>
      </c>
      <c r="AH39" s="18" t="str">
        <f ca="1">IF('＠MFP (LSI name)'!AH39="","",IF(COUNTIF('＠MFP (LSI name)'!AH39,"Serial*")+COUNTIF('＠MFP (LSI name)'!AH39,"Analog*")&gt;0,'＠MFP (LSI name)'!AH39,OFFSET('＠グループ、表示名'!$H$4,MATCH('＠MFP (LSI name)'!AH39,'＠グループ、表示名'!$D$4:$D$250,0)-1,0)))</f>
        <v/>
      </c>
      <c r="AI39" s="18" t="str">
        <f ca="1">IF('＠MFP (LSI name)'!AI39="","",IF(COUNTIF('＠MFP (LSI name)'!AI39,"Serial*")+COUNTIF('＠MFP (LSI name)'!AI39,"Analog*")&gt;0,'＠MFP (LSI name)'!AI39,OFFSET('＠グループ、表示名'!$H$4,MATCH('＠MFP (LSI name)'!AI39,'＠グループ、表示名'!$D$4:$D$250,0)-1,0)))</f>
        <v/>
      </c>
      <c r="AJ39" s="18" t="str">
        <f ca="1">IF('＠MFP (LSI name)'!AJ39="","",IF(COUNTIF('＠MFP (LSI name)'!AJ39,"Serial*")+COUNTIF('＠MFP (LSI name)'!AJ39,"Analog*")&gt;0,'＠MFP (LSI name)'!AJ39,OFFSET('＠グループ、表示名'!$H$4,MATCH('＠MFP (LSI name)'!AJ39,'＠グループ、表示名'!$D$4:$D$250,0)-1,0)))</f>
        <v/>
      </c>
      <c r="AK39" s="69" t="str">
        <f ca="1">IF('＠MFP (LSI name)'!AK39="","",IF(COUNTIF('＠MFP (LSI name)'!AK39,"Serial*")+COUNTIF('＠MFP (LSI name)'!AK39,"Analog*")&gt;0,'＠MFP (LSI name)'!AK39,OFFSET('＠グループ、表示名'!$H$4,MATCH('＠MFP (LSI name)'!AK39,'＠グループ、表示名'!$D$4:$D$250,0)-1,0)))</f>
        <v/>
      </c>
      <c r="AL39" s="9" t="str">
        <f t="shared" si="4"/>
        <v>IOPBMD[7]</v>
      </c>
      <c r="AM39" s="9" t="str">
        <f t="shared" si="5"/>
        <v>IOPBMD[6]</v>
      </c>
      <c r="AN39" s="9" t="str">
        <f t="shared" si="6"/>
        <v>IOPBMD[5]</v>
      </c>
      <c r="AO39" s="9" t="str">
        <f t="shared" si="7"/>
        <v>IOPBMD[4]</v>
      </c>
      <c r="AP39" s="86"/>
    </row>
    <row r="40" spans="1:42" ht="16.149999999999999">
      <c r="A40" s="61">
        <v>35</v>
      </c>
      <c r="B40" s="7">
        <v>35</v>
      </c>
      <c r="C40" s="7">
        <v>29</v>
      </c>
      <c r="D40" s="87"/>
      <c r="E40" s="87"/>
      <c r="F40" s="7">
        <v>35</v>
      </c>
      <c r="G40" s="7">
        <v>29</v>
      </c>
      <c r="H40" s="87"/>
      <c r="I40" s="45" t="s">
        <v>100</v>
      </c>
      <c r="J40" s="45" t="s">
        <v>101</v>
      </c>
      <c r="K40" s="69" t="str">
        <f ca="1">IF('＠MFP (LSI name)'!K40="","",IF(COUNTIF('＠MFP (LSI name)'!K40,"Serial*")+COUNTIF('＠MFP (LSI name)'!K40,"Analog*")&gt;0,'＠MFP (LSI name)'!K40,OFFSET('＠グループ、表示名'!$H$4,MATCH('＠MFP (LSI name)'!K40,'＠グループ、表示名'!$D$4:$D$250,0)-1,0)))</f>
        <v>IRQ22</v>
      </c>
      <c r="L40" s="69" t="str">
        <f ca="1">IF('＠MFP (LSI name)'!L40="","",IF(COUNTIF('＠MFP (LSI name)'!L40,"Serial*")+COUNTIF('＠MFP (LSI name)'!L40,"Analog*")&gt;0,'＠MFP (LSI name)'!L40,OFFSET('＠グループ、表示名'!$H$4,MATCH('＠MFP (LSI name)'!L40,'＠グループ、表示名'!$D$4:$D$250,0)-1,0)))</f>
        <v>TM00A</v>
      </c>
      <c r="M40" s="69" t="str">
        <f ca="1">IF('＠MFP (LSI name)'!M40="","",IF(COUNTIF('＠MFP (LSI name)'!M40,"Serial*")+COUNTIF('＠MFP (LSI name)'!M40,"Analog*")&gt;0,'＠MFP (LSI name)'!M40,OFFSET('＠グループ、表示名'!$H$4,MATCH('＠MFP (LSI name)'!M40,'＠グループ、表示名'!$D$4:$D$250,0)-1,0)))</f>
        <v>TM11B</v>
      </c>
      <c r="N40" s="18" t="str">
        <f ca="1">IF('＠MFP (LSI name)'!N40="","",IF(COUNTIF('＠MFP (LSI name)'!N40,"Serial*")+COUNTIF('＠MFP (LSI name)'!N40,"Analog*")&gt;0,'＠MFP (LSI name)'!N40,OFFSET('＠グループ、表示名'!$H$4,MATCH('＠MFP (LSI name)'!N40,'＠グループ、表示名'!$D$4:$D$250,0)-1,0)))</f>
        <v>SIF2_SBI2</v>
      </c>
      <c r="O40" s="18" t="str">
        <f ca="1">IF('＠MFP (LSI name)'!O40="","",IF(COUNTIF('＠MFP (LSI name)'!O40,"Serial*")+COUNTIF('＠MFP (LSI name)'!O40,"Analog*")&gt;0,'＠MFP (LSI name)'!O40,OFFSET('＠グループ、表示名'!$H$4,MATCH('＠MFP (LSI name)'!O40,'＠グループ、表示名'!$D$4:$D$250,0)-1,0)))</f>
        <v>SIF2_SBO2</v>
      </c>
      <c r="P40" s="18" t="str">
        <f ca="1">IF('＠MFP (LSI name)'!P40="","",IF(COUNTIF('＠MFP (LSI name)'!P40,"Serial*")+COUNTIF('＠MFP (LSI name)'!P40,"Analog*")&gt;0,'＠MFP (LSI name)'!P40,OFFSET('＠グループ、表示名'!$H$4,MATCH('＠MFP (LSI name)'!P40,'＠グループ、表示名'!$D$4:$D$250,0)-1,0)))</f>
        <v>SIF3_SBI3</v>
      </c>
      <c r="Q40" s="18" t="str">
        <f ca="1">IF('＠MFP (LSI name)'!Q40="","",IF(COUNTIF('＠MFP (LSI name)'!Q40,"Serial*")+COUNTIF('＠MFP (LSI name)'!Q40,"Analog*")&gt;0,'＠MFP (LSI name)'!Q40,OFFSET('＠グループ、表示名'!$H$4,MATCH('＠MFP (LSI name)'!Q40,'＠グループ、表示名'!$D$4:$D$250,0)-1,0)))</f>
        <v>SIF3_SBO3</v>
      </c>
      <c r="R40" s="69" t="str">
        <f ca="1">IF('＠MFP (LSI name)'!R40="","",IF(COUNTIF('＠MFP (LSI name)'!R40,"Serial*")+COUNTIF('＠MFP (LSI name)'!R40,"Analog*")&gt;0,'＠MFP (LSI name)'!R40,OFFSET('＠グループ、表示名'!$H$4,MATCH('＠MFP (LSI name)'!R40,'＠グループ、表示名'!$D$4:$D$250,0)-1,0)))</f>
        <v/>
      </c>
      <c r="S40" s="69" t="str">
        <f ca="1">IF('＠MFP (LSI name)'!S40="","",IF(COUNTIF('＠MFP (LSI name)'!S40,"Serial*")+COUNTIF('＠MFP (LSI name)'!S40,"Analog*")&gt;0,'＠MFP (LSI name)'!S40,OFFSET('＠グループ、表示名'!$H$4,MATCH('＠MFP (LSI name)'!S40,'＠グループ、表示名'!$D$4:$D$250,0)-1,0)))</f>
        <v/>
      </c>
      <c r="T40" s="69" t="str">
        <f ca="1">IF('＠MFP (LSI name)'!T40="","",IF(COUNTIF('＠MFP (LSI name)'!T40,"Serial*")+COUNTIF('＠MFP (LSI name)'!T40,"Analog*")&gt;0,'＠MFP (LSI name)'!T40,OFFSET('＠グループ、表示名'!$H$4,MATCH('＠MFP (LSI name)'!T40,'＠グループ、表示名'!$D$4:$D$250,0)-1,0)))</f>
        <v/>
      </c>
      <c r="U40" s="69" t="str">
        <f ca="1">IF('＠MFP (LSI name)'!U40="","",IF(COUNTIF('＠MFP (LSI name)'!U40,"Serial*")+COUNTIF('＠MFP (LSI name)'!U40,"Analog*")&gt;0,'＠MFP (LSI name)'!U40,OFFSET('＠グループ、表示名'!$H$4,MATCH('＠MFP (LSI name)'!U40,'＠グループ、表示名'!$D$4:$D$250,0)-1,0)))</f>
        <v/>
      </c>
      <c r="V40" s="69" t="str">
        <f ca="1">IF('＠MFP (LSI name)'!V40="","",IF(COUNTIF('＠MFP (LSI name)'!V40,"Serial*")+COUNTIF('＠MFP (LSI name)'!V40,"Analog*")&gt;0,'＠MFP (LSI name)'!V40,OFFSET('＠グループ、表示名'!$H$4,MATCH('＠MFP (LSI name)'!V40,'＠グループ、表示名'!$D$4:$D$250,0)-1,0)))</f>
        <v/>
      </c>
      <c r="W40" s="18" t="str">
        <f ca="1">IF('＠MFP (LSI name)'!W40="","",IF(COUNTIF('＠MFP (LSI name)'!W40,"Serial*")+COUNTIF('＠MFP (LSI name)'!W40,"Analog*")&gt;0,'＠MFP (LSI name)'!W40,OFFSET('＠グループ、表示名'!$H$4,MATCH('＠MFP (LSI name)'!W40,'＠グループ、表示名'!$D$4:$D$250,0)-1,0)))</f>
        <v/>
      </c>
      <c r="X40" s="18" t="str">
        <f ca="1">IF('＠MFP (LSI name)'!X40="","",IF(COUNTIF('＠MFP (LSI name)'!X40,"Serial*")+COUNTIF('＠MFP (LSI name)'!X40,"Analog*")&gt;0,'＠MFP (LSI name)'!X40,OFFSET('＠グループ、表示名'!$H$4,MATCH('＠MFP (LSI name)'!X40,'＠グループ、表示名'!$D$4:$D$250,0)-1,0)))</f>
        <v/>
      </c>
      <c r="Y40" s="18" t="str">
        <f ca="1">IF('＠MFP (LSI name)'!Y40="","",IF(COUNTIF('＠MFP (LSI name)'!Y40,"Serial*")+COUNTIF('＠MFP (LSI name)'!Y40,"Analog*")&gt;0,'＠MFP (LSI name)'!Y40,OFFSET('＠グループ、表示名'!$H$4,MATCH('＠MFP (LSI name)'!Y40,'＠グループ、表示名'!$D$4:$D$250,0)-1,0)))</f>
        <v/>
      </c>
      <c r="Z40" s="18" t="str">
        <f ca="1">IF('＠MFP (LSI name)'!Z40="","",IF(COUNTIF('＠MFP (LSI name)'!Z40,"Serial*")+COUNTIF('＠MFP (LSI name)'!Z40,"Analog*")&gt;0,'＠MFP (LSI name)'!Z40,OFFSET('＠グループ、表示名'!$H$4,MATCH('＠MFP (LSI name)'!Z40,'＠グループ、表示名'!$D$4:$D$250,0)-1,0)))</f>
        <v/>
      </c>
      <c r="AA40" s="69" t="str">
        <f ca="1">IF('＠MFP (LSI name)'!AA40="","",IF(COUNTIF('＠MFP (LSI name)'!AA40,"Serial*")+COUNTIF('＠MFP (LSI name)'!AA40,"Analog*")&gt;0,'＠MFP (LSI name)'!AA40,OFFSET('＠グループ、表示名'!$H$4,MATCH('＠MFP (LSI name)'!AA40,'＠グループ、表示名'!$D$4:$D$250,0)-1,0)))</f>
        <v/>
      </c>
      <c r="AB40" s="69" t="str">
        <f ca="1">IF('＠MFP (LSI name)'!AB40="","",IF(COUNTIF('＠MFP (LSI name)'!AB40,"Serial*")+COUNTIF('＠MFP (LSI name)'!AB40,"Analog*")&gt;0,'＠MFP (LSI name)'!AB40,OFFSET('＠グループ、表示名'!$H$4,MATCH('＠MFP (LSI name)'!AB40,'＠グループ、表示名'!$D$4:$D$250,0)-1,0)))</f>
        <v/>
      </c>
      <c r="AC40" s="18" t="str">
        <f ca="1">IF('＠MFP (LSI name)'!AC40="","",IF(COUNTIF('＠MFP (LSI name)'!AC40,"Serial*")+COUNTIF('＠MFP (LSI name)'!AC40,"Analog*")&gt;0,'＠MFP (LSI name)'!AC40,OFFSET('＠グループ、表示名'!$H$4,MATCH('＠MFP (LSI name)'!AC40,'＠グループ、表示名'!$D$4:$D$250,0)-1,0)))</f>
        <v/>
      </c>
      <c r="AD40" s="18" t="str">
        <f ca="1">IF('＠MFP (LSI name)'!AD40="","",IF(COUNTIF('＠MFP (LSI name)'!AD40,"Serial*")+COUNTIF('＠MFP (LSI name)'!AD40,"Analog*")&gt;0,'＠MFP (LSI name)'!AD40,OFFSET('＠グループ、表示名'!$H$4,MATCH('＠MFP (LSI name)'!AD40,'＠グループ、表示名'!$D$4:$D$250,0)-1,0)))</f>
        <v/>
      </c>
      <c r="AE40" s="18" t="str">
        <f ca="1">IF('＠MFP (LSI name)'!AE40="","",IF(COUNTIF('＠MFP (LSI name)'!AE40,"Serial*")+COUNTIF('＠MFP (LSI name)'!AE40,"Analog*")&gt;0,'＠MFP (LSI name)'!AE40,OFFSET('＠グループ、表示名'!$H$4,MATCH('＠MFP (LSI name)'!AE40,'＠グループ、表示名'!$D$4:$D$250,0)-1,0)))</f>
        <v/>
      </c>
      <c r="AF40" s="69" t="str">
        <f ca="1">IF('＠MFP (LSI name)'!AF40="","",IF(COUNTIF('＠MFP (LSI name)'!AF40,"Serial*")+COUNTIF('＠MFP (LSI name)'!AF40,"Analog*")&gt;0,'＠MFP (LSI name)'!AF40,OFFSET('＠グループ、表示名'!$H$4,MATCH('＠MFP (LSI name)'!AF40,'＠グループ、表示名'!$D$4:$D$250,0)-1,0)))</f>
        <v/>
      </c>
      <c r="AG40" s="69" t="str">
        <f ca="1">IF('＠MFP (LSI name)'!AG40="","",IF(COUNTIF('＠MFP (LSI name)'!AG40,"Serial*")+COUNTIF('＠MFP (LSI name)'!AG40,"Analog*")&gt;0,'＠MFP (LSI name)'!AG40,OFFSET('＠グループ、表示名'!$H$4,MATCH('＠MFP (LSI name)'!AG40,'＠グループ、表示名'!$D$4:$D$250,0)-1,0)))</f>
        <v/>
      </c>
      <c r="AH40" s="18" t="str">
        <f ca="1">IF('＠MFP (LSI name)'!AH40="","",IF(COUNTIF('＠MFP (LSI name)'!AH40,"Serial*")+COUNTIF('＠MFP (LSI name)'!AH40,"Analog*")&gt;0,'＠MFP (LSI name)'!AH40,OFFSET('＠グループ、表示名'!$H$4,MATCH('＠MFP (LSI name)'!AH40,'＠グループ、表示名'!$D$4:$D$250,0)-1,0)))</f>
        <v/>
      </c>
      <c r="AI40" s="18" t="str">
        <f ca="1">IF('＠MFP (LSI name)'!AI40="","",IF(COUNTIF('＠MFP (LSI name)'!AI40,"Serial*")+COUNTIF('＠MFP (LSI name)'!AI40,"Analog*")&gt;0,'＠MFP (LSI name)'!AI40,OFFSET('＠グループ、表示名'!$H$4,MATCH('＠MFP (LSI name)'!AI40,'＠グループ、表示名'!$D$4:$D$250,0)-1,0)))</f>
        <v/>
      </c>
      <c r="AJ40" s="18" t="str">
        <f ca="1">IF('＠MFP (LSI name)'!AJ40="","",IF(COUNTIF('＠MFP (LSI name)'!AJ40,"Serial*")+COUNTIF('＠MFP (LSI name)'!AJ40,"Analog*")&gt;0,'＠MFP (LSI name)'!AJ40,OFFSET('＠グループ、表示名'!$H$4,MATCH('＠MFP (LSI name)'!AJ40,'＠グループ、表示名'!$D$4:$D$250,0)-1,0)))</f>
        <v/>
      </c>
      <c r="AK40" s="69" t="str">
        <f ca="1">IF('＠MFP (LSI name)'!AK40="","",IF(COUNTIF('＠MFP (LSI name)'!AK40,"Serial*")+COUNTIF('＠MFP (LSI name)'!AK40,"Analog*")&gt;0,'＠MFP (LSI name)'!AK40,OFFSET('＠グループ、表示名'!$H$4,MATCH('＠MFP (LSI name)'!AK40,'＠グループ、表示名'!$D$4:$D$250,0)-1,0)))</f>
        <v/>
      </c>
      <c r="AL40" s="9" t="str">
        <f t="shared" si="4"/>
        <v>IOPBMD[3]</v>
      </c>
      <c r="AM40" s="9" t="str">
        <f t="shared" si="5"/>
        <v>IOPBMD[2]</v>
      </c>
      <c r="AN40" s="9" t="str">
        <f t="shared" si="6"/>
        <v>IOPBMD[1]</v>
      </c>
      <c r="AO40" s="9" t="str">
        <f t="shared" si="7"/>
        <v>IOPBMD[0]</v>
      </c>
      <c r="AP40" s="86"/>
    </row>
    <row r="41" spans="1:42" ht="16.149999999999999">
      <c r="A41" s="61">
        <v>36</v>
      </c>
      <c r="B41" s="7">
        <v>36</v>
      </c>
      <c r="C41" s="7">
        <v>30</v>
      </c>
      <c r="D41" s="87"/>
      <c r="E41" s="87"/>
      <c r="F41" s="7">
        <v>36</v>
      </c>
      <c r="G41" s="7">
        <v>30</v>
      </c>
      <c r="H41" s="87"/>
      <c r="I41" s="45" t="s">
        <v>284</v>
      </c>
      <c r="J41" s="45" t="s">
        <v>285</v>
      </c>
      <c r="K41" s="69" t="str">
        <f ca="1">IF('＠MFP (LSI name)'!K41="","",IF(COUNTIF('＠MFP (LSI name)'!K41,"Serial*")+COUNTIF('＠MFP (LSI name)'!K41,"Analog*")&gt;0,'＠MFP (LSI name)'!K41,OFFSET('＠グループ、表示名'!$H$4,MATCH('＠MFP (LSI name)'!K41,'＠グループ、表示名'!$D$4:$D$250,0)-1,0)))</f>
        <v>IRQ01</v>
      </c>
      <c r="L41" s="69" t="str">
        <f ca="1">IF('＠MFP (LSI name)'!L41="","",IF(COUNTIF('＠MFP (LSI name)'!L41,"Serial*")+COUNTIF('＠MFP (LSI name)'!L41,"Analog*")&gt;0,'＠MFP (LSI name)'!L41,OFFSET('＠グループ、表示名'!$H$4,MATCH('＠MFP (LSI name)'!L41,'＠グループ、表示名'!$D$4:$D$250,0)-1,0)))</f>
        <v>IRQ21</v>
      </c>
      <c r="M41" s="69" t="str">
        <f ca="1">IF('＠MFP (LSI name)'!M41="","",IF(COUNTIF('＠MFP (LSI name)'!M41,"Serial*")+COUNTIF('＠MFP (LSI name)'!M41,"Analog*")&gt;0,'＠MFP (LSI name)'!M41,OFFSET('＠グループ、表示名'!$H$4,MATCH('＠MFP (LSI name)'!M41,'＠グループ、表示名'!$D$4:$D$250,0)-1,0)))</f>
        <v>TM03B</v>
      </c>
      <c r="N41" s="69" t="str">
        <f ca="1">IF('＠MFP (LSI name)'!N41="","",IF(COUNTIF('＠MFP (LSI name)'!N41,"Serial*")+COUNTIF('＠MFP (LSI name)'!N41,"Analog*")&gt;0,'＠MFP (LSI name)'!N41,OFFSET('＠グループ、表示名'!$H$4,MATCH('＠MFP (LSI name)'!N41,'＠グループ、表示名'!$D$4:$D$250,0)-1,0)))</f>
        <v>TM12A</v>
      </c>
      <c r="O41" s="18" t="str">
        <f ca="1">IF('＠MFP (LSI name)'!O41="","",IF(COUNTIF('＠MFP (LSI name)'!O41,"Serial*")+COUNTIF('＠MFP (LSI name)'!O41,"Analog*")&gt;0,'＠MFP (LSI name)'!O41,OFFSET('＠グループ、表示名'!$H$4,MATCH('＠MFP (LSI name)'!O41,'＠グループ、表示名'!$D$4:$D$250,0)-1,0)))</f>
        <v>SIF2_SBI2</v>
      </c>
      <c r="P41" s="18" t="str">
        <f ca="1">IF('＠MFP (LSI name)'!P41="","",IF(COUNTIF('＠MFP (LSI name)'!P41,"Serial*")+COUNTIF('＠MFP (LSI name)'!P41,"Analog*")&gt;0,'＠MFP (LSI name)'!P41,OFFSET('＠グループ、表示名'!$H$4,MATCH('＠MFP (LSI name)'!P41,'＠グループ、表示名'!$D$4:$D$250,0)-1,0)))</f>
        <v>SIF2_SBO2</v>
      </c>
      <c r="Q41" s="18" t="str">
        <f ca="1">IF('＠MFP (LSI name)'!Q41="","",IF(COUNTIF('＠MFP (LSI name)'!Q41,"Serial*")+COUNTIF('＠MFP (LSI name)'!Q41,"Analog*")&gt;0,'＠MFP (LSI name)'!Q41,OFFSET('＠グループ、表示名'!$H$4,MATCH('＠MFP (LSI name)'!Q41,'＠グループ、表示名'!$D$4:$D$250,0)-1,0)))</f>
        <v>SIF2_SBT2</v>
      </c>
      <c r="R41" s="18" t="str">
        <f ca="1">IF('＠MFP (LSI name)'!R41="","",IF(COUNTIF('＠MFP (LSI name)'!R41,"Serial*")+COUNTIF('＠MFP (LSI name)'!R41,"Analog*")&gt;0,'＠MFP (LSI name)'!R41,OFFSET('＠グループ、表示名'!$H$4,MATCH('＠MFP (LSI name)'!R41,'＠グループ、表示名'!$D$4:$D$250,0)-1,0)))</f>
        <v>SIF3_SBI3</v>
      </c>
      <c r="S41" s="18" t="str">
        <f ca="1">IF('＠MFP (LSI name)'!S41="","",IF(COUNTIF('＠MFP (LSI name)'!S41,"Serial*")+COUNTIF('＠MFP (LSI name)'!S41,"Analog*")&gt;0,'＠MFP (LSI name)'!S41,OFFSET('＠グループ、表示名'!$H$4,MATCH('＠MFP (LSI name)'!S41,'＠グループ、表示名'!$D$4:$D$250,0)-1,0)))</f>
        <v>SIF3_SBO3</v>
      </c>
      <c r="T41" s="69" t="str">
        <f ca="1">IF('＠MFP (LSI name)'!T41="","",IF(COUNTIF('＠MFP (LSI name)'!T41,"Serial*")+COUNTIF('＠MFP (LSI name)'!T41,"Analog*")&gt;0,'＠MFP (LSI name)'!T41,OFFSET('＠グループ、表示名'!$H$4,MATCH('＠MFP (LSI name)'!T41,'＠グループ、表示名'!$D$4:$D$250,0)-1,0)))</f>
        <v/>
      </c>
      <c r="U41" s="69" t="str">
        <f ca="1">IF('＠MFP (LSI name)'!U41="","",IF(COUNTIF('＠MFP (LSI name)'!U41,"Serial*")+COUNTIF('＠MFP (LSI name)'!U41,"Analog*")&gt;0,'＠MFP (LSI name)'!U41,OFFSET('＠グループ、表示名'!$H$4,MATCH('＠MFP (LSI name)'!U41,'＠グループ、表示名'!$D$4:$D$250,0)-1,0)))</f>
        <v/>
      </c>
      <c r="V41" s="69" t="str">
        <f ca="1">IF('＠MFP (LSI name)'!V41="","",IF(COUNTIF('＠MFP (LSI name)'!V41,"Serial*")+COUNTIF('＠MFP (LSI name)'!V41,"Analog*")&gt;0,'＠MFP (LSI name)'!V41,OFFSET('＠グループ、表示名'!$H$4,MATCH('＠MFP (LSI name)'!V41,'＠グループ、表示名'!$D$4:$D$250,0)-1,0)))</f>
        <v/>
      </c>
      <c r="W41" s="18" t="str">
        <f ca="1">IF('＠MFP (LSI name)'!W41="","",IF(COUNTIF('＠MFP (LSI name)'!W41,"Serial*")+COUNTIF('＠MFP (LSI name)'!W41,"Analog*")&gt;0,'＠MFP (LSI name)'!W41,OFFSET('＠グループ、表示名'!$H$4,MATCH('＠MFP (LSI name)'!W41,'＠グループ、表示名'!$D$4:$D$250,0)-1,0)))</f>
        <v/>
      </c>
      <c r="X41" s="18" t="str">
        <f ca="1">IF('＠MFP (LSI name)'!X41="","",IF(COUNTIF('＠MFP (LSI name)'!X41,"Serial*")+COUNTIF('＠MFP (LSI name)'!X41,"Analog*")&gt;0,'＠MFP (LSI name)'!X41,OFFSET('＠グループ、表示名'!$H$4,MATCH('＠MFP (LSI name)'!X41,'＠グループ、表示名'!$D$4:$D$250,0)-1,0)))</f>
        <v/>
      </c>
      <c r="Y41" s="18" t="str">
        <f ca="1">IF('＠MFP (LSI name)'!Y41="","",IF(COUNTIF('＠MFP (LSI name)'!Y41,"Serial*")+COUNTIF('＠MFP (LSI name)'!Y41,"Analog*")&gt;0,'＠MFP (LSI name)'!Y41,OFFSET('＠グループ、表示名'!$H$4,MATCH('＠MFP (LSI name)'!Y41,'＠グループ、表示名'!$D$4:$D$250,0)-1,0)))</f>
        <v/>
      </c>
      <c r="Z41" s="18" t="str">
        <f ca="1">IF('＠MFP (LSI name)'!Z41="","",IF(COUNTIF('＠MFP (LSI name)'!Z41,"Serial*")+COUNTIF('＠MFP (LSI name)'!Z41,"Analog*")&gt;0,'＠MFP (LSI name)'!Z41,OFFSET('＠グループ、表示名'!$H$4,MATCH('＠MFP (LSI name)'!Z41,'＠グループ、表示名'!$D$4:$D$250,0)-1,0)))</f>
        <v/>
      </c>
      <c r="AA41" s="69" t="str">
        <f ca="1">IF('＠MFP (LSI name)'!AA41="","",IF(COUNTIF('＠MFP (LSI name)'!AA41,"Serial*")+COUNTIF('＠MFP (LSI name)'!AA41,"Analog*")&gt;0,'＠MFP (LSI name)'!AA41,OFFSET('＠グループ、表示名'!$H$4,MATCH('＠MFP (LSI name)'!AA41,'＠グループ、表示名'!$D$4:$D$250,0)-1,0)))</f>
        <v/>
      </c>
      <c r="AB41" s="69" t="str">
        <f ca="1">IF('＠MFP (LSI name)'!AB41="","",IF(COUNTIF('＠MFP (LSI name)'!AB41,"Serial*")+COUNTIF('＠MFP (LSI name)'!AB41,"Analog*")&gt;0,'＠MFP (LSI name)'!AB41,OFFSET('＠グループ、表示名'!$H$4,MATCH('＠MFP (LSI name)'!AB41,'＠グループ、表示名'!$D$4:$D$250,0)-1,0)))</f>
        <v/>
      </c>
      <c r="AC41" s="18" t="str">
        <f ca="1">IF('＠MFP (LSI name)'!AC41="","",IF(COUNTIF('＠MFP (LSI name)'!AC41,"Serial*")+COUNTIF('＠MFP (LSI name)'!AC41,"Analog*")&gt;0,'＠MFP (LSI name)'!AC41,OFFSET('＠グループ、表示名'!$H$4,MATCH('＠MFP (LSI name)'!AC41,'＠グループ、表示名'!$D$4:$D$250,0)-1,0)))</f>
        <v/>
      </c>
      <c r="AD41" s="18" t="str">
        <f ca="1">IF('＠MFP (LSI name)'!AD41="","",IF(COUNTIF('＠MFP (LSI name)'!AD41,"Serial*")+COUNTIF('＠MFP (LSI name)'!AD41,"Analog*")&gt;0,'＠MFP (LSI name)'!AD41,OFFSET('＠グループ、表示名'!$H$4,MATCH('＠MFP (LSI name)'!AD41,'＠グループ、表示名'!$D$4:$D$250,0)-1,0)))</f>
        <v/>
      </c>
      <c r="AE41" s="18" t="str">
        <f ca="1">IF('＠MFP (LSI name)'!AE41="","",IF(COUNTIF('＠MFP (LSI name)'!AE41,"Serial*")+COUNTIF('＠MFP (LSI name)'!AE41,"Analog*")&gt;0,'＠MFP (LSI name)'!AE41,OFFSET('＠グループ、表示名'!$H$4,MATCH('＠MFP (LSI name)'!AE41,'＠グループ、表示名'!$D$4:$D$250,0)-1,0)))</f>
        <v/>
      </c>
      <c r="AF41" s="69" t="str">
        <f ca="1">IF('＠MFP (LSI name)'!AF41="","",IF(COUNTIF('＠MFP (LSI name)'!AF41,"Serial*")+COUNTIF('＠MFP (LSI name)'!AF41,"Analog*")&gt;0,'＠MFP (LSI name)'!AF41,OFFSET('＠グループ、表示名'!$H$4,MATCH('＠MFP (LSI name)'!AF41,'＠グループ、表示名'!$D$4:$D$250,0)-1,0)))</f>
        <v/>
      </c>
      <c r="AG41" s="69" t="str">
        <f ca="1">IF('＠MFP (LSI name)'!AG41="","",IF(COUNTIF('＠MFP (LSI name)'!AG41,"Serial*")+COUNTIF('＠MFP (LSI name)'!AG41,"Analog*")&gt;0,'＠MFP (LSI name)'!AG41,OFFSET('＠グループ、表示名'!$H$4,MATCH('＠MFP (LSI name)'!AG41,'＠グループ、表示名'!$D$4:$D$250,0)-1,0)))</f>
        <v/>
      </c>
      <c r="AH41" s="18" t="str">
        <f ca="1">IF('＠MFP (LSI name)'!AH41="","",IF(COUNTIF('＠MFP (LSI name)'!AH41,"Serial*")+COUNTIF('＠MFP (LSI name)'!AH41,"Analog*")&gt;0,'＠MFP (LSI name)'!AH41,OFFSET('＠グループ、表示名'!$H$4,MATCH('＠MFP (LSI name)'!AH41,'＠グループ、表示名'!$D$4:$D$250,0)-1,0)))</f>
        <v/>
      </c>
      <c r="AI41" s="18" t="str">
        <f ca="1">IF('＠MFP (LSI name)'!AI41="","",IF(COUNTIF('＠MFP (LSI name)'!AI41,"Serial*")+COUNTIF('＠MFP (LSI name)'!AI41,"Analog*")&gt;0,'＠MFP (LSI name)'!AI41,OFFSET('＠グループ、表示名'!$H$4,MATCH('＠MFP (LSI name)'!AI41,'＠グループ、表示名'!$D$4:$D$250,0)-1,0)))</f>
        <v/>
      </c>
      <c r="AJ41" s="18" t="str">
        <f ca="1">IF('＠MFP (LSI name)'!AJ41="","",IF(COUNTIF('＠MFP (LSI name)'!AJ41,"Serial*")+COUNTIF('＠MFP (LSI name)'!AJ41,"Analog*")&gt;0,'＠MFP (LSI name)'!AJ41,OFFSET('＠グループ、表示名'!$H$4,MATCH('＠MFP (LSI name)'!AJ41,'＠グループ、表示名'!$D$4:$D$250,0)-1,0)))</f>
        <v/>
      </c>
      <c r="AK41" s="69" t="str">
        <f ca="1">IF('＠MFP (LSI name)'!AK41="","",IF(COUNTIF('＠MFP (LSI name)'!AK41,"Serial*")+COUNTIF('＠MFP (LSI name)'!AK41,"Analog*")&gt;0,'＠MFP (LSI name)'!AK41,OFFSET('＠グループ、表示名'!$H$4,MATCH('＠MFP (LSI name)'!AK41,'＠グループ、表示名'!$D$4:$D$250,0)-1,0)))</f>
        <v/>
      </c>
      <c r="AL41" s="9" t="str">
        <f t="shared" si="4"/>
        <v>IOPAMD[23]</v>
      </c>
      <c r="AM41" s="9" t="str">
        <f t="shared" si="5"/>
        <v>IOPAMD[22]</v>
      </c>
      <c r="AN41" s="9" t="str">
        <f t="shared" si="6"/>
        <v>IOPAMD[21]</v>
      </c>
      <c r="AO41" s="9" t="str">
        <f t="shared" si="7"/>
        <v>IOPAMD[20]</v>
      </c>
      <c r="AP41" s="86"/>
    </row>
    <row r="42" spans="1:42" ht="16.149999999999999">
      <c r="A42" s="61">
        <v>37</v>
      </c>
      <c r="B42" s="7">
        <v>37</v>
      </c>
      <c r="C42" s="7"/>
      <c r="D42" s="87"/>
      <c r="E42" s="87"/>
      <c r="F42" s="7">
        <v>37</v>
      </c>
      <c r="G42" s="7"/>
      <c r="H42" s="87"/>
      <c r="I42" s="45" t="s">
        <v>288</v>
      </c>
      <c r="J42" s="45" t="s">
        <v>289</v>
      </c>
      <c r="K42" s="69" t="str">
        <f ca="1">IF('＠MFP (LSI name)'!K42="","",IF(COUNTIF('＠MFP (LSI name)'!K42,"Serial*")+COUNTIF('＠MFP (LSI name)'!K42,"Analog*")&gt;0,'＠MFP (LSI name)'!K42,OFFSET('＠グループ、表示名'!$H$4,MATCH('＠MFP (LSI name)'!K42,'＠グループ、表示名'!$D$4:$D$250,0)-1,0)))</f>
        <v>IRQ20</v>
      </c>
      <c r="L42" s="69" t="str">
        <f ca="1">IF('＠MFP (LSI name)'!L42="","",IF(COUNTIF('＠MFP (LSI name)'!L42,"Serial*")+COUNTIF('＠MFP (LSI name)'!L42,"Analog*")&gt;0,'＠MFP (LSI name)'!L42,OFFSET('＠グループ、表示名'!$H$4,MATCH('＠MFP (LSI name)'!L42,'＠グループ、表示名'!$D$4:$D$250,0)-1,0)))</f>
        <v>TM07B</v>
      </c>
      <c r="M42" s="69" t="str">
        <f ca="1">IF('＠MFP (LSI name)'!M42="","",IF(COUNTIF('＠MFP (LSI name)'!M42,"Serial*")+COUNTIF('＠MFP (LSI name)'!M42,"Analog*")&gt;0,'＠MFP (LSI name)'!M42,OFFSET('＠グループ、表示名'!$H$4,MATCH('＠MFP (LSI name)'!M42,'＠グループ、表示名'!$D$4:$D$250,0)-1,0)))</f>
        <v>TM12B</v>
      </c>
      <c r="N42" s="18" t="str">
        <f ca="1">IF('＠MFP (LSI name)'!N42="","",IF(COUNTIF('＠MFP (LSI name)'!N42,"Serial*")+COUNTIF('＠MFP (LSI name)'!N42,"Analog*")&gt;0,'＠MFP (LSI name)'!N42,OFFSET('＠グループ、表示名'!$H$4,MATCH('＠MFP (LSI name)'!N42,'＠グループ、表示名'!$D$4:$D$250,0)-1,0)))</f>
        <v>SIF2_SBT2</v>
      </c>
      <c r="O42" s="18" t="str">
        <f ca="1">IF('＠MFP (LSI name)'!O42="","",IF(COUNTIF('＠MFP (LSI name)'!O42,"Serial*")+COUNTIF('＠MFP (LSI name)'!O42,"Analog*")&gt;0,'＠MFP (LSI name)'!O42,OFFSET('＠グループ、表示名'!$H$4,MATCH('＠MFP (LSI name)'!O42,'＠グループ、表示名'!$D$4:$D$250,0)-1,0)))</f>
        <v>SIF3_SBT3</v>
      </c>
      <c r="P42" s="69" t="str">
        <f ca="1">IF('＠MFP (LSI name)'!P42="","",IF(COUNTIF('＠MFP (LSI name)'!P42,"Serial*")+COUNTIF('＠MFP (LSI name)'!P42,"Analog*")&gt;0,'＠MFP (LSI name)'!P42,OFFSET('＠グループ、表示名'!$H$4,MATCH('＠MFP (LSI name)'!P42,'＠グループ、表示名'!$D$4:$D$250,0)-1,0)))</f>
        <v/>
      </c>
      <c r="Q42" s="69" t="str">
        <f ca="1">IF('＠MFP (LSI name)'!Q42="","",IF(COUNTIF('＠MFP (LSI name)'!Q42,"Serial*")+COUNTIF('＠MFP (LSI name)'!Q42,"Analog*")&gt;0,'＠MFP (LSI name)'!Q42,OFFSET('＠グループ、表示名'!$H$4,MATCH('＠MFP (LSI name)'!Q42,'＠グループ、表示名'!$D$4:$D$250,0)-1,0)))</f>
        <v/>
      </c>
      <c r="R42" s="69" t="str">
        <f ca="1">IF('＠MFP (LSI name)'!R42="","",IF(COUNTIF('＠MFP (LSI name)'!R42,"Serial*")+COUNTIF('＠MFP (LSI name)'!R42,"Analog*")&gt;0,'＠MFP (LSI name)'!R42,OFFSET('＠グループ、表示名'!$H$4,MATCH('＠MFP (LSI name)'!R42,'＠グループ、表示名'!$D$4:$D$250,0)-1,0)))</f>
        <v/>
      </c>
      <c r="S42" s="69" t="str">
        <f ca="1">IF('＠MFP (LSI name)'!S42="","",IF(COUNTIF('＠MFP (LSI name)'!S42,"Serial*")+COUNTIF('＠MFP (LSI name)'!S42,"Analog*")&gt;0,'＠MFP (LSI name)'!S42,OFFSET('＠グループ、表示名'!$H$4,MATCH('＠MFP (LSI name)'!S42,'＠グループ、表示名'!$D$4:$D$250,0)-1,0)))</f>
        <v/>
      </c>
      <c r="T42" s="69" t="str">
        <f ca="1">IF('＠MFP (LSI name)'!T42="","",IF(COUNTIF('＠MFP (LSI name)'!T42,"Serial*")+COUNTIF('＠MFP (LSI name)'!T42,"Analog*")&gt;0,'＠MFP (LSI name)'!T42,OFFSET('＠グループ、表示名'!$H$4,MATCH('＠MFP (LSI name)'!T42,'＠グループ、表示名'!$D$4:$D$250,0)-1,0)))</f>
        <v/>
      </c>
      <c r="U42" s="69" t="str">
        <f ca="1">IF('＠MFP (LSI name)'!U42="","",IF(COUNTIF('＠MFP (LSI name)'!U42,"Serial*")+COUNTIF('＠MFP (LSI name)'!U42,"Analog*")&gt;0,'＠MFP (LSI name)'!U42,OFFSET('＠グループ、表示名'!$H$4,MATCH('＠MFP (LSI name)'!U42,'＠グループ、表示名'!$D$4:$D$250,0)-1,0)))</f>
        <v/>
      </c>
      <c r="V42" s="69" t="str">
        <f ca="1">IF('＠MFP (LSI name)'!V42="","",IF(COUNTIF('＠MFP (LSI name)'!V42,"Serial*")+COUNTIF('＠MFP (LSI name)'!V42,"Analog*")&gt;0,'＠MFP (LSI name)'!V42,OFFSET('＠グループ、表示名'!$H$4,MATCH('＠MFP (LSI name)'!V42,'＠グループ、表示名'!$D$4:$D$250,0)-1,0)))</f>
        <v/>
      </c>
      <c r="W42" s="18" t="str">
        <f ca="1">IF('＠MFP (LSI name)'!W42="","",IF(COUNTIF('＠MFP (LSI name)'!W42,"Serial*")+COUNTIF('＠MFP (LSI name)'!W42,"Analog*")&gt;0,'＠MFP (LSI name)'!W42,OFFSET('＠グループ、表示名'!$H$4,MATCH('＠MFP (LSI name)'!W42,'＠グループ、表示名'!$D$4:$D$250,0)-1,0)))</f>
        <v/>
      </c>
      <c r="X42" s="18" t="str">
        <f ca="1">IF('＠MFP (LSI name)'!X42="","",IF(COUNTIF('＠MFP (LSI name)'!X42,"Serial*")+COUNTIF('＠MFP (LSI name)'!X42,"Analog*")&gt;0,'＠MFP (LSI name)'!X42,OFFSET('＠グループ、表示名'!$H$4,MATCH('＠MFP (LSI name)'!X42,'＠グループ、表示名'!$D$4:$D$250,0)-1,0)))</f>
        <v/>
      </c>
      <c r="Y42" s="18" t="str">
        <f ca="1">IF('＠MFP (LSI name)'!Y42="","",IF(COUNTIF('＠MFP (LSI name)'!Y42,"Serial*")+COUNTIF('＠MFP (LSI name)'!Y42,"Analog*")&gt;0,'＠MFP (LSI name)'!Y42,OFFSET('＠グループ、表示名'!$H$4,MATCH('＠MFP (LSI name)'!Y42,'＠グループ、表示名'!$D$4:$D$250,0)-1,0)))</f>
        <v/>
      </c>
      <c r="Z42" s="18" t="str">
        <f ca="1">IF('＠MFP (LSI name)'!Z42="","",IF(COUNTIF('＠MFP (LSI name)'!Z42,"Serial*")+COUNTIF('＠MFP (LSI name)'!Z42,"Analog*")&gt;0,'＠MFP (LSI name)'!Z42,OFFSET('＠グループ、表示名'!$H$4,MATCH('＠MFP (LSI name)'!Z42,'＠グループ、表示名'!$D$4:$D$250,0)-1,0)))</f>
        <v/>
      </c>
      <c r="AA42" s="69" t="str">
        <f ca="1">IF('＠MFP (LSI name)'!AA42="","",IF(COUNTIF('＠MFP (LSI name)'!AA42,"Serial*")+COUNTIF('＠MFP (LSI name)'!AA42,"Analog*")&gt;0,'＠MFP (LSI name)'!AA42,OFFSET('＠グループ、表示名'!$H$4,MATCH('＠MFP (LSI name)'!AA42,'＠グループ、表示名'!$D$4:$D$250,0)-1,0)))</f>
        <v/>
      </c>
      <c r="AB42" s="69" t="str">
        <f ca="1">IF('＠MFP (LSI name)'!AB42="","",IF(COUNTIF('＠MFP (LSI name)'!AB42,"Serial*")+COUNTIF('＠MFP (LSI name)'!AB42,"Analog*")&gt;0,'＠MFP (LSI name)'!AB42,OFFSET('＠グループ、表示名'!$H$4,MATCH('＠MFP (LSI name)'!AB42,'＠グループ、表示名'!$D$4:$D$250,0)-1,0)))</f>
        <v/>
      </c>
      <c r="AC42" s="18" t="str">
        <f ca="1">IF('＠MFP (LSI name)'!AC42="","",IF(COUNTIF('＠MFP (LSI name)'!AC42,"Serial*")+COUNTIF('＠MFP (LSI name)'!AC42,"Analog*")&gt;0,'＠MFP (LSI name)'!AC42,OFFSET('＠グループ、表示名'!$H$4,MATCH('＠MFP (LSI name)'!AC42,'＠グループ、表示名'!$D$4:$D$250,0)-1,0)))</f>
        <v/>
      </c>
      <c r="AD42" s="18" t="str">
        <f ca="1">IF('＠MFP (LSI name)'!AD42="","",IF(COUNTIF('＠MFP (LSI name)'!AD42,"Serial*")+COUNTIF('＠MFP (LSI name)'!AD42,"Analog*")&gt;0,'＠MFP (LSI name)'!AD42,OFFSET('＠グループ、表示名'!$H$4,MATCH('＠MFP (LSI name)'!AD42,'＠グループ、表示名'!$D$4:$D$250,0)-1,0)))</f>
        <v/>
      </c>
      <c r="AE42" s="18" t="str">
        <f ca="1">IF('＠MFP (LSI name)'!AE42="","",IF(COUNTIF('＠MFP (LSI name)'!AE42,"Serial*")+COUNTIF('＠MFP (LSI name)'!AE42,"Analog*")&gt;0,'＠MFP (LSI name)'!AE42,OFFSET('＠グループ、表示名'!$H$4,MATCH('＠MFP (LSI name)'!AE42,'＠グループ、表示名'!$D$4:$D$250,0)-1,0)))</f>
        <v/>
      </c>
      <c r="AF42" s="69" t="str">
        <f ca="1">IF('＠MFP (LSI name)'!AF42="","",IF(COUNTIF('＠MFP (LSI name)'!AF42,"Serial*")+COUNTIF('＠MFP (LSI name)'!AF42,"Analog*")&gt;0,'＠MFP (LSI name)'!AF42,OFFSET('＠グループ、表示名'!$H$4,MATCH('＠MFP (LSI name)'!AF42,'＠グループ、表示名'!$D$4:$D$250,0)-1,0)))</f>
        <v/>
      </c>
      <c r="AG42" s="69" t="str">
        <f ca="1">IF('＠MFP (LSI name)'!AG42="","",IF(COUNTIF('＠MFP (LSI name)'!AG42,"Serial*")+COUNTIF('＠MFP (LSI name)'!AG42,"Analog*")&gt;0,'＠MFP (LSI name)'!AG42,OFFSET('＠グループ、表示名'!$H$4,MATCH('＠MFP (LSI name)'!AG42,'＠グループ、表示名'!$D$4:$D$250,0)-1,0)))</f>
        <v/>
      </c>
      <c r="AH42" s="18" t="str">
        <f ca="1">IF('＠MFP (LSI name)'!AH42="","",IF(COUNTIF('＠MFP (LSI name)'!AH42,"Serial*")+COUNTIF('＠MFP (LSI name)'!AH42,"Analog*")&gt;0,'＠MFP (LSI name)'!AH42,OFFSET('＠グループ、表示名'!$H$4,MATCH('＠MFP (LSI name)'!AH42,'＠グループ、表示名'!$D$4:$D$250,0)-1,0)))</f>
        <v/>
      </c>
      <c r="AI42" s="18" t="str">
        <f ca="1">IF('＠MFP (LSI name)'!AI42="","",IF(COUNTIF('＠MFP (LSI name)'!AI42,"Serial*")+COUNTIF('＠MFP (LSI name)'!AI42,"Analog*")&gt;0,'＠MFP (LSI name)'!AI42,OFFSET('＠グループ、表示名'!$H$4,MATCH('＠MFP (LSI name)'!AI42,'＠グループ、表示名'!$D$4:$D$250,0)-1,0)))</f>
        <v/>
      </c>
      <c r="AJ42" s="18" t="str">
        <f ca="1">IF('＠MFP (LSI name)'!AJ42="","",IF(COUNTIF('＠MFP (LSI name)'!AJ42,"Serial*")+COUNTIF('＠MFP (LSI name)'!AJ42,"Analog*")&gt;0,'＠MFP (LSI name)'!AJ42,OFFSET('＠グループ、表示名'!$H$4,MATCH('＠MFP (LSI name)'!AJ42,'＠グループ、表示名'!$D$4:$D$250,0)-1,0)))</f>
        <v/>
      </c>
      <c r="AK42" s="69" t="str">
        <f ca="1">IF('＠MFP (LSI name)'!AK42="","",IF(COUNTIF('＠MFP (LSI name)'!AK42,"Serial*")+COUNTIF('＠MFP (LSI name)'!AK42,"Analog*")&gt;0,'＠MFP (LSI name)'!AK42,OFFSET('＠グループ、表示名'!$H$4,MATCH('＠MFP (LSI name)'!AK42,'＠グループ、表示名'!$D$4:$D$250,0)-1,0)))</f>
        <v/>
      </c>
      <c r="AL42" s="9" t="str">
        <f t="shared" si="4"/>
        <v>IOPAMD[19]</v>
      </c>
      <c r="AM42" s="9" t="str">
        <f t="shared" si="5"/>
        <v>IOPAMD[18]</v>
      </c>
      <c r="AN42" s="9" t="str">
        <f t="shared" si="6"/>
        <v>IOPAMD[17]</v>
      </c>
      <c r="AO42" s="9" t="str">
        <f t="shared" si="7"/>
        <v>IOPAMD[16]</v>
      </c>
      <c r="AP42" s="86"/>
    </row>
    <row r="43" spans="1:42" ht="16.149999999999999">
      <c r="A43" s="61">
        <v>38</v>
      </c>
      <c r="B43" s="7">
        <v>38</v>
      </c>
      <c r="C43" s="7">
        <v>31</v>
      </c>
      <c r="D43" s="87"/>
      <c r="E43" s="87"/>
      <c r="F43" s="7">
        <v>38</v>
      </c>
      <c r="G43" s="7">
        <v>31</v>
      </c>
      <c r="H43" s="87"/>
      <c r="I43" s="45" t="s">
        <v>293</v>
      </c>
      <c r="J43" s="45" t="s">
        <v>294</v>
      </c>
      <c r="K43" s="69" t="str">
        <f ca="1">IF('＠MFP (LSI name)'!K43="","",IF(COUNTIF('＠MFP (LSI name)'!K43,"Serial*")+COUNTIF('＠MFP (LSI name)'!K43,"Analog*")&gt;0,'＠MFP (LSI name)'!K43,OFFSET('＠グループ、表示名'!$H$4,MATCH('＠MFP (LSI name)'!K43,'＠グループ、表示名'!$D$4:$D$250,0)-1,0)))</f>
        <v>IRQ37</v>
      </c>
      <c r="L43" s="69" t="str">
        <f ca="1">IF('＠MFP (LSI name)'!L43="","",IF(COUNTIF('＠MFP (LSI name)'!L43,"Serial*")+COUNTIF('＠MFP (LSI name)'!L43,"Analog*")&gt;0,'＠MFP (LSI name)'!L43,OFFSET('＠グループ、表示名'!$H$4,MATCH('＠MFP (LSI name)'!L43,'＠グループ、表示名'!$D$4:$D$250,0)-1,0)))</f>
        <v>TM13A</v>
      </c>
      <c r="M43" s="18" t="str">
        <f ca="1">IF('＠MFP (LSI name)'!M43="","",IF(COUNTIF('＠MFP (LSI name)'!M43,"Serial*")+COUNTIF('＠MFP (LSI name)'!M43,"Analog*")&gt;0,'＠MFP (LSI name)'!M43,OFFSET('＠グループ、表示名'!$H$4,MATCH('＠MFP (LSI name)'!M43,'＠グループ、表示名'!$D$4:$D$250,0)-1,0)))</f>
        <v>SIF3_SBCS3</v>
      </c>
      <c r="N43" s="18" t="str">
        <f ca="1">IF('＠MFP (LSI name)'!N43="","",IF(COUNTIF('＠MFP (LSI name)'!N43,"Serial*")+COUNTIF('＠MFP (LSI name)'!N43,"Analog*")&gt;0,'＠MFP (LSI name)'!N43,OFFSET('＠グループ、表示名'!$H$4,MATCH('＠MFP (LSI name)'!N43,'＠グループ、表示名'!$D$4:$D$250,0)-1,0)))</f>
        <v>SIF5_SBCS5</v>
      </c>
      <c r="O43" s="69" t="str">
        <f ca="1">IF('＠MFP (LSI name)'!O43="","",IF(COUNTIF('＠MFP (LSI name)'!O43,"Serial*")+COUNTIF('＠MFP (LSI name)'!O43,"Analog*")&gt;0,'＠MFP (LSI name)'!O43,OFFSET('＠グループ、表示名'!$H$4,MATCH('＠MFP (LSI name)'!O43,'＠グループ、表示名'!$D$4:$D$250,0)-1,0)))</f>
        <v/>
      </c>
      <c r="P43" s="69" t="str">
        <f ca="1">IF('＠MFP (LSI name)'!P43="","",IF(COUNTIF('＠MFP (LSI name)'!P43,"Serial*")+COUNTIF('＠MFP (LSI name)'!P43,"Analog*")&gt;0,'＠MFP (LSI name)'!P43,OFFSET('＠グループ、表示名'!$H$4,MATCH('＠MFP (LSI name)'!P43,'＠グループ、表示名'!$D$4:$D$250,0)-1,0)))</f>
        <v/>
      </c>
      <c r="Q43" s="69" t="str">
        <f ca="1">IF('＠MFP (LSI name)'!Q43="","",IF(COUNTIF('＠MFP (LSI name)'!Q43,"Serial*")+COUNTIF('＠MFP (LSI name)'!Q43,"Analog*")&gt;0,'＠MFP (LSI name)'!Q43,OFFSET('＠グループ、表示名'!$H$4,MATCH('＠MFP (LSI name)'!Q43,'＠グループ、表示名'!$D$4:$D$250,0)-1,0)))</f>
        <v/>
      </c>
      <c r="R43" s="69" t="str">
        <f ca="1">IF('＠MFP (LSI name)'!R43="","",IF(COUNTIF('＠MFP (LSI name)'!R43,"Serial*")+COUNTIF('＠MFP (LSI name)'!R43,"Analog*")&gt;0,'＠MFP (LSI name)'!R43,OFFSET('＠グループ、表示名'!$H$4,MATCH('＠MFP (LSI name)'!R43,'＠グループ、表示名'!$D$4:$D$250,0)-1,0)))</f>
        <v/>
      </c>
      <c r="S43" s="69" t="str">
        <f ca="1">IF('＠MFP (LSI name)'!S43="","",IF(COUNTIF('＠MFP (LSI name)'!S43,"Serial*")+COUNTIF('＠MFP (LSI name)'!S43,"Analog*")&gt;0,'＠MFP (LSI name)'!S43,OFFSET('＠グループ、表示名'!$H$4,MATCH('＠MFP (LSI name)'!S43,'＠グループ、表示名'!$D$4:$D$250,0)-1,0)))</f>
        <v/>
      </c>
      <c r="T43" s="69" t="str">
        <f ca="1">IF('＠MFP (LSI name)'!T43="","",IF(COUNTIF('＠MFP (LSI name)'!T43,"Serial*")+COUNTIF('＠MFP (LSI name)'!T43,"Analog*")&gt;0,'＠MFP (LSI name)'!T43,OFFSET('＠グループ、表示名'!$H$4,MATCH('＠MFP (LSI name)'!T43,'＠グループ、表示名'!$D$4:$D$250,0)-1,0)))</f>
        <v/>
      </c>
      <c r="U43" s="69" t="str">
        <f ca="1">IF('＠MFP (LSI name)'!U43="","",IF(COUNTIF('＠MFP (LSI name)'!U43,"Serial*")+COUNTIF('＠MFP (LSI name)'!U43,"Analog*")&gt;0,'＠MFP (LSI name)'!U43,OFFSET('＠グループ、表示名'!$H$4,MATCH('＠MFP (LSI name)'!U43,'＠グループ、表示名'!$D$4:$D$250,0)-1,0)))</f>
        <v/>
      </c>
      <c r="V43" s="69" t="str">
        <f ca="1">IF('＠MFP (LSI name)'!V43="","",IF(COUNTIF('＠MFP (LSI name)'!V43,"Serial*")+COUNTIF('＠MFP (LSI name)'!V43,"Analog*")&gt;0,'＠MFP (LSI name)'!V43,OFFSET('＠グループ、表示名'!$H$4,MATCH('＠MFP (LSI name)'!V43,'＠グループ、表示名'!$D$4:$D$250,0)-1,0)))</f>
        <v/>
      </c>
      <c r="W43" s="18" t="str">
        <f ca="1">IF('＠MFP (LSI name)'!W43="","",IF(COUNTIF('＠MFP (LSI name)'!W43,"Serial*")+COUNTIF('＠MFP (LSI name)'!W43,"Analog*")&gt;0,'＠MFP (LSI name)'!W43,OFFSET('＠グループ、表示名'!$H$4,MATCH('＠MFP (LSI name)'!W43,'＠グループ、表示名'!$D$4:$D$250,0)-1,0)))</f>
        <v/>
      </c>
      <c r="X43" s="18" t="str">
        <f ca="1">IF('＠MFP (LSI name)'!X43="","",IF(COUNTIF('＠MFP (LSI name)'!X43,"Serial*")+COUNTIF('＠MFP (LSI name)'!X43,"Analog*")&gt;0,'＠MFP (LSI name)'!X43,OFFSET('＠グループ、表示名'!$H$4,MATCH('＠MFP (LSI name)'!X43,'＠グループ、表示名'!$D$4:$D$250,0)-1,0)))</f>
        <v/>
      </c>
      <c r="Y43" s="18" t="str">
        <f ca="1">IF('＠MFP (LSI name)'!Y43="","",IF(COUNTIF('＠MFP (LSI name)'!Y43,"Serial*")+COUNTIF('＠MFP (LSI name)'!Y43,"Analog*")&gt;0,'＠MFP (LSI name)'!Y43,OFFSET('＠グループ、表示名'!$H$4,MATCH('＠MFP (LSI name)'!Y43,'＠グループ、表示名'!$D$4:$D$250,0)-1,0)))</f>
        <v/>
      </c>
      <c r="Z43" s="18" t="str">
        <f ca="1">IF('＠MFP (LSI name)'!Z43="","",IF(COUNTIF('＠MFP (LSI name)'!Z43,"Serial*")+COUNTIF('＠MFP (LSI name)'!Z43,"Analog*")&gt;0,'＠MFP (LSI name)'!Z43,OFFSET('＠グループ、表示名'!$H$4,MATCH('＠MFP (LSI name)'!Z43,'＠グループ、表示名'!$D$4:$D$250,0)-1,0)))</f>
        <v/>
      </c>
      <c r="AA43" s="69" t="str">
        <f ca="1">IF('＠MFP (LSI name)'!AA43="","",IF(COUNTIF('＠MFP (LSI name)'!AA43,"Serial*")+COUNTIF('＠MFP (LSI name)'!AA43,"Analog*")&gt;0,'＠MFP (LSI name)'!AA43,OFFSET('＠グループ、表示名'!$H$4,MATCH('＠MFP (LSI name)'!AA43,'＠グループ、表示名'!$D$4:$D$250,0)-1,0)))</f>
        <v/>
      </c>
      <c r="AB43" s="69" t="str">
        <f ca="1">IF('＠MFP (LSI name)'!AB43="","",IF(COUNTIF('＠MFP (LSI name)'!AB43,"Serial*")+COUNTIF('＠MFP (LSI name)'!AB43,"Analog*")&gt;0,'＠MFP (LSI name)'!AB43,OFFSET('＠グループ、表示名'!$H$4,MATCH('＠MFP (LSI name)'!AB43,'＠グループ、表示名'!$D$4:$D$250,0)-1,0)))</f>
        <v/>
      </c>
      <c r="AC43" s="18" t="str">
        <f ca="1">IF('＠MFP (LSI name)'!AC43="","",IF(COUNTIF('＠MFP (LSI name)'!AC43,"Serial*")+COUNTIF('＠MFP (LSI name)'!AC43,"Analog*")&gt;0,'＠MFP (LSI name)'!AC43,OFFSET('＠グループ、表示名'!$H$4,MATCH('＠MFP (LSI name)'!AC43,'＠グループ、表示名'!$D$4:$D$250,0)-1,0)))</f>
        <v/>
      </c>
      <c r="AD43" s="18" t="str">
        <f ca="1">IF('＠MFP (LSI name)'!AD43="","",IF(COUNTIF('＠MFP (LSI name)'!AD43,"Serial*")+COUNTIF('＠MFP (LSI name)'!AD43,"Analog*")&gt;0,'＠MFP (LSI name)'!AD43,OFFSET('＠グループ、表示名'!$H$4,MATCH('＠MFP (LSI name)'!AD43,'＠グループ、表示名'!$D$4:$D$250,0)-1,0)))</f>
        <v/>
      </c>
      <c r="AE43" s="18" t="str">
        <f ca="1">IF('＠MFP (LSI name)'!AE43="","",IF(COUNTIF('＠MFP (LSI name)'!AE43,"Serial*")+COUNTIF('＠MFP (LSI name)'!AE43,"Analog*")&gt;0,'＠MFP (LSI name)'!AE43,OFFSET('＠グループ、表示名'!$H$4,MATCH('＠MFP (LSI name)'!AE43,'＠グループ、表示名'!$D$4:$D$250,0)-1,0)))</f>
        <v/>
      </c>
      <c r="AF43" s="69" t="str">
        <f ca="1">IF('＠MFP (LSI name)'!AF43="","",IF(COUNTIF('＠MFP (LSI name)'!AF43,"Serial*")+COUNTIF('＠MFP (LSI name)'!AF43,"Analog*")&gt;0,'＠MFP (LSI name)'!AF43,OFFSET('＠グループ、表示名'!$H$4,MATCH('＠MFP (LSI name)'!AF43,'＠グループ、表示名'!$D$4:$D$250,0)-1,0)))</f>
        <v/>
      </c>
      <c r="AG43" s="69" t="str">
        <f ca="1">IF('＠MFP (LSI name)'!AG43="","",IF(COUNTIF('＠MFP (LSI name)'!AG43,"Serial*")+COUNTIF('＠MFP (LSI name)'!AG43,"Analog*")&gt;0,'＠MFP (LSI name)'!AG43,OFFSET('＠グループ、表示名'!$H$4,MATCH('＠MFP (LSI name)'!AG43,'＠グループ、表示名'!$D$4:$D$250,0)-1,0)))</f>
        <v/>
      </c>
      <c r="AH43" s="18" t="str">
        <f ca="1">IF('＠MFP (LSI name)'!AH43="","",IF(COUNTIF('＠MFP (LSI name)'!AH43,"Serial*")+COUNTIF('＠MFP (LSI name)'!AH43,"Analog*")&gt;0,'＠MFP (LSI name)'!AH43,OFFSET('＠グループ、表示名'!$H$4,MATCH('＠MFP (LSI name)'!AH43,'＠グループ、表示名'!$D$4:$D$250,0)-1,0)))</f>
        <v/>
      </c>
      <c r="AI43" s="18" t="str">
        <f ca="1">IF('＠MFP (LSI name)'!AI43="","",IF(COUNTIF('＠MFP (LSI name)'!AI43,"Serial*")+COUNTIF('＠MFP (LSI name)'!AI43,"Analog*")&gt;0,'＠MFP (LSI name)'!AI43,OFFSET('＠グループ、表示名'!$H$4,MATCH('＠MFP (LSI name)'!AI43,'＠グループ、表示名'!$D$4:$D$250,0)-1,0)))</f>
        <v/>
      </c>
      <c r="AJ43" s="18" t="str">
        <f ca="1">IF('＠MFP (LSI name)'!AJ43="","",IF(COUNTIF('＠MFP (LSI name)'!AJ43,"Serial*")+COUNTIF('＠MFP (LSI name)'!AJ43,"Analog*")&gt;0,'＠MFP (LSI name)'!AJ43,OFFSET('＠グループ、表示名'!$H$4,MATCH('＠MFP (LSI name)'!AJ43,'＠グループ、表示名'!$D$4:$D$250,0)-1,0)))</f>
        <v/>
      </c>
      <c r="AK43" s="69" t="str">
        <f ca="1">IF('＠MFP (LSI name)'!AK43="","",IF(COUNTIF('＠MFP (LSI name)'!AK43,"Serial*")+COUNTIF('＠MFP (LSI name)'!AK43,"Analog*")&gt;0,'＠MFP (LSI name)'!AK43,OFFSET('＠グループ、表示名'!$H$4,MATCH('＠MFP (LSI name)'!AK43,'＠グループ、表示名'!$D$4:$D$250,0)-1,0)))</f>
        <v/>
      </c>
      <c r="AL43" s="9" t="str">
        <f t="shared" si="4"/>
        <v>IOPAMD[15]</v>
      </c>
      <c r="AM43" s="9" t="str">
        <f t="shared" si="5"/>
        <v>IOPAMD[14]</v>
      </c>
      <c r="AN43" s="9" t="str">
        <f t="shared" si="6"/>
        <v>IOPAMD[13]</v>
      </c>
      <c r="AO43" s="9" t="str">
        <f t="shared" si="7"/>
        <v>IOPAMD[12]</v>
      </c>
      <c r="AP43" s="86"/>
    </row>
    <row r="44" spans="1:42" ht="16.149999999999999">
      <c r="A44" s="61">
        <v>39</v>
      </c>
      <c r="B44" s="7">
        <v>39</v>
      </c>
      <c r="C44" s="7"/>
      <c r="D44" s="87"/>
      <c r="E44" s="87"/>
      <c r="F44" s="7">
        <v>39</v>
      </c>
      <c r="G44" s="7"/>
      <c r="H44" s="87"/>
      <c r="I44" s="45" t="s">
        <v>298</v>
      </c>
      <c r="J44" s="45" t="s">
        <v>299</v>
      </c>
      <c r="K44" s="69" t="str">
        <f ca="1">IF('＠MFP (LSI name)'!K44="","",IF(COUNTIF('＠MFP (LSI name)'!K44,"Serial*")+COUNTIF('＠MFP (LSI name)'!K44,"Analog*")&gt;0,'＠MFP (LSI name)'!K44,OFFSET('＠グループ、表示名'!$H$4,MATCH('＠MFP (LSI name)'!K44,'＠グループ、表示名'!$D$4:$D$250,0)-1,0)))</f>
        <v>TM07A</v>
      </c>
      <c r="L44" s="69" t="str">
        <f ca="1">IF('＠MFP (LSI name)'!L44="","",IF(COUNTIF('＠MFP (LSI name)'!L44,"Serial*")+COUNTIF('＠MFP (LSI name)'!L44,"Analog*")&gt;0,'＠MFP (LSI name)'!L44,OFFSET('＠グループ、表示名'!$H$4,MATCH('＠MFP (LSI name)'!L44,'＠グループ、表示名'!$D$4:$D$250,0)-1,0)))</f>
        <v>TM13B</v>
      </c>
      <c r="M44" s="18" t="str">
        <f ca="1">IF('＠MFP (LSI name)'!M44="","",IF(COUNTIF('＠MFP (LSI name)'!M44,"Serial*")+COUNTIF('＠MFP (LSI name)'!M44,"Analog*")&gt;0,'＠MFP (LSI name)'!M44,OFFSET('＠グループ、表示名'!$H$4,MATCH('＠MFP (LSI name)'!M44,'＠グループ、表示名'!$D$4:$D$250,0)-1,0)))</f>
        <v>SIF2_SBCS2</v>
      </c>
      <c r="N44" s="69" t="str">
        <f ca="1">IF('＠MFP (LSI name)'!N44="","",IF(COUNTIF('＠MFP (LSI name)'!N44,"Serial*")+COUNTIF('＠MFP (LSI name)'!N44,"Analog*")&gt;0,'＠MFP (LSI name)'!N44,OFFSET('＠グループ、表示名'!$H$4,MATCH('＠MFP (LSI name)'!N44,'＠グループ、表示名'!$D$4:$D$250,0)-1,0)))</f>
        <v/>
      </c>
      <c r="O44" s="69" t="str">
        <f ca="1">IF('＠MFP (LSI name)'!O44="","",IF(COUNTIF('＠MFP (LSI name)'!O44,"Serial*")+COUNTIF('＠MFP (LSI name)'!O44,"Analog*")&gt;0,'＠MFP (LSI name)'!O44,OFFSET('＠グループ、表示名'!$H$4,MATCH('＠MFP (LSI name)'!O44,'＠グループ、表示名'!$D$4:$D$250,0)-1,0)))</f>
        <v/>
      </c>
      <c r="P44" s="69" t="str">
        <f ca="1">IF('＠MFP (LSI name)'!P44="","",IF(COUNTIF('＠MFP (LSI name)'!P44,"Serial*")+COUNTIF('＠MFP (LSI name)'!P44,"Analog*")&gt;0,'＠MFP (LSI name)'!P44,OFFSET('＠グループ、表示名'!$H$4,MATCH('＠MFP (LSI name)'!P44,'＠グループ、表示名'!$D$4:$D$250,0)-1,0)))</f>
        <v/>
      </c>
      <c r="Q44" s="69" t="str">
        <f ca="1">IF('＠MFP (LSI name)'!Q44="","",IF(COUNTIF('＠MFP (LSI name)'!Q44,"Serial*")+COUNTIF('＠MFP (LSI name)'!Q44,"Analog*")&gt;0,'＠MFP (LSI name)'!Q44,OFFSET('＠グループ、表示名'!$H$4,MATCH('＠MFP (LSI name)'!Q44,'＠グループ、表示名'!$D$4:$D$250,0)-1,0)))</f>
        <v/>
      </c>
      <c r="R44" s="69" t="str">
        <f ca="1">IF('＠MFP (LSI name)'!R44="","",IF(COUNTIF('＠MFP (LSI name)'!R44,"Serial*")+COUNTIF('＠MFP (LSI name)'!R44,"Analog*")&gt;0,'＠MFP (LSI name)'!R44,OFFSET('＠グループ、表示名'!$H$4,MATCH('＠MFP (LSI name)'!R44,'＠グループ、表示名'!$D$4:$D$250,0)-1,0)))</f>
        <v/>
      </c>
      <c r="S44" s="69" t="str">
        <f ca="1">IF('＠MFP (LSI name)'!S44="","",IF(COUNTIF('＠MFP (LSI name)'!S44,"Serial*")+COUNTIF('＠MFP (LSI name)'!S44,"Analog*")&gt;0,'＠MFP (LSI name)'!S44,OFFSET('＠グループ、表示名'!$H$4,MATCH('＠MFP (LSI name)'!S44,'＠グループ、表示名'!$D$4:$D$250,0)-1,0)))</f>
        <v/>
      </c>
      <c r="T44" s="69" t="str">
        <f ca="1">IF('＠MFP (LSI name)'!T44="","",IF(COUNTIF('＠MFP (LSI name)'!T44,"Serial*")+COUNTIF('＠MFP (LSI name)'!T44,"Analog*")&gt;0,'＠MFP (LSI name)'!T44,OFFSET('＠グループ、表示名'!$H$4,MATCH('＠MFP (LSI name)'!T44,'＠グループ、表示名'!$D$4:$D$250,0)-1,0)))</f>
        <v/>
      </c>
      <c r="U44" s="69" t="str">
        <f ca="1">IF('＠MFP (LSI name)'!U44="","",IF(COUNTIF('＠MFP (LSI name)'!U44,"Serial*")+COUNTIF('＠MFP (LSI name)'!U44,"Analog*")&gt;0,'＠MFP (LSI name)'!U44,OFFSET('＠グループ、表示名'!$H$4,MATCH('＠MFP (LSI name)'!U44,'＠グループ、表示名'!$D$4:$D$250,0)-1,0)))</f>
        <v/>
      </c>
      <c r="V44" s="69" t="str">
        <f ca="1">IF('＠MFP (LSI name)'!V44="","",IF(COUNTIF('＠MFP (LSI name)'!V44,"Serial*")+COUNTIF('＠MFP (LSI name)'!V44,"Analog*")&gt;0,'＠MFP (LSI name)'!V44,OFFSET('＠グループ、表示名'!$H$4,MATCH('＠MFP (LSI name)'!V44,'＠グループ、表示名'!$D$4:$D$250,0)-1,0)))</f>
        <v/>
      </c>
      <c r="W44" s="69" t="str">
        <f ca="1">IF('＠MFP (LSI name)'!W44="","",IF(COUNTIF('＠MFP (LSI name)'!W44,"Serial*")+COUNTIF('＠MFP (LSI name)'!W44,"Analog*")&gt;0,'＠MFP (LSI name)'!W44,OFFSET('＠グループ、表示名'!$H$4,MATCH('＠MFP (LSI name)'!W44,'＠グループ、表示名'!$D$4:$D$250,0)-1,0)))</f>
        <v/>
      </c>
      <c r="X44" s="69" t="str">
        <f ca="1">IF('＠MFP (LSI name)'!X44="","",IF(COUNTIF('＠MFP (LSI name)'!X44,"Serial*")+COUNTIF('＠MFP (LSI name)'!X44,"Analog*")&gt;0,'＠MFP (LSI name)'!X44,OFFSET('＠グループ、表示名'!$H$4,MATCH('＠MFP (LSI name)'!X44,'＠グループ、表示名'!$D$4:$D$250,0)-1,0)))</f>
        <v/>
      </c>
      <c r="Y44" s="18" t="str">
        <f ca="1">IF('＠MFP (LSI name)'!Y44="","",IF(COUNTIF('＠MFP (LSI name)'!Y44,"Serial*")+COUNTIF('＠MFP (LSI name)'!Y44,"Analog*")&gt;0,'＠MFP (LSI name)'!Y44,OFFSET('＠グループ、表示名'!$H$4,MATCH('＠MFP (LSI name)'!Y44,'＠グループ、表示名'!$D$4:$D$250,0)-1,0)))</f>
        <v/>
      </c>
      <c r="Z44" s="18" t="str">
        <f ca="1">IF('＠MFP (LSI name)'!Z44="","",IF(COUNTIF('＠MFP (LSI name)'!Z44,"Serial*")+COUNTIF('＠MFP (LSI name)'!Z44,"Analog*")&gt;0,'＠MFP (LSI name)'!Z44,OFFSET('＠グループ、表示名'!$H$4,MATCH('＠MFP (LSI name)'!Z44,'＠グループ、表示名'!$D$4:$D$250,0)-1,0)))</f>
        <v/>
      </c>
      <c r="AA44" s="69" t="str">
        <f ca="1">IF('＠MFP (LSI name)'!AA44="","",IF(COUNTIF('＠MFP (LSI name)'!AA44,"Serial*")+COUNTIF('＠MFP (LSI name)'!AA44,"Analog*")&gt;0,'＠MFP (LSI name)'!AA44,OFFSET('＠グループ、表示名'!$H$4,MATCH('＠MFP (LSI name)'!AA44,'＠グループ、表示名'!$D$4:$D$250,0)-1,0)))</f>
        <v/>
      </c>
      <c r="AB44" s="69" t="str">
        <f ca="1">IF('＠MFP (LSI name)'!AB44="","",IF(COUNTIF('＠MFP (LSI name)'!AB44,"Serial*")+COUNTIF('＠MFP (LSI name)'!AB44,"Analog*")&gt;0,'＠MFP (LSI name)'!AB44,OFFSET('＠グループ、表示名'!$H$4,MATCH('＠MFP (LSI name)'!AB44,'＠グループ、表示名'!$D$4:$D$250,0)-1,0)))</f>
        <v/>
      </c>
      <c r="AC44" s="69" t="str">
        <f ca="1">IF('＠MFP (LSI name)'!AC44="","",IF(COUNTIF('＠MFP (LSI name)'!AC44,"Serial*")+COUNTIF('＠MFP (LSI name)'!AC44,"Analog*")&gt;0,'＠MFP (LSI name)'!AC44,OFFSET('＠グループ、表示名'!$H$4,MATCH('＠MFP (LSI name)'!AC44,'＠グループ、表示名'!$D$4:$D$250,0)-1,0)))</f>
        <v/>
      </c>
      <c r="AD44" s="69" t="str">
        <f ca="1">IF('＠MFP (LSI name)'!AD44="","",IF(COUNTIF('＠MFP (LSI name)'!AD44,"Serial*")+COUNTIF('＠MFP (LSI name)'!AD44,"Analog*")&gt;0,'＠MFP (LSI name)'!AD44,OFFSET('＠グループ、表示名'!$H$4,MATCH('＠MFP (LSI name)'!AD44,'＠グループ、表示名'!$D$4:$D$250,0)-1,0)))</f>
        <v/>
      </c>
      <c r="AE44" s="18" t="str">
        <f ca="1">IF('＠MFP (LSI name)'!AE44="","",IF(COUNTIF('＠MFP (LSI name)'!AE44,"Serial*")+COUNTIF('＠MFP (LSI name)'!AE44,"Analog*")&gt;0,'＠MFP (LSI name)'!AE44,OFFSET('＠グループ、表示名'!$H$4,MATCH('＠MFP (LSI name)'!AE44,'＠グループ、表示名'!$D$4:$D$250,0)-1,0)))</f>
        <v/>
      </c>
      <c r="AF44" s="69" t="str">
        <f ca="1">IF('＠MFP (LSI name)'!AF44="","",IF(COUNTIF('＠MFP (LSI name)'!AF44,"Serial*")+COUNTIF('＠MFP (LSI name)'!AF44,"Analog*")&gt;0,'＠MFP (LSI name)'!AF44,OFFSET('＠グループ、表示名'!$H$4,MATCH('＠MFP (LSI name)'!AF44,'＠グループ、表示名'!$D$4:$D$250,0)-1,0)))</f>
        <v/>
      </c>
      <c r="AG44" s="69" t="str">
        <f ca="1">IF('＠MFP (LSI name)'!AG44="","",IF(COUNTIF('＠MFP (LSI name)'!AG44,"Serial*")+COUNTIF('＠MFP (LSI name)'!AG44,"Analog*")&gt;0,'＠MFP (LSI name)'!AG44,OFFSET('＠グループ、表示名'!$H$4,MATCH('＠MFP (LSI name)'!AG44,'＠グループ、表示名'!$D$4:$D$250,0)-1,0)))</f>
        <v/>
      </c>
      <c r="AH44" s="69" t="str">
        <f ca="1">IF('＠MFP (LSI name)'!AH44="","",IF(COUNTIF('＠MFP (LSI name)'!AH44,"Serial*")+COUNTIF('＠MFP (LSI name)'!AH44,"Analog*")&gt;0,'＠MFP (LSI name)'!AH44,OFFSET('＠グループ、表示名'!$H$4,MATCH('＠MFP (LSI name)'!AH44,'＠グループ、表示名'!$D$4:$D$250,0)-1,0)))</f>
        <v/>
      </c>
      <c r="AI44" s="69" t="str">
        <f ca="1">IF('＠MFP (LSI name)'!AI44="","",IF(COUNTIF('＠MFP (LSI name)'!AI44,"Serial*")+COUNTIF('＠MFP (LSI name)'!AI44,"Analog*")&gt;0,'＠MFP (LSI name)'!AI44,OFFSET('＠グループ、表示名'!$H$4,MATCH('＠MFP (LSI name)'!AI44,'＠グループ、表示名'!$D$4:$D$250,0)-1,0)))</f>
        <v/>
      </c>
      <c r="AJ44" s="18" t="str">
        <f ca="1">IF('＠MFP (LSI name)'!AJ44="","",IF(COUNTIF('＠MFP (LSI name)'!AJ44,"Serial*")+COUNTIF('＠MFP (LSI name)'!AJ44,"Analog*")&gt;0,'＠MFP (LSI name)'!AJ44,OFFSET('＠グループ、表示名'!$H$4,MATCH('＠MFP (LSI name)'!AJ44,'＠グループ、表示名'!$D$4:$D$250,0)-1,0)))</f>
        <v/>
      </c>
      <c r="AK44" s="69" t="str">
        <f ca="1">IF('＠MFP (LSI name)'!AK44="","",IF(COUNTIF('＠MFP (LSI name)'!AK44,"Serial*")+COUNTIF('＠MFP (LSI name)'!AK44,"Analog*")&gt;0,'＠MFP (LSI name)'!AK44,OFFSET('＠グループ、表示名'!$H$4,MATCH('＠MFP (LSI name)'!AK44,'＠グループ、表示名'!$D$4:$D$250,0)-1,0)))</f>
        <v/>
      </c>
      <c r="AL44" s="9" t="str">
        <f t="shared" si="4"/>
        <v>IOPAMD[11]</v>
      </c>
      <c r="AM44" s="9" t="str">
        <f t="shared" si="5"/>
        <v>IOPAMD[10]</v>
      </c>
      <c r="AN44" s="9" t="str">
        <f t="shared" si="6"/>
        <v>IOPAMD[9]</v>
      </c>
      <c r="AO44" s="9" t="str">
        <f t="shared" si="7"/>
        <v>IOPAMD[8]</v>
      </c>
      <c r="AP44" s="86"/>
    </row>
    <row r="45" spans="1:42" ht="16.149999999999999">
      <c r="A45" s="61">
        <v>40</v>
      </c>
      <c r="B45" s="7">
        <v>40</v>
      </c>
      <c r="C45" s="7"/>
      <c r="D45" s="87"/>
      <c r="E45" s="87"/>
      <c r="F45" s="7">
        <v>40</v>
      </c>
      <c r="G45" s="7"/>
      <c r="H45" s="87"/>
      <c r="I45" s="45" t="s">
        <v>303</v>
      </c>
      <c r="J45" s="45" t="s">
        <v>304</v>
      </c>
      <c r="K45" s="69" t="str">
        <f ca="1">IF('＠MFP (LSI name)'!K45="","",IF(COUNTIF('＠MFP (LSI name)'!K45,"Serial*")+COUNTIF('＠MFP (LSI name)'!K45,"Analog*")&gt;0,'＠MFP (LSI name)'!K45,OFFSET('＠グループ、表示名'!$H$4,MATCH('＠MFP (LSI name)'!K45,'＠グループ、表示名'!$D$4:$D$250,0)-1,0)))</f>
        <v>IRQ20</v>
      </c>
      <c r="L45" s="69" t="str">
        <f ca="1">IF('＠MFP (LSI name)'!L45="","",IF(COUNTIF('＠MFP (LSI name)'!L45,"Serial*")+COUNTIF('＠MFP (LSI name)'!L45,"Analog*")&gt;0,'＠MFP (LSI name)'!L45,OFFSET('＠グループ、表示名'!$H$4,MATCH('＠MFP (LSI name)'!L45,'＠グループ、表示名'!$D$4:$D$250,0)-1,0)))</f>
        <v>TM04A</v>
      </c>
      <c r="M45" s="69" t="str">
        <f ca="1">IF('＠MFP (LSI name)'!M45="","",IF(COUNTIF('＠MFP (LSI name)'!M45,"Serial*")+COUNTIF('＠MFP (LSI name)'!M45,"Analog*")&gt;0,'＠MFP (LSI name)'!M45,OFFSET('＠グループ、表示名'!$H$4,MATCH('＠MFP (LSI name)'!M45,'＠グループ、表示名'!$D$4:$D$250,0)-1,0)))</f>
        <v>GPWM3_GPWM30</v>
      </c>
      <c r="N45" s="69" t="str">
        <f ca="1">IF('＠MFP (LSI name)'!N45="","",IF(COUNTIF('＠MFP (LSI name)'!N45,"Serial*")+COUNTIF('＠MFP (LSI name)'!N45,"Analog*")&gt;0,'＠MFP (LSI name)'!N45,OFFSET('＠グループ、表示名'!$H$4,MATCH('＠MFP (LSI name)'!N45,'＠グループ、表示名'!$D$4:$D$250,0)-1,0)))</f>
        <v/>
      </c>
      <c r="O45" s="69" t="str">
        <f ca="1">IF('＠MFP (LSI name)'!O45="","",IF(COUNTIF('＠MFP (LSI name)'!O45,"Serial*")+COUNTIF('＠MFP (LSI name)'!O45,"Analog*")&gt;0,'＠MFP (LSI name)'!O45,OFFSET('＠グループ、表示名'!$H$4,MATCH('＠MFP (LSI name)'!O45,'＠グループ、表示名'!$D$4:$D$250,0)-1,0)))</f>
        <v/>
      </c>
      <c r="P45" s="69" t="str">
        <f ca="1">IF('＠MFP (LSI name)'!P45="","",IF(COUNTIF('＠MFP (LSI name)'!P45,"Serial*")+COUNTIF('＠MFP (LSI name)'!P45,"Analog*")&gt;0,'＠MFP (LSI name)'!P45,OFFSET('＠グループ、表示名'!$H$4,MATCH('＠MFP (LSI name)'!P45,'＠グループ、表示名'!$D$4:$D$250,0)-1,0)))</f>
        <v/>
      </c>
      <c r="Q45" s="69" t="str">
        <f ca="1">IF('＠MFP (LSI name)'!Q45="","",IF(COUNTIF('＠MFP (LSI name)'!Q45,"Serial*")+COUNTIF('＠MFP (LSI name)'!Q45,"Analog*")&gt;0,'＠MFP (LSI name)'!Q45,OFFSET('＠グループ、表示名'!$H$4,MATCH('＠MFP (LSI name)'!Q45,'＠グループ、表示名'!$D$4:$D$250,0)-1,0)))</f>
        <v/>
      </c>
      <c r="R45" s="69" t="str">
        <f ca="1">IF('＠MFP (LSI name)'!R45="","",IF(COUNTIF('＠MFP (LSI name)'!R45,"Serial*")+COUNTIF('＠MFP (LSI name)'!R45,"Analog*")&gt;0,'＠MFP (LSI name)'!R45,OFFSET('＠グループ、表示名'!$H$4,MATCH('＠MFP (LSI name)'!R45,'＠グループ、表示名'!$D$4:$D$250,0)-1,0)))</f>
        <v/>
      </c>
      <c r="S45" s="69" t="str">
        <f ca="1">IF('＠MFP (LSI name)'!S45="","",IF(COUNTIF('＠MFP (LSI name)'!S45,"Serial*")+COUNTIF('＠MFP (LSI name)'!S45,"Analog*")&gt;0,'＠MFP (LSI name)'!S45,OFFSET('＠グループ、表示名'!$H$4,MATCH('＠MFP (LSI name)'!S45,'＠グループ、表示名'!$D$4:$D$250,0)-1,0)))</f>
        <v/>
      </c>
      <c r="T45" s="69" t="str">
        <f ca="1">IF('＠MFP (LSI name)'!T45="","",IF(COUNTIF('＠MFP (LSI name)'!T45,"Serial*")+COUNTIF('＠MFP (LSI name)'!T45,"Analog*")&gt;0,'＠MFP (LSI name)'!T45,OFFSET('＠グループ、表示名'!$H$4,MATCH('＠MFP (LSI name)'!T45,'＠グループ、表示名'!$D$4:$D$250,0)-1,0)))</f>
        <v/>
      </c>
      <c r="U45" s="69" t="str">
        <f ca="1">IF('＠MFP (LSI name)'!U45="","",IF(COUNTIF('＠MFP (LSI name)'!U45,"Serial*")+COUNTIF('＠MFP (LSI name)'!U45,"Analog*")&gt;0,'＠MFP (LSI name)'!U45,OFFSET('＠グループ、表示名'!$H$4,MATCH('＠MFP (LSI name)'!U45,'＠グループ、表示名'!$D$4:$D$250,0)-1,0)))</f>
        <v/>
      </c>
      <c r="V45" s="69" t="str">
        <f ca="1">IF('＠MFP (LSI name)'!V45="","",IF(COUNTIF('＠MFP (LSI name)'!V45,"Serial*")+COUNTIF('＠MFP (LSI name)'!V45,"Analog*")&gt;0,'＠MFP (LSI name)'!V45,OFFSET('＠グループ、表示名'!$H$4,MATCH('＠MFP (LSI name)'!V45,'＠グループ、表示名'!$D$4:$D$250,0)-1,0)))</f>
        <v/>
      </c>
      <c r="W45" s="69" t="str">
        <f ca="1">IF('＠MFP (LSI name)'!W45="","",IF(COUNTIF('＠MFP (LSI name)'!W45,"Serial*")+COUNTIF('＠MFP (LSI name)'!W45,"Analog*")&gt;0,'＠MFP (LSI name)'!W45,OFFSET('＠グループ、表示名'!$H$4,MATCH('＠MFP (LSI name)'!W45,'＠グループ、表示名'!$D$4:$D$250,0)-1,0)))</f>
        <v/>
      </c>
      <c r="X45" s="69" t="str">
        <f ca="1">IF('＠MFP (LSI name)'!X45="","",IF(COUNTIF('＠MFP (LSI name)'!X45,"Serial*")+COUNTIF('＠MFP (LSI name)'!X45,"Analog*")&gt;0,'＠MFP (LSI name)'!X45,OFFSET('＠グループ、表示名'!$H$4,MATCH('＠MFP (LSI name)'!X45,'＠グループ、表示名'!$D$4:$D$250,0)-1,0)))</f>
        <v/>
      </c>
      <c r="Y45" s="18" t="str">
        <f ca="1">IF('＠MFP (LSI name)'!Y45="","",IF(COUNTIF('＠MFP (LSI name)'!Y45,"Serial*")+COUNTIF('＠MFP (LSI name)'!Y45,"Analog*")&gt;0,'＠MFP (LSI name)'!Y45,OFFSET('＠グループ、表示名'!$H$4,MATCH('＠MFP (LSI name)'!Y45,'＠グループ、表示名'!$D$4:$D$250,0)-1,0)))</f>
        <v/>
      </c>
      <c r="Z45" s="18" t="str">
        <f ca="1">IF('＠MFP (LSI name)'!Z45="","",IF(COUNTIF('＠MFP (LSI name)'!Z45,"Serial*")+COUNTIF('＠MFP (LSI name)'!Z45,"Analog*")&gt;0,'＠MFP (LSI name)'!Z45,OFFSET('＠グループ、表示名'!$H$4,MATCH('＠MFP (LSI name)'!Z45,'＠グループ、表示名'!$D$4:$D$250,0)-1,0)))</f>
        <v/>
      </c>
      <c r="AA45" s="69" t="str">
        <f ca="1">IF('＠MFP (LSI name)'!AA45="","",IF(COUNTIF('＠MFP (LSI name)'!AA45,"Serial*")+COUNTIF('＠MFP (LSI name)'!AA45,"Analog*")&gt;0,'＠MFP (LSI name)'!AA45,OFFSET('＠グループ、表示名'!$H$4,MATCH('＠MFP (LSI name)'!AA45,'＠グループ、表示名'!$D$4:$D$250,0)-1,0)))</f>
        <v/>
      </c>
      <c r="AB45" s="69" t="str">
        <f ca="1">IF('＠MFP (LSI name)'!AB45="","",IF(COUNTIF('＠MFP (LSI name)'!AB45,"Serial*")+COUNTIF('＠MFP (LSI name)'!AB45,"Analog*")&gt;0,'＠MFP (LSI name)'!AB45,OFFSET('＠グループ、表示名'!$H$4,MATCH('＠MFP (LSI name)'!AB45,'＠グループ、表示名'!$D$4:$D$250,0)-1,0)))</f>
        <v/>
      </c>
      <c r="AC45" s="69" t="str">
        <f ca="1">IF('＠MFP (LSI name)'!AC45="","",IF(COUNTIF('＠MFP (LSI name)'!AC45,"Serial*")+COUNTIF('＠MFP (LSI name)'!AC45,"Analog*")&gt;0,'＠MFP (LSI name)'!AC45,OFFSET('＠グループ、表示名'!$H$4,MATCH('＠MFP (LSI name)'!AC45,'＠グループ、表示名'!$D$4:$D$250,0)-1,0)))</f>
        <v/>
      </c>
      <c r="AD45" s="69" t="str">
        <f ca="1">IF('＠MFP (LSI name)'!AD45="","",IF(COUNTIF('＠MFP (LSI name)'!AD45,"Serial*")+COUNTIF('＠MFP (LSI name)'!AD45,"Analog*")&gt;0,'＠MFP (LSI name)'!AD45,OFFSET('＠グループ、表示名'!$H$4,MATCH('＠MFP (LSI name)'!AD45,'＠グループ、表示名'!$D$4:$D$250,0)-1,0)))</f>
        <v/>
      </c>
      <c r="AE45" s="18" t="str">
        <f ca="1">IF('＠MFP (LSI name)'!AE45="","",IF(COUNTIF('＠MFP (LSI name)'!AE45,"Serial*")+COUNTIF('＠MFP (LSI name)'!AE45,"Analog*")&gt;0,'＠MFP (LSI name)'!AE45,OFFSET('＠グループ、表示名'!$H$4,MATCH('＠MFP (LSI name)'!AE45,'＠グループ、表示名'!$D$4:$D$250,0)-1,0)))</f>
        <v/>
      </c>
      <c r="AF45" s="69" t="str">
        <f ca="1">IF('＠MFP (LSI name)'!AF45="","",IF(COUNTIF('＠MFP (LSI name)'!AF45,"Serial*")+COUNTIF('＠MFP (LSI name)'!AF45,"Analog*")&gt;0,'＠MFP (LSI name)'!AF45,OFFSET('＠グループ、表示名'!$H$4,MATCH('＠MFP (LSI name)'!AF45,'＠グループ、表示名'!$D$4:$D$250,0)-1,0)))</f>
        <v/>
      </c>
      <c r="AG45" s="69" t="str">
        <f ca="1">IF('＠MFP (LSI name)'!AG45="","",IF(COUNTIF('＠MFP (LSI name)'!AG45,"Serial*")+COUNTIF('＠MFP (LSI name)'!AG45,"Analog*")&gt;0,'＠MFP (LSI name)'!AG45,OFFSET('＠グループ、表示名'!$H$4,MATCH('＠MFP (LSI name)'!AG45,'＠グループ、表示名'!$D$4:$D$250,0)-1,0)))</f>
        <v/>
      </c>
      <c r="AH45" s="69" t="str">
        <f ca="1">IF('＠MFP (LSI name)'!AH45="","",IF(COUNTIF('＠MFP (LSI name)'!AH45,"Serial*")+COUNTIF('＠MFP (LSI name)'!AH45,"Analog*")&gt;0,'＠MFP (LSI name)'!AH45,OFFSET('＠グループ、表示名'!$H$4,MATCH('＠MFP (LSI name)'!AH45,'＠グループ、表示名'!$D$4:$D$250,0)-1,0)))</f>
        <v/>
      </c>
      <c r="AI45" s="69" t="str">
        <f ca="1">IF('＠MFP (LSI name)'!AI45="","",IF(COUNTIF('＠MFP (LSI name)'!AI45,"Serial*")+COUNTIF('＠MFP (LSI name)'!AI45,"Analog*")&gt;0,'＠MFP (LSI name)'!AI45,OFFSET('＠グループ、表示名'!$H$4,MATCH('＠MFP (LSI name)'!AI45,'＠グループ、表示名'!$D$4:$D$250,0)-1,0)))</f>
        <v/>
      </c>
      <c r="AJ45" s="18" t="str">
        <f ca="1">IF('＠MFP (LSI name)'!AJ45="","",IF(COUNTIF('＠MFP (LSI name)'!AJ45,"Serial*")+COUNTIF('＠MFP (LSI name)'!AJ45,"Analog*")&gt;0,'＠MFP (LSI name)'!AJ45,OFFSET('＠グループ、表示名'!$H$4,MATCH('＠MFP (LSI name)'!AJ45,'＠グループ、表示名'!$D$4:$D$250,0)-1,0)))</f>
        <v/>
      </c>
      <c r="AK45" s="69" t="str">
        <f ca="1">IF('＠MFP (LSI name)'!AK45="","",IF(COUNTIF('＠MFP (LSI name)'!AK45,"Serial*")+COUNTIF('＠MFP (LSI name)'!AK45,"Analog*")&gt;0,'＠MFP (LSI name)'!AK45,OFFSET('＠グループ、表示名'!$H$4,MATCH('＠MFP (LSI name)'!AK45,'＠グループ、表示名'!$D$4:$D$250,0)-1,0)))</f>
        <v/>
      </c>
      <c r="AL45" s="9" t="str">
        <f t="shared" si="4"/>
        <v>IOPAMD[7]</v>
      </c>
      <c r="AM45" s="9" t="str">
        <f t="shared" si="5"/>
        <v>IOPAMD[6]</v>
      </c>
      <c r="AN45" s="9" t="str">
        <f t="shared" si="6"/>
        <v>IOPAMD[5]</v>
      </c>
      <c r="AO45" s="9" t="str">
        <f t="shared" si="7"/>
        <v>IOPAMD[4]</v>
      </c>
      <c r="AP45" s="86"/>
    </row>
    <row r="46" spans="1:42" ht="16.149999999999999">
      <c r="A46" s="61">
        <v>41</v>
      </c>
      <c r="B46" s="7">
        <v>41</v>
      </c>
      <c r="C46" s="7"/>
      <c r="D46" s="87"/>
      <c r="E46" s="87"/>
      <c r="F46" s="7">
        <v>41</v>
      </c>
      <c r="G46" s="7"/>
      <c r="H46" s="87"/>
      <c r="I46" s="45" t="s">
        <v>308</v>
      </c>
      <c r="J46" s="45" t="s">
        <v>309</v>
      </c>
      <c r="K46" s="69" t="str">
        <f ca="1">IF('＠MFP (LSI name)'!K46="","",IF(COUNTIF('＠MFP (LSI name)'!K46,"Serial*")+COUNTIF('＠MFP (LSI name)'!K46,"Analog*")&gt;0,'＠MFP (LSI name)'!K46,OFFSET('＠グループ、表示名'!$H$4,MATCH('＠MFP (LSI name)'!K46,'＠グループ、表示名'!$D$4:$D$250,0)-1,0)))</f>
        <v>TM02A</v>
      </c>
      <c r="L46" s="69" t="str">
        <f ca="1">IF('＠MFP (LSI name)'!L46="","",IF(COUNTIF('＠MFP (LSI name)'!L46,"Serial*")+COUNTIF('＠MFP (LSI name)'!L46,"Analog*")&gt;0,'＠MFP (LSI name)'!L46,OFFSET('＠グループ、表示名'!$H$4,MATCH('＠MFP (LSI name)'!L46,'＠グループ、表示名'!$D$4:$D$250,0)-1,0)))</f>
        <v>GPWM4_GPWM40</v>
      </c>
      <c r="M46" s="69" t="str">
        <f ca="1">IF('＠MFP (LSI name)'!M46="","",IF(COUNTIF('＠MFP (LSI name)'!M46,"Serial*")+COUNTIF('＠MFP (LSI name)'!M46,"Analog*")&gt;0,'＠MFP (LSI name)'!M46,OFFSET('＠グループ、表示名'!$H$4,MATCH('＠MFP (LSI name)'!M46,'＠グループ、表示名'!$D$4:$D$250,0)-1,0)))</f>
        <v/>
      </c>
      <c r="N46" s="69" t="str">
        <f ca="1">IF('＠MFP (LSI name)'!N46="","",IF(COUNTIF('＠MFP (LSI name)'!N46,"Serial*")+COUNTIF('＠MFP (LSI name)'!N46,"Analog*")&gt;0,'＠MFP (LSI name)'!N46,OFFSET('＠グループ、表示名'!$H$4,MATCH('＠MFP (LSI name)'!N46,'＠グループ、表示名'!$D$4:$D$250,0)-1,0)))</f>
        <v/>
      </c>
      <c r="O46" s="69" t="str">
        <f ca="1">IF('＠MFP (LSI name)'!O46="","",IF(COUNTIF('＠MFP (LSI name)'!O46,"Serial*")+COUNTIF('＠MFP (LSI name)'!O46,"Analog*")&gt;0,'＠MFP (LSI name)'!O46,OFFSET('＠グループ、表示名'!$H$4,MATCH('＠MFP (LSI name)'!O46,'＠グループ、表示名'!$D$4:$D$250,0)-1,0)))</f>
        <v/>
      </c>
      <c r="P46" s="69" t="str">
        <f ca="1">IF('＠MFP (LSI name)'!P46="","",IF(COUNTIF('＠MFP (LSI name)'!P46,"Serial*")+COUNTIF('＠MFP (LSI name)'!P46,"Analog*")&gt;0,'＠MFP (LSI name)'!P46,OFFSET('＠グループ、表示名'!$H$4,MATCH('＠MFP (LSI name)'!P46,'＠グループ、表示名'!$D$4:$D$250,0)-1,0)))</f>
        <v/>
      </c>
      <c r="Q46" s="69" t="str">
        <f ca="1">IF('＠MFP (LSI name)'!Q46="","",IF(COUNTIF('＠MFP (LSI name)'!Q46,"Serial*")+COUNTIF('＠MFP (LSI name)'!Q46,"Analog*")&gt;0,'＠MFP (LSI name)'!Q46,OFFSET('＠グループ、表示名'!$H$4,MATCH('＠MFP (LSI name)'!Q46,'＠グループ、表示名'!$D$4:$D$250,0)-1,0)))</f>
        <v/>
      </c>
      <c r="R46" s="69" t="str">
        <f ca="1">IF('＠MFP (LSI name)'!R46="","",IF(COUNTIF('＠MFP (LSI name)'!R46,"Serial*")+COUNTIF('＠MFP (LSI name)'!R46,"Analog*")&gt;0,'＠MFP (LSI name)'!R46,OFFSET('＠グループ、表示名'!$H$4,MATCH('＠MFP (LSI name)'!R46,'＠グループ、表示名'!$D$4:$D$250,0)-1,0)))</f>
        <v/>
      </c>
      <c r="S46" s="69" t="str">
        <f ca="1">IF('＠MFP (LSI name)'!S46="","",IF(COUNTIF('＠MFP (LSI name)'!S46,"Serial*")+COUNTIF('＠MFP (LSI name)'!S46,"Analog*")&gt;0,'＠MFP (LSI name)'!S46,OFFSET('＠グループ、表示名'!$H$4,MATCH('＠MFP (LSI name)'!S46,'＠グループ、表示名'!$D$4:$D$250,0)-1,0)))</f>
        <v/>
      </c>
      <c r="T46" s="69" t="str">
        <f ca="1">IF('＠MFP (LSI name)'!T46="","",IF(COUNTIF('＠MFP (LSI name)'!T46,"Serial*")+COUNTIF('＠MFP (LSI name)'!T46,"Analog*")&gt;0,'＠MFP (LSI name)'!T46,OFFSET('＠グループ、表示名'!$H$4,MATCH('＠MFP (LSI name)'!T46,'＠グループ、表示名'!$D$4:$D$250,0)-1,0)))</f>
        <v/>
      </c>
      <c r="U46" s="69" t="str">
        <f ca="1">IF('＠MFP (LSI name)'!U46="","",IF(COUNTIF('＠MFP (LSI name)'!U46,"Serial*")+COUNTIF('＠MFP (LSI name)'!U46,"Analog*")&gt;0,'＠MFP (LSI name)'!U46,OFFSET('＠グループ、表示名'!$H$4,MATCH('＠MFP (LSI name)'!U46,'＠グループ、表示名'!$D$4:$D$250,0)-1,0)))</f>
        <v/>
      </c>
      <c r="V46" s="69" t="str">
        <f ca="1">IF('＠MFP (LSI name)'!V46="","",IF(COUNTIF('＠MFP (LSI name)'!V46,"Serial*")+COUNTIF('＠MFP (LSI name)'!V46,"Analog*")&gt;0,'＠MFP (LSI name)'!V46,OFFSET('＠グループ、表示名'!$H$4,MATCH('＠MFP (LSI name)'!V46,'＠グループ、表示名'!$D$4:$D$250,0)-1,0)))</f>
        <v/>
      </c>
      <c r="W46" s="69" t="str">
        <f ca="1">IF('＠MFP (LSI name)'!W46="","",IF(COUNTIF('＠MFP (LSI name)'!W46,"Serial*")+COUNTIF('＠MFP (LSI name)'!W46,"Analog*")&gt;0,'＠MFP (LSI name)'!W46,OFFSET('＠グループ、表示名'!$H$4,MATCH('＠MFP (LSI name)'!W46,'＠グループ、表示名'!$D$4:$D$250,0)-1,0)))</f>
        <v/>
      </c>
      <c r="X46" s="69" t="str">
        <f ca="1">IF('＠MFP (LSI name)'!X46="","",IF(COUNTIF('＠MFP (LSI name)'!X46,"Serial*")+COUNTIF('＠MFP (LSI name)'!X46,"Analog*")&gt;0,'＠MFP (LSI name)'!X46,OFFSET('＠グループ、表示名'!$H$4,MATCH('＠MFP (LSI name)'!X46,'＠グループ、表示名'!$D$4:$D$250,0)-1,0)))</f>
        <v/>
      </c>
      <c r="Y46" s="18" t="str">
        <f ca="1">IF('＠MFP (LSI name)'!Y46="","",IF(COUNTIF('＠MFP (LSI name)'!Y46,"Serial*")+COUNTIF('＠MFP (LSI name)'!Y46,"Analog*")&gt;0,'＠MFP (LSI name)'!Y46,OFFSET('＠グループ、表示名'!$H$4,MATCH('＠MFP (LSI name)'!Y46,'＠グループ、表示名'!$D$4:$D$250,0)-1,0)))</f>
        <v/>
      </c>
      <c r="Z46" s="18" t="str">
        <f ca="1">IF('＠MFP (LSI name)'!Z46="","",IF(COUNTIF('＠MFP (LSI name)'!Z46,"Serial*")+COUNTIF('＠MFP (LSI name)'!Z46,"Analog*")&gt;0,'＠MFP (LSI name)'!Z46,OFFSET('＠グループ、表示名'!$H$4,MATCH('＠MFP (LSI name)'!Z46,'＠グループ、表示名'!$D$4:$D$250,0)-1,0)))</f>
        <v/>
      </c>
      <c r="AA46" s="69" t="str">
        <f ca="1">IF('＠MFP (LSI name)'!AA46="","",IF(COUNTIF('＠MFP (LSI name)'!AA46,"Serial*")+COUNTIF('＠MFP (LSI name)'!AA46,"Analog*")&gt;0,'＠MFP (LSI name)'!AA46,OFFSET('＠グループ、表示名'!$H$4,MATCH('＠MFP (LSI name)'!AA46,'＠グループ、表示名'!$D$4:$D$250,0)-1,0)))</f>
        <v/>
      </c>
      <c r="AB46" s="69" t="str">
        <f ca="1">IF('＠MFP (LSI name)'!AB46="","",IF(COUNTIF('＠MFP (LSI name)'!AB46,"Serial*")+COUNTIF('＠MFP (LSI name)'!AB46,"Analog*")&gt;0,'＠MFP (LSI name)'!AB46,OFFSET('＠グループ、表示名'!$H$4,MATCH('＠MFP (LSI name)'!AB46,'＠グループ、表示名'!$D$4:$D$250,0)-1,0)))</f>
        <v/>
      </c>
      <c r="AC46" s="69" t="str">
        <f ca="1">IF('＠MFP (LSI name)'!AC46="","",IF(COUNTIF('＠MFP (LSI name)'!AC46,"Serial*")+COUNTIF('＠MFP (LSI name)'!AC46,"Analog*")&gt;0,'＠MFP (LSI name)'!AC46,OFFSET('＠グループ、表示名'!$H$4,MATCH('＠MFP (LSI name)'!AC46,'＠グループ、表示名'!$D$4:$D$250,0)-1,0)))</f>
        <v/>
      </c>
      <c r="AD46" s="69" t="str">
        <f ca="1">IF('＠MFP (LSI name)'!AD46="","",IF(COUNTIF('＠MFP (LSI name)'!AD46,"Serial*")+COUNTIF('＠MFP (LSI name)'!AD46,"Analog*")&gt;0,'＠MFP (LSI name)'!AD46,OFFSET('＠グループ、表示名'!$H$4,MATCH('＠MFP (LSI name)'!AD46,'＠グループ、表示名'!$D$4:$D$250,0)-1,0)))</f>
        <v/>
      </c>
      <c r="AE46" s="18" t="str">
        <f ca="1">IF('＠MFP (LSI name)'!AE46="","",IF(COUNTIF('＠MFP (LSI name)'!AE46,"Serial*")+COUNTIF('＠MFP (LSI name)'!AE46,"Analog*")&gt;0,'＠MFP (LSI name)'!AE46,OFFSET('＠グループ、表示名'!$H$4,MATCH('＠MFP (LSI name)'!AE46,'＠グループ、表示名'!$D$4:$D$250,0)-1,0)))</f>
        <v/>
      </c>
      <c r="AF46" s="69" t="str">
        <f ca="1">IF('＠MFP (LSI name)'!AF46="","",IF(COUNTIF('＠MFP (LSI name)'!AF46,"Serial*")+COUNTIF('＠MFP (LSI name)'!AF46,"Analog*")&gt;0,'＠MFP (LSI name)'!AF46,OFFSET('＠グループ、表示名'!$H$4,MATCH('＠MFP (LSI name)'!AF46,'＠グループ、表示名'!$D$4:$D$250,0)-1,0)))</f>
        <v/>
      </c>
      <c r="AG46" s="69" t="str">
        <f ca="1">IF('＠MFP (LSI name)'!AG46="","",IF(COUNTIF('＠MFP (LSI name)'!AG46,"Serial*")+COUNTIF('＠MFP (LSI name)'!AG46,"Analog*")&gt;0,'＠MFP (LSI name)'!AG46,OFFSET('＠グループ、表示名'!$H$4,MATCH('＠MFP (LSI name)'!AG46,'＠グループ、表示名'!$D$4:$D$250,0)-1,0)))</f>
        <v/>
      </c>
      <c r="AH46" s="69" t="str">
        <f ca="1">IF('＠MFP (LSI name)'!AH46="","",IF(COUNTIF('＠MFP (LSI name)'!AH46,"Serial*")+COUNTIF('＠MFP (LSI name)'!AH46,"Analog*")&gt;0,'＠MFP (LSI name)'!AH46,OFFSET('＠グループ、表示名'!$H$4,MATCH('＠MFP (LSI name)'!AH46,'＠グループ、表示名'!$D$4:$D$250,0)-1,0)))</f>
        <v/>
      </c>
      <c r="AI46" s="69" t="str">
        <f ca="1">IF('＠MFP (LSI name)'!AI46="","",IF(COUNTIF('＠MFP (LSI name)'!AI46,"Serial*")+COUNTIF('＠MFP (LSI name)'!AI46,"Analog*")&gt;0,'＠MFP (LSI name)'!AI46,OFFSET('＠グループ、表示名'!$H$4,MATCH('＠MFP (LSI name)'!AI46,'＠グループ、表示名'!$D$4:$D$250,0)-1,0)))</f>
        <v/>
      </c>
      <c r="AJ46" s="18" t="str">
        <f ca="1">IF('＠MFP (LSI name)'!AJ46="","",IF(COUNTIF('＠MFP (LSI name)'!AJ46,"Serial*")+COUNTIF('＠MFP (LSI name)'!AJ46,"Analog*")&gt;0,'＠MFP (LSI name)'!AJ46,OFFSET('＠グループ、表示名'!$H$4,MATCH('＠MFP (LSI name)'!AJ46,'＠グループ、表示名'!$D$4:$D$250,0)-1,0)))</f>
        <v/>
      </c>
      <c r="AK46" s="69" t="str">
        <f ca="1">IF('＠MFP (LSI name)'!AK46="","",IF(COUNTIF('＠MFP (LSI name)'!AK46,"Serial*")+COUNTIF('＠MFP (LSI name)'!AK46,"Analog*")&gt;0,'＠MFP (LSI name)'!AK46,OFFSET('＠グループ、表示名'!$H$4,MATCH('＠MFP (LSI name)'!AK46,'＠グループ、表示名'!$D$4:$D$250,0)-1,0)))</f>
        <v/>
      </c>
      <c r="AL46" s="9" t="str">
        <f t="shared" si="4"/>
        <v>IOPAMD[3]</v>
      </c>
      <c r="AM46" s="9" t="str">
        <f t="shared" si="5"/>
        <v>IOPAMD[2]</v>
      </c>
      <c r="AN46" s="9" t="str">
        <f t="shared" si="6"/>
        <v>IOPAMD[1]</v>
      </c>
      <c r="AO46" s="9" t="str">
        <f t="shared" si="7"/>
        <v>IOPAMD[0]</v>
      </c>
      <c r="AP46" s="86"/>
    </row>
    <row r="47" spans="1:42" ht="16.149999999999999">
      <c r="A47" s="61">
        <v>42</v>
      </c>
      <c r="B47" s="7">
        <v>42</v>
      </c>
      <c r="C47" s="7">
        <v>32</v>
      </c>
      <c r="D47" s="87">
        <v>23</v>
      </c>
      <c r="E47" s="87"/>
      <c r="F47" s="7">
        <v>42</v>
      </c>
      <c r="G47" s="7">
        <v>32</v>
      </c>
      <c r="H47" s="87">
        <v>23</v>
      </c>
      <c r="I47" s="45" t="s">
        <v>324</v>
      </c>
      <c r="J47" s="45" t="s">
        <v>502</v>
      </c>
      <c r="K47" s="69" t="str">
        <f ca="1">IF('＠MFP (LSI name)'!K47="","",IF(COUNTIF('＠MFP (LSI name)'!K47,"Serial*")+COUNTIF('＠MFP (LSI name)'!K47,"Analog*")&gt;0,'＠MFP (LSI name)'!K47,OFFSET('＠グループ、表示名'!$H$4,MATCH('＠MFP (LSI name)'!K47,'＠グループ、表示名'!$D$4:$D$250,0)-1,0)))</f>
        <v>TM00A</v>
      </c>
      <c r="L47" s="69" t="str">
        <f ca="1">IF('＠MFP (LSI name)'!L47="","",IF(COUNTIF('＠MFP (LSI name)'!L47,"Serial*")+COUNTIF('＠MFP (LSI name)'!L47,"Analog*")&gt;0,'＠MFP (LSI name)'!L47,OFFSET('＠グループ、表示名'!$H$4,MATCH('＠MFP (LSI name)'!L47,'＠グループ、表示名'!$D$4:$D$250,0)-1,0)))</f>
        <v>TM02B</v>
      </c>
      <c r="M47" s="18" t="str">
        <f ca="1">IF('＠MFP (LSI name)'!M47="","",IF(COUNTIF('＠MFP (LSI name)'!M47,"Serial*")+COUNTIF('＠MFP (LSI name)'!M47,"Analog*")&gt;0,'＠MFP (LSI name)'!M47,OFFSET('＠グループ、表示名'!$H$4,MATCH('＠MFP (LSI name)'!M47,'＠グループ、表示名'!$D$4:$D$250,0)-1,0)))</f>
        <v>SIF5_SBT5</v>
      </c>
      <c r="N47" s="69" t="str">
        <f ca="1">IF('＠MFP (LSI name)'!N47="","",IF(COUNTIF('＠MFP (LSI name)'!N47,"Serial*")+COUNTIF('＠MFP (LSI name)'!N47,"Analog*")&gt;0,'＠MFP (LSI name)'!N47,OFFSET('＠グループ、表示名'!$H$4,MATCH('＠MFP (LSI name)'!N47,'＠グループ、表示名'!$D$4:$D$250,0)-1,0)))</f>
        <v/>
      </c>
      <c r="O47" s="69" t="str">
        <f ca="1">IF('＠MFP (LSI name)'!O47="","",IF(COUNTIF('＠MFP (LSI name)'!O47,"Serial*")+COUNTIF('＠MFP (LSI name)'!O47,"Analog*")&gt;0,'＠MFP (LSI name)'!O47,OFFSET('＠グループ、表示名'!$H$4,MATCH('＠MFP (LSI name)'!O47,'＠グループ、表示名'!$D$4:$D$250,0)-1,0)))</f>
        <v/>
      </c>
      <c r="P47" s="69" t="str">
        <f ca="1">IF('＠MFP (LSI name)'!P47="","",IF(COUNTIF('＠MFP (LSI name)'!P47,"Serial*")+COUNTIF('＠MFP (LSI name)'!P47,"Analog*")&gt;0,'＠MFP (LSI name)'!P47,OFFSET('＠グループ、表示名'!$H$4,MATCH('＠MFP (LSI name)'!P47,'＠グループ、表示名'!$D$4:$D$250,0)-1,0)))</f>
        <v/>
      </c>
      <c r="Q47" s="69" t="str">
        <f ca="1">IF('＠MFP (LSI name)'!Q47="","",IF(COUNTIF('＠MFP (LSI name)'!Q47,"Serial*")+COUNTIF('＠MFP (LSI name)'!Q47,"Analog*")&gt;0,'＠MFP (LSI name)'!Q47,OFFSET('＠グループ、表示名'!$H$4,MATCH('＠MFP (LSI name)'!Q47,'＠グループ、表示名'!$D$4:$D$250,0)-1,0)))</f>
        <v/>
      </c>
      <c r="R47" s="69" t="str">
        <f ca="1">IF('＠MFP (LSI name)'!R47="","",IF(COUNTIF('＠MFP (LSI name)'!R47,"Serial*")+COUNTIF('＠MFP (LSI name)'!R47,"Analog*")&gt;0,'＠MFP (LSI name)'!R47,OFFSET('＠グループ、表示名'!$H$4,MATCH('＠MFP (LSI name)'!R47,'＠グループ、表示名'!$D$4:$D$250,0)-1,0)))</f>
        <v/>
      </c>
      <c r="S47" s="69" t="str">
        <f ca="1">IF('＠MFP (LSI name)'!S47="","",IF(COUNTIF('＠MFP (LSI name)'!S47,"Serial*")+COUNTIF('＠MFP (LSI name)'!S47,"Analog*")&gt;0,'＠MFP (LSI name)'!S47,OFFSET('＠グループ、表示名'!$H$4,MATCH('＠MFP (LSI name)'!S47,'＠グループ、表示名'!$D$4:$D$250,0)-1,0)))</f>
        <v/>
      </c>
      <c r="T47" s="69" t="str">
        <f ca="1">IF('＠MFP (LSI name)'!T47="","",IF(COUNTIF('＠MFP (LSI name)'!T47,"Serial*")+COUNTIF('＠MFP (LSI name)'!T47,"Analog*")&gt;0,'＠MFP (LSI name)'!T47,OFFSET('＠グループ、表示名'!$H$4,MATCH('＠MFP (LSI name)'!T47,'＠グループ、表示名'!$D$4:$D$250,0)-1,0)))</f>
        <v/>
      </c>
      <c r="U47" s="69" t="str">
        <f ca="1">IF('＠MFP (LSI name)'!U47="","",IF(COUNTIF('＠MFP (LSI name)'!U47,"Serial*")+COUNTIF('＠MFP (LSI name)'!U47,"Analog*")&gt;0,'＠MFP (LSI name)'!U47,OFFSET('＠グループ、表示名'!$H$4,MATCH('＠MFP (LSI name)'!U47,'＠グループ、表示名'!$D$4:$D$250,0)-1,0)))</f>
        <v/>
      </c>
      <c r="V47" s="69" t="str">
        <f ca="1">IF('＠MFP (LSI name)'!V47="","",IF(COUNTIF('＠MFP (LSI name)'!V47,"Serial*")+COUNTIF('＠MFP (LSI name)'!V47,"Analog*")&gt;0,'＠MFP (LSI name)'!V47,OFFSET('＠グループ、表示名'!$H$4,MATCH('＠MFP (LSI name)'!V47,'＠グループ、表示名'!$D$4:$D$250,0)-1,0)))</f>
        <v/>
      </c>
      <c r="W47" s="69" t="str">
        <f ca="1">IF('＠MFP (LSI name)'!W47="","",IF(COUNTIF('＠MFP (LSI name)'!W47,"Serial*")+COUNTIF('＠MFP (LSI name)'!W47,"Analog*")&gt;0,'＠MFP (LSI name)'!W47,OFFSET('＠グループ、表示名'!$H$4,MATCH('＠MFP (LSI name)'!W47,'＠グループ、表示名'!$D$4:$D$250,0)-1,0)))</f>
        <v/>
      </c>
      <c r="X47" s="69" t="str">
        <f ca="1">IF('＠MFP (LSI name)'!X47="","",IF(COUNTIF('＠MFP (LSI name)'!X47,"Serial*")+COUNTIF('＠MFP (LSI name)'!X47,"Analog*")&gt;0,'＠MFP (LSI name)'!X47,OFFSET('＠グループ、表示名'!$H$4,MATCH('＠MFP (LSI name)'!X47,'＠グループ、表示名'!$D$4:$D$250,0)-1,0)))</f>
        <v/>
      </c>
      <c r="Y47" s="18" t="str">
        <f ca="1">IF('＠MFP (LSI name)'!Y47="","",IF(COUNTIF('＠MFP (LSI name)'!Y47,"Serial*")+COUNTIF('＠MFP (LSI name)'!Y47,"Analog*")&gt;0,'＠MFP (LSI name)'!Y47,OFFSET('＠グループ、表示名'!$H$4,MATCH('＠MFP (LSI name)'!Y47,'＠グループ、表示名'!$D$4:$D$250,0)-1,0)))</f>
        <v/>
      </c>
      <c r="Z47" s="18" t="str">
        <f ca="1">IF('＠MFP (LSI name)'!Z47="","",IF(COUNTIF('＠MFP (LSI name)'!Z47,"Serial*")+COUNTIF('＠MFP (LSI name)'!Z47,"Analog*")&gt;0,'＠MFP (LSI name)'!Z47,OFFSET('＠グループ、表示名'!$H$4,MATCH('＠MFP (LSI name)'!Z47,'＠グループ、表示名'!$D$4:$D$250,0)-1,0)))</f>
        <v/>
      </c>
      <c r="AA47" s="69" t="str">
        <f ca="1">IF('＠MFP (LSI name)'!AA47="","",IF(COUNTIF('＠MFP (LSI name)'!AA47,"Serial*")+COUNTIF('＠MFP (LSI name)'!AA47,"Analog*")&gt;0,'＠MFP (LSI name)'!AA47,OFFSET('＠グループ、表示名'!$H$4,MATCH('＠MFP (LSI name)'!AA47,'＠グループ、表示名'!$D$4:$D$250,0)-1,0)))</f>
        <v/>
      </c>
      <c r="AB47" s="69" t="str">
        <f ca="1">IF('＠MFP (LSI name)'!AB47="","",IF(COUNTIF('＠MFP (LSI name)'!AB47,"Serial*")+COUNTIF('＠MFP (LSI name)'!AB47,"Analog*")&gt;0,'＠MFP (LSI name)'!AB47,OFFSET('＠グループ、表示名'!$H$4,MATCH('＠MFP (LSI name)'!AB47,'＠グループ、表示名'!$D$4:$D$250,0)-1,0)))</f>
        <v/>
      </c>
      <c r="AC47" s="69" t="str">
        <f ca="1">IF('＠MFP (LSI name)'!AC47="","",IF(COUNTIF('＠MFP (LSI name)'!AC47,"Serial*")+COUNTIF('＠MFP (LSI name)'!AC47,"Analog*")&gt;0,'＠MFP (LSI name)'!AC47,OFFSET('＠グループ、表示名'!$H$4,MATCH('＠MFP (LSI name)'!AC47,'＠グループ、表示名'!$D$4:$D$250,0)-1,0)))</f>
        <v/>
      </c>
      <c r="AD47" s="69" t="str">
        <f ca="1">IF('＠MFP (LSI name)'!AD47="","",IF(COUNTIF('＠MFP (LSI name)'!AD47,"Serial*")+COUNTIF('＠MFP (LSI name)'!AD47,"Analog*")&gt;0,'＠MFP (LSI name)'!AD47,OFFSET('＠グループ、表示名'!$H$4,MATCH('＠MFP (LSI name)'!AD47,'＠グループ、表示名'!$D$4:$D$250,0)-1,0)))</f>
        <v/>
      </c>
      <c r="AE47" s="18" t="str">
        <f ca="1">IF('＠MFP (LSI name)'!AE47="","",IF(COUNTIF('＠MFP (LSI name)'!AE47,"Serial*")+COUNTIF('＠MFP (LSI name)'!AE47,"Analog*")&gt;0,'＠MFP (LSI name)'!AE47,OFFSET('＠グループ、表示名'!$H$4,MATCH('＠MFP (LSI name)'!AE47,'＠グループ、表示名'!$D$4:$D$250,0)-1,0)))</f>
        <v/>
      </c>
      <c r="AF47" s="69" t="str">
        <f ca="1">IF('＠MFP (LSI name)'!AF47="","",IF(COUNTIF('＠MFP (LSI name)'!AF47,"Serial*")+COUNTIF('＠MFP (LSI name)'!AF47,"Analog*")&gt;0,'＠MFP (LSI name)'!AF47,OFFSET('＠グループ、表示名'!$H$4,MATCH('＠MFP (LSI name)'!AF47,'＠グループ、表示名'!$D$4:$D$250,0)-1,0)))</f>
        <v/>
      </c>
      <c r="AG47" s="69" t="str">
        <f ca="1">IF('＠MFP (LSI name)'!AG47="","",IF(COUNTIF('＠MFP (LSI name)'!AG47,"Serial*")+COUNTIF('＠MFP (LSI name)'!AG47,"Analog*")&gt;0,'＠MFP (LSI name)'!AG47,OFFSET('＠グループ、表示名'!$H$4,MATCH('＠MFP (LSI name)'!AG47,'＠グループ、表示名'!$D$4:$D$250,0)-1,0)))</f>
        <v/>
      </c>
      <c r="AH47" s="69" t="str">
        <f ca="1">IF('＠MFP (LSI name)'!AH47="","",IF(COUNTIF('＠MFP (LSI name)'!AH47,"Serial*")+COUNTIF('＠MFP (LSI name)'!AH47,"Analog*")&gt;0,'＠MFP (LSI name)'!AH47,OFFSET('＠グループ、表示名'!$H$4,MATCH('＠MFP (LSI name)'!AH47,'＠グループ、表示名'!$D$4:$D$250,0)-1,0)))</f>
        <v/>
      </c>
      <c r="AI47" s="69" t="str">
        <f ca="1">IF('＠MFP (LSI name)'!AI47="","",IF(COUNTIF('＠MFP (LSI name)'!AI47,"Serial*")+COUNTIF('＠MFP (LSI name)'!AI47,"Analog*")&gt;0,'＠MFP (LSI name)'!AI47,OFFSET('＠グループ、表示名'!$H$4,MATCH('＠MFP (LSI name)'!AI47,'＠グループ、表示名'!$D$4:$D$250,0)-1,0)))</f>
        <v/>
      </c>
      <c r="AJ47" s="18" t="str">
        <f ca="1">IF('＠MFP (LSI name)'!AJ47="","",IF(COUNTIF('＠MFP (LSI name)'!AJ47,"Serial*")+COUNTIF('＠MFP (LSI name)'!AJ47,"Analog*")&gt;0,'＠MFP (LSI name)'!AJ47,OFFSET('＠グループ、表示名'!$H$4,MATCH('＠MFP (LSI name)'!AJ47,'＠グループ、表示名'!$D$4:$D$250,0)-1,0)))</f>
        <v/>
      </c>
      <c r="AK47" s="69" t="str">
        <f ca="1">IF('＠MFP (LSI name)'!AK47="","",IF(COUNTIF('＠MFP (LSI name)'!AK47,"Serial*")+COUNTIF('＠MFP (LSI name)'!AK47,"Analog*")&gt;0,'＠MFP (LSI name)'!AK47,OFFSET('＠グループ、表示名'!$H$4,MATCH('＠MFP (LSI name)'!AK47,'＠グループ、表示名'!$D$4:$D$250,0)-1,0)))</f>
        <v/>
      </c>
      <c r="AL47" s="9" t="str">
        <f t="shared" si="4"/>
        <v>IOPFMD[7]</v>
      </c>
      <c r="AM47" s="9" t="str">
        <f t="shared" si="5"/>
        <v>IOPFMD[6]</v>
      </c>
      <c r="AN47" s="9" t="str">
        <f t="shared" si="6"/>
        <v>IOPFMD[5]</v>
      </c>
      <c r="AO47" s="9" t="str">
        <f t="shared" si="7"/>
        <v>IOPFMD[4]</v>
      </c>
      <c r="AP47" s="86"/>
    </row>
    <row r="48" spans="1:42" ht="16.149999999999999">
      <c r="A48" s="61">
        <v>43</v>
      </c>
      <c r="B48" s="7">
        <v>43</v>
      </c>
      <c r="C48" s="7">
        <v>33</v>
      </c>
      <c r="D48" s="87">
        <v>24</v>
      </c>
      <c r="E48" s="87">
        <v>17</v>
      </c>
      <c r="F48" s="7">
        <v>43</v>
      </c>
      <c r="G48" s="7">
        <v>33</v>
      </c>
      <c r="H48" s="87">
        <v>24</v>
      </c>
      <c r="I48" s="45" t="s">
        <v>503</v>
      </c>
      <c r="J48" s="45" t="s">
        <v>504</v>
      </c>
      <c r="K48" s="69" t="str">
        <f ca="1">IF('＠MFP (LSI name)'!K48="","",IF(COUNTIF('＠MFP (LSI name)'!K48,"Serial*")+COUNTIF('＠MFP (LSI name)'!K48,"Analog*")&gt;0,'＠MFP (LSI name)'!K48,OFFSET('＠グループ、表示名'!$H$4,MATCH('＠MFP (LSI name)'!K48,'＠グループ、表示名'!$D$4:$D$250,0)-1,0)))</f>
        <v>IRQ04</v>
      </c>
      <c r="L48" s="69" t="str">
        <f ca="1">IF('＠MFP (LSI name)'!L48="","",IF(COUNTIF('＠MFP (LSI name)'!L48,"Serial*")+COUNTIF('＠MFP (LSI name)'!L48,"Analog*")&gt;0,'＠MFP (LSI name)'!L48,OFFSET('＠グループ、表示名'!$H$4,MATCH('＠MFP (LSI name)'!L48,'＠グループ、表示名'!$D$4:$D$250,0)-1,0)))</f>
        <v>IRQ11</v>
      </c>
      <c r="M48" s="69" t="str">
        <f ca="1">IF('＠MFP (LSI name)'!M48="","",IF(COUNTIF('＠MFP (LSI name)'!M48,"Serial*")+COUNTIF('＠MFP (LSI name)'!M48,"Analog*")&gt;0,'＠MFP (LSI name)'!M48,OFFSET('＠グループ、表示名'!$H$4,MATCH('＠MFP (LSI name)'!M48,'＠グループ、表示名'!$D$4:$D$250,0)-1,0)))</f>
        <v>GPWM7_GPWMST7</v>
      </c>
      <c r="N48" s="117" t="str">
        <f ca="1">IF('＠MFP (LSI name)'!N48="","",IF(COUNTIF('＠MFP (LSI name)'!N48,"Serial*")+COUNTIF('＠MFP (LSI name)'!N48,"Analog*")&gt;0,'＠MFP (LSI name)'!N48,OFFSET('＠グループ、表示名'!$H$4,MATCH('＠MFP (LSI name)'!N48,'＠グループ、表示名'!$D$4:$D$250,0)-1,0)))</f>
        <v>SIF5_SBI5</v>
      </c>
      <c r="O48" s="117" t="str">
        <f ca="1">IF('＠MFP (LSI name)'!O48="","",IF(COUNTIF('＠MFP (LSI name)'!O48,"Serial*")+COUNTIF('＠MFP (LSI name)'!O48,"Analog*")&gt;0,'＠MFP (LSI name)'!O48,OFFSET('＠グループ、表示名'!$H$4,MATCH('＠MFP (LSI name)'!O48,'＠グループ、表示名'!$D$4:$D$250,0)-1,0)))</f>
        <v>SIF5_SBO5</v>
      </c>
      <c r="P48" s="69" t="str">
        <f ca="1">IF('＠MFP (LSI name)'!P48="","",IF(COUNTIF('＠MFP (LSI name)'!P48,"Serial*")+COUNTIF('＠MFP (LSI name)'!P48,"Analog*")&gt;0,'＠MFP (LSI name)'!P48,OFFSET('＠グループ、表示名'!$H$4,MATCH('＠MFP (LSI name)'!P48,'＠グループ、表示名'!$D$4:$D$250,0)-1,0)))</f>
        <v/>
      </c>
      <c r="Q48" s="69" t="str">
        <f ca="1">IF('＠MFP (LSI name)'!Q48="","",IF(COUNTIF('＠MFP (LSI name)'!Q48,"Serial*")+COUNTIF('＠MFP (LSI name)'!Q48,"Analog*")&gt;0,'＠MFP (LSI name)'!Q48,OFFSET('＠グループ、表示名'!$H$4,MATCH('＠MFP (LSI name)'!Q48,'＠グループ、表示名'!$D$4:$D$250,0)-1,0)))</f>
        <v/>
      </c>
      <c r="R48" s="69" t="str">
        <f ca="1">IF('＠MFP (LSI name)'!R48="","",IF(COUNTIF('＠MFP (LSI name)'!R48,"Serial*")+COUNTIF('＠MFP (LSI name)'!R48,"Analog*")&gt;0,'＠MFP (LSI name)'!R48,OFFSET('＠グループ、表示名'!$H$4,MATCH('＠MFP (LSI name)'!R48,'＠グループ、表示名'!$D$4:$D$250,0)-1,0)))</f>
        <v/>
      </c>
      <c r="S48" s="69" t="str">
        <f ca="1">IF('＠MFP (LSI name)'!S48="","",IF(COUNTIF('＠MFP (LSI name)'!S48,"Serial*")+COUNTIF('＠MFP (LSI name)'!S48,"Analog*")&gt;0,'＠MFP (LSI name)'!S48,OFFSET('＠グループ、表示名'!$H$4,MATCH('＠MFP (LSI name)'!S48,'＠グループ、表示名'!$D$4:$D$250,0)-1,0)))</f>
        <v/>
      </c>
      <c r="T48" s="69" t="str">
        <f ca="1">IF('＠MFP (LSI name)'!T48="","",IF(COUNTIF('＠MFP (LSI name)'!T48,"Serial*")+COUNTIF('＠MFP (LSI name)'!T48,"Analog*")&gt;0,'＠MFP (LSI name)'!T48,OFFSET('＠グループ、表示名'!$H$4,MATCH('＠MFP (LSI name)'!T48,'＠グループ、表示名'!$D$4:$D$250,0)-1,0)))</f>
        <v/>
      </c>
      <c r="U48" s="69" t="str">
        <f ca="1">IF('＠MFP (LSI name)'!U48="","",IF(COUNTIF('＠MFP (LSI name)'!U48,"Serial*")+COUNTIF('＠MFP (LSI name)'!U48,"Analog*")&gt;0,'＠MFP (LSI name)'!U48,OFFSET('＠グループ、表示名'!$H$4,MATCH('＠MFP (LSI name)'!U48,'＠グループ、表示名'!$D$4:$D$250,0)-1,0)))</f>
        <v/>
      </c>
      <c r="V48" s="69" t="str">
        <f ca="1">IF('＠MFP (LSI name)'!V48="","",IF(COUNTIF('＠MFP (LSI name)'!V48,"Serial*")+COUNTIF('＠MFP (LSI name)'!V48,"Analog*")&gt;0,'＠MFP (LSI name)'!V48,OFFSET('＠グループ、表示名'!$H$4,MATCH('＠MFP (LSI name)'!V48,'＠グループ、表示名'!$D$4:$D$250,0)-1,0)))</f>
        <v/>
      </c>
      <c r="W48" s="18" t="str">
        <f ca="1">IF('＠MFP (LSI name)'!W48="","",IF(COUNTIF('＠MFP (LSI name)'!W48,"Serial*")+COUNTIF('＠MFP (LSI name)'!W48,"Analog*")&gt;0,'＠MFP (LSI name)'!W48,OFFSET('＠グループ、表示名'!$H$4,MATCH('＠MFP (LSI name)'!W48,'＠グループ、表示名'!$D$4:$D$250,0)-1,0)))</f>
        <v/>
      </c>
      <c r="X48" s="18" t="str">
        <f ca="1">IF('＠MFP (LSI name)'!X48="","",IF(COUNTIF('＠MFP (LSI name)'!X48,"Serial*")+COUNTIF('＠MFP (LSI name)'!X48,"Analog*")&gt;0,'＠MFP (LSI name)'!X48,OFFSET('＠グループ、表示名'!$H$4,MATCH('＠MFP (LSI name)'!X48,'＠グループ、表示名'!$D$4:$D$250,0)-1,0)))</f>
        <v/>
      </c>
      <c r="Y48" s="18" t="str">
        <f ca="1">IF('＠MFP (LSI name)'!Y48="","",IF(COUNTIF('＠MFP (LSI name)'!Y48,"Serial*")+COUNTIF('＠MFP (LSI name)'!Y48,"Analog*")&gt;0,'＠MFP (LSI name)'!Y48,OFFSET('＠グループ、表示名'!$H$4,MATCH('＠MFP (LSI name)'!Y48,'＠グループ、表示名'!$D$4:$D$250,0)-1,0)))</f>
        <v/>
      </c>
      <c r="Z48" s="18" t="str">
        <f ca="1">IF('＠MFP (LSI name)'!Z48="","",IF(COUNTIF('＠MFP (LSI name)'!Z48,"Serial*")+COUNTIF('＠MFP (LSI name)'!Z48,"Analog*")&gt;0,'＠MFP (LSI name)'!Z48,OFFSET('＠グループ、表示名'!$H$4,MATCH('＠MFP (LSI name)'!Z48,'＠グループ、表示名'!$D$4:$D$250,0)-1,0)))</f>
        <v/>
      </c>
      <c r="AA48" s="69" t="str">
        <f ca="1">IF('＠MFP (LSI name)'!AA48="","",IF(COUNTIF('＠MFP (LSI name)'!AA48,"Serial*")+COUNTIF('＠MFP (LSI name)'!AA48,"Analog*")&gt;0,'＠MFP (LSI name)'!AA48,OFFSET('＠グループ、表示名'!$H$4,MATCH('＠MFP (LSI name)'!AA48,'＠グループ、表示名'!$D$4:$D$250,0)-1,0)))</f>
        <v/>
      </c>
      <c r="AB48" s="69" t="str">
        <f ca="1">IF('＠MFP (LSI name)'!AB48="","",IF(COUNTIF('＠MFP (LSI name)'!AB48,"Serial*")+COUNTIF('＠MFP (LSI name)'!AB48,"Analog*")&gt;0,'＠MFP (LSI name)'!AB48,OFFSET('＠グループ、表示名'!$H$4,MATCH('＠MFP (LSI name)'!AB48,'＠グループ、表示名'!$D$4:$D$250,0)-1,0)))</f>
        <v/>
      </c>
      <c r="AC48" s="18" t="str">
        <f ca="1">IF('＠MFP (LSI name)'!AC48="","",IF(COUNTIF('＠MFP (LSI name)'!AC48,"Serial*")+COUNTIF('＠MFP (LSI name)'!AC48,"Analog*")&gt;0,'＠MFP (LSI name)'!AC48,OFFSET('＠グループ、表示名'!$H$4,MATCH('＠MFP (LSI name)'!AC48,'＠グループ、表示名'!$D$4:$D$250,0)-1,0)))</f>
        <v/>
      </c>
      <c r="AD48" s="18" t="str">
        <f ca="1">IF('＠MFP (LSI name)'!AD48="","",IF(COUNTIF('＠MFP (LSI name)'!AD48,"Serial*")+COUNTIF('＠MFP (LSI name)'!AD48,"Analog*")&gt;0,'＠MFP (LSI name)'!AD48,OFFSET('＠グループ、表示名'!$H$4,MATCH('＠MFP (LSI name)'!AD48,'＠グループ、表示名'!$D$4:$D$250,0)-1,0)))</f>
        <v/>
      </c>
      <c r="AE48" s="18" t="str">
        <f ca="1">IF('＠MFP (LSI name)'!AE48="","",IF(COUNTIF('＠MFP (LSI name)'!AE48,"Serial*")+COUNTIF('＠MFP (LSI name)'!AE48,"Analog*")&gt;0,'＠MFP (LSI name)'!AE48,OFFSET('＠グループ、表示名'!$H$4,MATCH('＠MFP (LSI name)'!AE48,'＠グループ、表示名'!$D$4:$D$250,0)-1,0)))</f>
        <v/>
      </c>
      <c r="AF48" s="69" t="str">
        <f ca="1">IF('＠MFP (LSI name)'!AF48="","",IF(COUNTIF('＠MFP (LSI name)'!AF48,"Serial*")+COUNTIF('＠MFP (LSI name)'!AF48,"Analog*")&gt;0,'＠MFP (LSI name)'!AF48,OFFSET('＠グループ、表示名'!$H$4,MATCH('＠MFP (LSI name)'!AF48,'＠グループ、表示名'!$D$4:$D$250,0)-1,0)))</f>
        <v/>
      </c>
      <c r="AG48" s="69" t="str">
        <f ca="1">IF('＠MFP (LSI name)'!AG48="","",IF(COUNTIF('＠MFP (LSI name)'!AG48,"Serial*")+COUNTIF('＠MFP (LSI name)'!AG48,"Analog*")&gt;0,'＠MFP (LSI name)'!AG48,OFFSET('＠グループ、表示名'!$H$4,MATCH('＠MFP (LSI name)'!AG48,'＠グループ、表示名'!$D$4:$D$250,0)-1,0)))</f>
        <v/>
      </c>
      <c r="AH48" s="18" t="str">
        <f ca="1">IF('＠MFP (LSI name)'!AH48="","",IF(COUNTIF('＠MFP (LSI name)'!AH48,"Serial*")+COUNTIF('＠MFP (LSI name)'!AH48,"Analog*")&gt;0,'＠MFP (LSI name)'!AH48,OFFSET('＠グループ、表示名'!$H$4,MATCH('＠MFP (LSI name)'!AH48,'＠グループ、表示名'!$D$4:$D$250,0)-1,0)))</f>
        <v/>
      </c>
      <c r="AI48" s="18" t="str">
        <f ca="1">IF('＠MFP (LSI name)'!AI48="","",IF(COUNTIF('＠MFP (LSI name)'!AI48,"Serial*")+COUNTIF('＠MFP (LSI name)'!AI48,"Analog*")&gt;0,'＠MFP (LSI name)'!AI48,OFFSET('＠グループ、表示名'!$H$4,MATCH('＠MFP (LSI name)'!AI48,'＠グループ、表示名'!$D$4:$D$250,0)-1,0)))</f>
        <v/>
      </c>
      <c r="AJ48" s="18" t="str">
        <f ca="1">IF('＠MFP (LSI name)'!AJ48="","",IF(COUNTIF('＠MFP (LSI name)'!AJ48,"Serial*")+COUNTIF('＠MFP (LSI name)'!AJ48,"Analog*")&gt;0,'＠MFP (LSI name)'!AJ48,OFFSET('＠グループ、表示名'!$H$4,MATCH('＠MFP (LSI name)'!AJ48,'＠グループ、表示名'!$D$4:$D$250,0)-1,0)))</f>
        <v/>
      </c>
      <c r="AK48" s="69" t="str">
        <f ca="1">IF('＠MFP (LSI name)'!AK48="","",IF(COUNTIF('＠MFP (LSI name)'!AK48,"Serial*")+COUNTIF('＠MFP (LSI name)'!AK48,"Analog*")&gt;0,'＠MFP (LSI name)'!AK48,OFFSET('＠グループ、表示名'!$H$4,MATCH('＠MFP (LSI name)'!AK48,'＠グループ、表示名'!$D$4:$D$250,0)-1,0)))</f>
        <v/>
      </c>
      <c r="AL48" s="9" t="str">
        <f t="shared" si="4"/>
        <v>IOP9MD[27]</v>
      </c>
      <c r="AM48" s="9" t="str">
        <f t="shared" si="5"/>
        <v>IOP9MD[26]</v>
      </c>
      <c r="AN48" s="9" t="str">
        <f t="shared" si="6"/>
        <v>IOP9MD[25]</v>
      </c>
      <c r="AO48" s="9" t="str">
        <f t="shared" si="7"/>
        <v>IOP9MD[24]</v>
      </c>
      <c r="AP48" s="86"/>
    </row>
    <row r="49" spans="1:42" ht="16.149999999999999">
      <c r="A49" s="61">
        <v>44</v>
      </c>
      <c r="B49" s="7">
        <v>44</v>
      </c>
      <c r="C49" s="7">
        <v>34</v>
      </c>
      <c r="D49" s="87">
        <v>25</v>
      </c>
      <c r="E49" s="87"/>
      <c r="F49" s="7">
        <v>44</v>
      </c>
      <c r="G49" s="7">
        <v>34</v>
      </c>
      <c r="H49" s="87">
        <v>25</v>
      </c>
      <c r="I49" s="45" t="s">
        <v>247</v>
      </c>
      <c r="J49" s="45" t="s">
        <v>248</v>
      </c>
      <c r="K49" s="69" t="str">
        <f ca="1">IF('＠MFP (LSI name)'!K49="","",IF(COUNTIF('＠MFP (LSI name)'!K49,"Serial*")+COUNTIF('＠MFP (LSI name)'!K49,"Analog*")&gt;0,'＠MFP (LSI name)'!K49,OFFSET('＠グループ、表示名'!$H$4,MATCH('＠MFP (LSI name)'!K49,'＠グループ、表示名'!$D$4:$D$250,0)-1,0)))</f>
        <v>IRQ14</v>
      </c>
      <c r="L49" s="69" t="str">
        <f ca="1">IF('＠MFP (LSI name)'!L49="","",IF(COUNTIF('＠MFP (LSI name)'!L49,"Serial*")+COUNTIF('＠MFP (LSI name)'!L49,"Analog*")&gt;0,'＠MFP (LSI name)'!L49,OFFSET('＠グループ、表示名'!$H$4,MATCH('＠MFP (LSI name)'!L49,'＠グループ、表示名'!$D$4:$D$250,0)-1,0)))</f>
        <v>IRQ20</v>
      </c>
      <c r="M49" s="69" t="str">
        <f ca="1">IF('＠MFP (LSI name)'!M49="","",IF(COUNTIF('＠MFP (LSI name)'!M49,"Serial*")+COUNTIF('＠MFP (LSI name)'!M49,"Analog*")&gt;0,'＠MFP (LSI name)'!M49,OFFSET('＠グループ、表示名'!$H$4,MATCH('＠MFP (LSI name)'!M49,'＠グループ、表示名'!$D$4:$D$250,0)-1,0)))</f>
        <v>IRQ37</v>
      </c>
      <c r="N49" s="69" t="str">
        <f ca="1">IF('＠MFP (LSI name)'!N49="","",IF(COUNTIF('＠MFP (LSI name)'!N49,"Serial*")+COUNTIF('＠MFP (LSI name)'!N49,"Analog*")&gt;0,'＠MFP (LSI name)'!N49,OFFSET('＠グループ、表示名'!$H$4,MATCH('＠MFP (LSI name)'!N49,'＠グループ、表示名'!$D$4:$D$250,0)-1,0)))</f>
        <v>SIF5_SBI5</v>
      </c>
      <c r="O49" s="69" t="str">
        <f ca="1">IF('＠MFP (LSI name)'!O49="","",IF(COUNTIF('＠MFP (LSI name)'!O49,"Serial*")+COUNTIF('＠MFP (LSI name)'!O49,"Analog*")&gt;0,'＠MFP (LSI name)'!O49,OFFSET('＠グループ、表示名'!$H$4,MATCH('＠MFP (LSI name)'!O49,'＠グループ、表示名'!$D$4:$D$250,0)-1,0)))</f>
        <v>SIF5_SBO5</v>
      </c>
      <c r="P49" s="69" t="str">
        <f ca="1">IF('＠MFP (LSI name)'!P49="","",IF(COUNTIF('＠MFP (LSI name)'!P49,"Serial*")+COUNTIF('＠MFP (LSI name)'!P49,"Analog*")&gt;0,'＠MFP (LSI name)'!P49,OFFSET('＠グループ、表示名'!$H$4,MATCH('＠MFP (LSI name)'!P49,'＠グループ、表示名'!$D$4:$D$250,0)-1,0)))</f>
        <v/>
      </c>
      <c r="Q49" s="69" t="str">
        <f ca="1">IF('＠MFP (LSI name)'!Q49="","",IF(COUNTIF('＠MFP (LSI name)'!Q49,"Serial*")+COUNTIF('＠MFP (LSI name)'!Q49,"Analog*")&gt;0,'＠MFP (LSI name)'!Q49,OFFSET('＠グループ、表示名'!$H$4,MATCH('＠MFP (LSI name)'!Q49,'＠グループ、表示名'!$D$4:$D$250,0)-1,0)))</f>
        <v/>
      </c>
      <c r="R49" s="69" t="str">
        <f ca="1">IF('＠MFP (LSI name)'!R49="","",IF(COUNTIF('＠MFP (LSI name)'!R49,"Serial*")+COUNTIF('＠MFP (LSI name)'!R49,"Analog*")&gt;0,'＠MFP (LSI name)'!R49,OFFSET('＠グループ、表示名'!$H$4,MATCH('＠MFP (LSI name)'!R49,'＠グループ、表示名'!$D$4:$D$250,0)-1,0)))</f>
        <v/>
      </c>
      <c r="S49" s="69" t="str">
        <f ca="1">IF('＠MFP (LSI name)'!S49="","",IF(COUNTIF('＠MFP (LSI name)'!S49,"Serial*")+COUNTIF('＠MFP (LSI name)'!S49,"Analog*")&gt;0,'＠MFP (LSI name)'!S49,OFFSET('＠グループ、表示名'!$H$4,MATCH('＠MFP (LSI name)'!S49,'＠グループ、表示名'!$D$4:$D$250,0)-1,0)))</f>
        <v/>
      </c>
      <c r="T49" s="69" t="str">
        <f ca="1">IF('＠MFP (LSI name)'!T49="","",IF(COUNTIF('＠MFP (LSI name)'!T49,"Serial*")+COUNTIF('＠MFP (LSI name)'!T49,"Analog*")&gt;0,'＠MFP (LSI name)'!T49,OFFSET('＠グループ、表示名'!$H$4,MATCH('＠MFP (LSI name)'!T49,'＠グループ、表示名'!$D$4:$D$250,0)-1,0)))</f>
        <v/>
      </c>
      <c r="U49" s="69" t="str">
        <f ca="1">IF('＠MFP (LSI name)'!U49="","",IF(COUNTIF('＠MFP (LSI name)'!U49,"Serial*")+COUNTIF('＠MFP (LSI name)'!U49,"Analog*")&gt;0,'＠MFP (LSI name)'!U49,OFFSET('＠グループ、表示名'!$H$4,MATCH('＠MFP (LSI name)'!U49,'＠グループ、表示名'!$D$4:$D$250,0)-1,0)))</f>
        <v/>
      </c>
      <c r="V49" s="69" t="str">
        <f ca="1">IF('＠MFP (LSI name)'!V49="","",IF(COUNTIF('＠MFP (LSI name)'!V49,"Serial*")+COUNTIF('＠MFP (LSI name)'!V49,"Analog*")&gt;0,'＠MFP (LSI name)'!V49,OFFSET('＠グループ、表示名'!$H$4,MATCH('＠MFP (LSI name)'!V49,'＠グループ、表示名'!$D$4:$D$250,0)-1,0)))</f>
        <v/>
      </c>
      <c r="W49" s="18" t="str">
        <f ca="1">IF('＠MFP (LSI name)'!W49="","",IF(COUNTIF('＠MFP (LSI name)'!W49,"Serial*")+COUNTIF('＠MFP (LSI name)'!W49,"Analog*")&gt;0,'＠MFP (LSI name)'!W49,OFFSET('＠グループ、表示名'!$H$4,MATCH('＠MFP (LSI name)'!W49,'＠グループ、表示名'!$D$4:$D$250,0)-1,0)))</f>
        <v/>
      </c>
      <c r="X49" s="18" t="str">
        <f ca="1">IF('＠MFP (LSI name)'!X49="","",IF(COUNTIF('＠MFP (LSI name)'!X49,"Serial*")+COUNTIF('＠MFP (LSI name)'!X49,"Analog*")&gt;0,'＠MFP (LSI name)'!X49,OFFSET('＠グループ、表示名'!$H$4,MATCH('＠MFP (LSI name)'!X49,'＠グループ、表示名'!$D$4:$D$250,0)-1,0)))</f>
        <v/>
      </c>
      <c r="Y49" s="18" t="str">
        <f ca="1">IF('＠MFP (LSI name)'!Y49="","",IF(COUNTIF('＠MFP (LSI name)'!Y49,"Serial*")+COUNTIF('＠MFP (LSI name)'!Y49,"Analog*")&gt;0,'＠MFP (LSI name)'!Y49,OFFSET('＠グループ、表示名'!$H$4,MATCH('＠MFP (LSI name)'!Y49,'＠グループ、表示名'!$D$4:$D$250,0)-1,0)))</f>
        <v/>
      </c>
      <c r="Z49" s="18" t="str">
        <f ca="1">IF('＠MFP (LSI name)'!Z49="","",IF(COUNTIF('＠MFP (LSI name)'!Z49,"Serial*")+COUNTIF('＠MFP (LSI name)'!Z49,"Analog*")&gt;0,'＠MFP (LSI name)'!Z49,OFFSET('＠グループ、表示名'!$H$4,MATCH('＠MFP (LSI name)'!Z49,'＠グループ、表示名'!$D$4:$D$250,0)-1,0)))</f>
        <v/>
      </c>
      <c r="AA49" s="69" t="str">
        <f ca="1">IF('＠MFP (LSI name)'!AA49="","",IF(COUNTIF('＠MFP (LSI name)'!AA49,"Serial*")+COUNTIF('＠MFP (LSI name)'!AA49,"Analog*")&gt;0,'＠MFP (LSI name)'!AA49,OFFSET('＠グループ、表示名'!$H$4,MATCH('＠MFP (LSI name)'!AA49,'＠グループ、表示名'!$D$4:$D$250,0)-1,0)))</f>
        <v/>
      </c>
      <c r="AB49" s="69" t="str">
        <f ca="1">IF('＠MFP (LSI name)'!AB49="","",IF(COUNTIF('＠MFP (LSI name)'!AB49,"Serial*")+COUNTIF('＠MFP (LSI name)'!AB49,"Analog*")&gt;0,'＠MFP (LSI name)'!AB49,OFFSET('＠グループ、表示名'!$H$4,MATCH('＠MFP (LSI name)'!AB49,'＠グループ、表示名'!$D$4:$D$250,0)-1,0)))</f>
        <v/>
      </c>
      <c r="AC49" s="18" t="str">
        <f ca="1">IF('＠MFP (LSI name)'!AC49="","",IF(COUNTIF('＠MFP (LSI name)'!AC49,"Serial*")+COUNTIF('＠MFP (LSI name)'!AC49,"Analog*")&gt;0,'＠MFP (LSI name)'!AC49,OFFSET('＠グループ、表示名'!$H$4,MATCH('＠MFP (LSI name)'!AC49,'＠グループ、表示名'!$D$4:$D$250,0)-1,0)))</f>
        <v/>
      </c>
      <c r="AD49" s="18" t="str">
        <f ca="1">IF('＠MFP (LSI name)'!AD49="","",IF(COUNTIF('＠MFP (LSI name)'!AD49,"Serial*")+COUNTIF('＠MFP (LSI name)'!AD49,"Analog*")&gt;0,'＠MFP (LSI name)'!AD49,OFFSET('＠グループ、表示名'!$H$4,MATCH('＠MFP (LSI name)'!AD49,'＠グループ、表示名'!$D$4:$D$250,0)-1,0)))</f>
        <v/>
      </c>
      <c r="AE49" s="18" t="str">
        <f ca="1">IF('＠MFP (LSI name)'!AE49="","",IF(COUNTIF('＠MFP (LSI name)'!AE49,"Serial*")+COUNTIF('＠MFP (LSI name)'!AE49,"Analog*")&gt;0,'＠MFP (LSI name)'!AE49,OFFSET('＠グループ、表示名'!$H$4,MATCH('＠MFP (LSI name)'!AE49,'＠グループ、表示名'!$D$4:$D$250,0)-1,0)))</f>
        <v/>
      </c>
      <c r="AF49" s="69" t="str">
        <f ca="1">IF('＠MFP (LSI name)'!AF49="","",IF(COUNTIF('＠MFP (LSI name)'!AF49,"Serial*")+COUNTIF('＠MFP (LSI name)'!AF49,"Analog*")&gt;0,'＠MFP (LSI name)'!AF49,OFFSET('＠グループ、表示名'!$H$4,MATCH('＠MFP (LSI name)'!AF49,'＠グループ、表示名'!$D$4:$D$250,0)-1,0)))</f>
        <v/>
      </c>
      <c r="AG49" s="69" t="str">
        <f ca="1">IF('＠MFP (LSI name)'!AG49="","",IF(COUNTIF('＠MFP (LSI name)'!AG49,"Serial*")+COUNTIF('＠MFP (LSI name)'!AG49,"Analog*")&gt;0,'＠MFP (LSI name)'!AG49,OFFSET('＠グループ、表示名'!$H$4,MATCH('＠MFP (LSI name)'!AG49,'＠グループ、表示名'!$D$4:$D$250,0)-1,0)))</f>
        <v/>
      </c>
      <c r="AH49" s="18" t="str">
        <f ca="1">IF('＠MFP (LSI name)'!AH49="","",IF(COUNTIF('＠MFP (LSI name)'!AH49,"Serial*")+COUNTIF('＠MFP (LSI name)'!AH49,"Analog*")&gt;0,'＠MFP (LSI name)'!AH49,OFFSET('＠グループ、表示名'!$H$4,MATCH('＠MFP (LSI name)'!AH49,'＠グループ、表示名'!$D$4:$D$250,0)-1,0)))</f>
        <v/>
      </c>
      <c r="AI49" s="18" t="str">
        <f ca="1">IF('＠MFP (LSI name)'!AI49="","",IF(COUNTIF('＠MFP (LSI name)'!AI49,"Serial*")+COUNTIF('＠MFP (LSI name)'!AI49,"Analog*")&gt;0,'＠MFP (LSI name)'!AI49,OFFSET('＠グループ、表示名'!$H$4,MATCH('＠MFP (LSI name)'!AI49,'＠グループ、表示名'!$D$4:$D$250,0)-1,0)))</f>
        <v/>
      </c>
      <c r="AJ49" s="18" t="str">
        <f ca="1">IF('＠MFP (LSI name)'!AJ49="","",IF(COUNTIF('＠MFP (LSI name)'!AJ49,"Serial*")+COUNTIF('＠MFP (LSI name)'!AJ49,"Analog*")&gt;0,'＠MFP (LSI name)'!AJ49,OFFSET('＠グループ、表示名'!$H$4,MATCH('＠MFP (LSI name)'!AJ49,'＠グループ、表示名'!$D$4:$D$250,0)-1,0)))</f>
        <v/>
      </c>
      <c r="AK49" s="69" t="str">
        <f ca="1">IF('＠MFP (LSI name)'!AK49="","",IF(COUNTIF('＠MFP (LSI name)'!AK49,"Serial*")+COUNTIF('＠MFP (LSI name)'!AK49,"Analog*")&gt;0,'＠MFP (LSI name)'!AK49,OFFSET('＠グループ、表示名'!$H$4,MATCH('＠MFP (LSI name)'!AK49,'＠グループ、表示名'!$D$4:$D$250,0)-1,0)))</f>
        <v/>
      </c>
      <c r="AL49" s="9" t="str">
        <f t="shared" si="4"/>
        <v>IOPFMD[11]</v>
      </c>
      <c r="AM49" s="9" t="str">
        <f t="shared" si="5"/>
        <v>IOPFMD[10]</v>
      </c>
      <c r="AN49" s="9" t="str">
        <f t="shared" si="6"/>
        <v>IOPFMD[9]</v>
      </c>
      <c r="AO49" s="9" t="str">
        <f t="shared" si="7"/>
        <v>IOPFMD[8]</v>
      </c>
      <c r="AP49" s="86"/>
    </row>
    <row r="50" spans="1:42" ht="16.149999999999999">
      <c r="A50" s="61">
        <v>45</v>
      </c>
      <c r="B50" s="7">
        <v>45</v>
      </c>
      <c r="C50" s="7">
        <v>35</v>
      </c>
      <c r="D50" s="87">
        <v>26</v>
      </c>
      <c r="E50" s="87">
        <v>18</v>
      </c>
      <c r="F50" s="7">
        <v>45</v>
      </c>
      <c r="G50" s="7">
        <v>35</v>
      </c>
      <c r="H50" s="87">
        <v>26</v>
      </c>
      <c r="I50" s="45" t="s">
        <v>505</v>
      </c>
      <c r="J50" s="45" t="s">
        <v>506</v>
      </c>
      <c r="K50" s="69" t="str">
        <f ca="1">IF('＠MFP (LSI name)'!K50="","",IF(COUNTIF('＠MFP (LSI name)'!K50,"Serial*")+COUNTIF('＠MFP (LSI name)'!K50,"Analog*")&gt;0,'＠MFP (LSI name)'!K50,OFFSET('＠グループ、表示名'!$H$4,MATCH('＠MFP (LSI name)'!K50,'＠グループ、表示名'!$D$4:$D$250,0)-1,0)))</f>
        <v>GPWM3_GPWM30</v>
      </c>
      <c r="L50" s="69" t="str">
        <f ca="1">IF('＠MFP (LSI name)'!L50="","",IF(COUNTIF('＠MFP (LSI name)'!L50,"Serial*")+COUNTIF('＠MFP (LSI name)'!L50,"Analog*")&gt;0,'＠MFP (LSI name)'!L50,OFFSET('＠グループ、表示名'!$H$4,MATCH('＠MFP (LSI name)'!L50,'＠グループ、表示名'!$D$4:$D$250,0)-1,0)))</f>
        <v/>
      </c>
      <c r="M50" s="69" t="str">
        <f ca="1">IF('＠MFP (LSI name)'!M50="","",IF(COUNTIF('＠MFP (LSI name)'!M50,"Serial*")+COUNTIF('＠MFP (LSI name)'!M50,"Analog*")&gt;0,'＠MFP (LSI name)'!M50,OFFSET('＠グループ、表示名'!$H$4,MATCH('＠MFP (LSI name)'!M50,'＠グループ、表示名'!$D$4:$D$250,0)-1,0)))</f>
        <v/>
      </c>
      <c r="N50" s="69" t="str">
        <f ca="1">IF('＠MFP (LSI name)'!N50="","",IF(COUNTIF('＠MFP (LSI name)'!N50,"Serial*")+COUNTIF('＠MFP (LSI name)'!N50,"Analog*")&gt;0,'＠MFP (LSI name)'!N50,OFFSET('＠グループ、表示名'!$H$4,MATCH('＠MFP (LSI name)'!N50,'＠グループ、表示名'!$D$4:$D$250,0)-1,0)))</f>
        <v/>
      </c>
      <c r="O50" s="69" t="str">
        <f ca="1">IF('＠MFP (LSI name)'!O50="","",IF(COUNTIF('＠MFP (LSI name)'!O50,"Serial*")+COUNTIF('＠MFP (LSI name)'!O50,"Analog*")&gt;0,'＠MFP (LSI name)'!O50,OFFSET('＠グループ、表示名'!$H$4,MATCH('＠MFP (LSI name)'!O50,'＠グループ、表示名'!$D$4:$D$250,0)-1,0)))</f>
        <v/>
      </c>
      <c r="P50" s="69" t="str">
        <f ca="1">IF('＠MFP (LSI name)'!P50="","",IF(COUNTIF('＠MFP (LSI name)'!P50,"Serial*")+COUNTIF('＠MFP (LSI name)'!P50,"Analog*")&gt;0,'＠MFP (LSI name)'!P50,OFFSET('＠グループ、表示名'!$H$4,MATCH('＠MFP (LSI name)'!P50,'＠グループ、表示名'!$D$4:$D$250,0)-1,0)))</f>
        <v/>
      </c>
      <c r="Q50" s="69" t="str">
        <f ca="1">IF('＠MFP (LSI name)'!Q50="","",IF(COUNTIF('＠MFP (LSI name)'!Q50,"Serial*")+COUNTIF('＠MFP (LSI name)'!Q50,"Analog*")&gt;0,'＠MFP (LSI name)'!Q50,OFFSET('＠グループ、表示名'!$H$4,MATCH('＠MFP (LSI name)'!Q50,'＠グループ、表示名'!$D$4:$D$250,0)-1,0)))</f>
        <v/>
      </c>
      <c r="R50" s="69" t="str">
        <f ca="1">IF('＠MFP (LSI name)'!R50="","",IF(COUNTIF('＠MFP (LSI name)'!R50,"Serial*")+COUNTIF('＠MFP (LSI name)'!R50,"Analog*")&gt;0,'＠MFP (LSI name)'!R50,OFFSET('＠グループ、表示名'!$H$4,MATCH('＠MFP (LSI name)'!R50,'＠グループ、表示名'!$D$4:$D$250,0)-1,0)))</f>
        <v/>
      </c>
      <c r="S50" s="69" t="str">
        <f ca="1">IF('＠MFP (LSI name)'!S50="","",IF(COUNTIF('＠MFP (LSI name)'!S50,"Serial*")+COUNTIF('＠MFP (LSI name)'!S50,"Analog*")&gt;0,'＠MFP (LSI name)'!S50,OFFSET('＠グループ、表示名'!$H$4,MATCH('＠MFP (LSI name)'!S50,'＠グループ、表示名'!$D$4:$D$250,0)-1,0)))</f>
        <v/>
      </c>
      <c r="T50" s="69" t="str">
        <f ca="1">IF('＠MFP (LSI name)'!T50="","",IF(COUNTIF('＠MFP (LSI name)'!T50,"Serial*")+COUNTIF('＠MFP (LSI name)'!T50,"Analog*")&gt;0,'＠MFP (LSI name)'!T50,OFFSET('＠グループ、表示名'!$H$4,MATCH('＠MFP (LSI name)'!T50,'＠グループ、表示名'!$D$4:$D$250,0)-1,0)))</f>
        <v/>
      </c>
      <c r="U50" s="69" t="str">
        <f ca="1">IF('＠MFP (LSI name)'!U50="","",IF(COUNTIF('＠MFP (LSI name)'!U50,"Serial*")+COUNTIF('＠MFP (LSI name)'!U50,"Analog*")&gt;0,'＠MFP (LSI name)'!U50,OFFSET('＠グループ、表示名'!$H$4,MATCH('＠MFP (LSI name)'!U50,'＠グループ、表示名'!$D$4:$D$250,0)-1,0)))</f>
        <v/>
      </c>
      <c r="V50" s="18" t="str">
        <f ca="1">IF('＠MFP (LSI name)'!V50="","",IF(COUNTIF('＠MFP (LSI name)'!V50,"Serial*")+COUNTIF('＠MFP (LSI name)'!V50,"Analog*")&gt;0,'＠MFP (LSI name)'!V50,OFFSET('＠グループ、表示名'!$H$4,MATCH('＠MFP (LSI name)'!V50,'＠グループ、表示名'!$D$4:$D$250,0)-1,0)))</f>
        <v/>
      </c>
      <c r="W50" s="18" t="str">
        <f ca="1">IF('＠MFP (LSI name)'!W50="","",IF(COUNTIF('＠MFP (LSI name)'!W50,"Serial*")+COUNTIF('＠MFP (LSI name)'!W50,"Analog*")&gt;0,'＠MFP (LSI name)'!W50,OFFSET('＠グループ、表示名'!$H$4,MATCH('＠MFP (LSI name)'!W50,'＠グループ、表示名'!$D$4:$D$250,0)-1,0)))</f>
        <v/>
      </c>
      <c r="X50" s="18" t="str">
        <f ca="1">IF('＠MFP (LSI name)'!X50="","",IF(COUNTIF('＠MFP (LSI name)'!X50,"Serial*")+COUNTIF('＠MFP (LSI name)'!X50,"Analog*")&gt;0,'＠MFP (LSI name)'!X50,OFFSET('＠グループ、表示名'!$H$4,MATCH('＠MFP (LSI name)'!X50,'＠グループ、表示名'!$D$4:$D$250,0)-1,0)))</f>
        <v/>
      </c>
      <c r="Y50" s="18" t="str">
        <f ca="1">IF('＠MFP (LSI name)'!Y50="","",IF(COUNTIF('＠MFP (LSI name)'!Y50,"Serial*")+COUNTIF('＠MFP (LSI name)'!Y50,"Analog*")&gt;0,'＠MFP (LSI name)'!Y50,OFFSET('＠グループ、表示名'!$H$4,MATCH('＠MFP (LSI name)'!Y50,'＠グループ、表示名'!$D$4:$D$250,0)-1,0)))</f>
        <v/>
      </c>
      <c r="Z50" s="18" t="str">
        <f ca="1">IF('＠MFP (LSI name)'!Z50="","",IF(COUNTIF('＠MFP (LSI name)'!Z50,"Serial*")+COUNTIF('＠MFP (LSI name)'!Z50,"Analog*")&gt;0,'＠MFP (LSI name)'!Z50,OFFSET('＠グループ、表示名'!$H$4,MATCH('＠MFP (LSI name)'!Z50,'＠グループ、表示名'!$D$4:$D$250,0)-1,0)))</f>
        <v/>
      </c>
      <c r="AA50" s="69" t="str">
        <f ca="1">IF('＠MFP (LSI name)'!AA50="","",IF(COUNTIF('＠MFP (LSI name)'!AA50,"Serial*")+COUNTIF('＠MFP (LSI name)'!AA50,"Analog*")&gt;0,'＠MFP (LSI name)'!AA50,OFFSET('＠グループ、表示名'!$H$4,MATCH('＠MFP (LSI name)'!AA50,'＠グループ、表示名'!$D$4:$D$250,0)-1,0)))</f>
        <v/>
      </c>
      <c r="AB50" s="18" t="str">
        <f ca="1">IF('＠MFP (LSI name)'!AB50="","",IF(COUNTIF('＠MFP (LSI name)'!AB50,"Serial*")+COUNTIF('＠MFP (LSI name)'!AB50,"Analog*")&gt;0,'＠MFP (LSI name)'!AB50,OFFSET('＠グループ、表示名'!$H$4,MATCH('＠MFP (LSI name)'!AB50,'＠グループ、表示名'!$D$4:$D$250,0)-1,0)))</f>
        <v/>
      </c>
      <c r="AC50" s="18" t="str">
        <f ca="1">IF('＠MFP (LSI name)'!AC50="","",IF(COUNTIF('＠MFP (LSI name)'!AC50,"Serial*")+COUNTIF('＠MFP (LSI name)'!AC50,"Analog*")&gt;0,'＠MFP (LSI name)'!AC50,OFFSET('＠グループ、表示名'!$H$4,MATCH('＠MFP (LSI name)'!AC50,'＠グループ、表示名'!$D$4:$D$250,0)-1,0)))</f>
        <v/>
      </c>
      <c r="AD50" s="18" t="str">
        <f ca="1">IF('＠MFP (LSI name)'!AD50="","",IF(COUNTIF('＠MFP (LSI name)'!AD50,"Serial*")+COUNTIF('＠MFP (LSI name)'!AD50,"Analog*")&gt;0,'＠MFP (LSI name)'!AD50,OFFSET('＠グループ、表示名'!$H$4,MATCH('＠MFP (LSI name)'!AD50,'＠グループ、表示名'!$D$4:$D$250,0)-1,0)))</f>
        <v/>
      </c>
      <c r="AE50" s="18" t="str">
        <f ca="1">IF('＠MFP (LSI name)'!AE50="","",IF(COUNTIF('＠MFP (LSI name)'!AE50,"Serial*")+COUNTIF('＠MFP (LSI name)'!AE50,"Analog*")&gt;0,'＠MFP (LSI name)'!AE50,OFFSET('＠グループ、表示名'!$H$4,MATCH('＠MFP (LSI name)'!AE50,'＠グループ、表示名'!$D$4:$D$250,0)-1,0)))</f>
        <v/>
      </c>
      <c r="AF50" s="69" t="str">
        <f ca="1">IF('＠MFP (LSI name)'!AF50="","",IF(COUNTIF('＠MFP (LSI name)'!AF50,"Serial*")+COUNTIF('＠MFP (LSI name)'!AF50,"Analog*")&gt;0,'＠MFP (LSI name)'!AF50,OFFSET('＠グループ、表示名'!$H$4,MATCH('＠MFP (LSI name)'!AF50,'＠グループ、表示名'!$D$4:$D$250,0)-1,0)))</f>
        <v/>
      </c>
      <c r="AG50" s="18" t="str">
        <f ca="1">IF('＠MFP (LSI name)'!AG50="","",IF(COUNTIF('＠MFP (LSI name)'!AG50,"Serial*")+COUNTIF('＠MFP (LSI name)'!AG50,"Analog*")&gt;0,'＠MFP (LSI name)'!AG50,OFFSET('＠グループ、表示名'!$H$4,MATCH('＠MFP (LSI name)'!AG50,'＠グループ、表示名'!$D$4:$D$250,0)-1,0)))</f>
        <v/>
      </c>
      <c r="AH50" s="18" t="str">
        <f ca="1">IF('＠MFP (LSI name)'!AH50="","",IF(COUNTIF('＠MFP (LSI name)'!AH50,"Serial*")+COUNTIF('＠MFP (LSI name)'!AH50,"Analog*")&gt;0,'＠MFP (LSI name)'!AH50,OFFSET('＠グループ、表示名'!$H$4,MATCH('＠MFP (LSI name)'!AH50,'＠グループ、表示名'!$D$4:$D$250,0)-1,0)))</f>
        <v/>
      </c>
      <c r="AI50" s="18" t="str">
        <f ca="1">IF('＠MFP (LSI name)'!AI50="","",IF(COUNTIF('＠MFP (LSI name)'!AI50,"Serial*")+COUNTIF('＠MFP (LSI name)'!AI50,"Analog*")&gt;0,'＠MFP (LSI name)'!AI50,OFFSET('＠グループ、表示名'!$H$4,MATCH('＠MFP (LSI name)'!AI50,'＠グループ、表示名'!$D$4:$D$250,0)-1,0)))</f>
        <v/>
      </c>
      <c r="AJ50" s="18" t="str">
        <f ca="1">IF('＠MFP (LSI name)'!AJ50="","",IF(COUNTIF('＠MFP (LSI name)'!AJ50,"Serial*")+COUNTIF('＠MFP (LSI name)'!AJ50,"Analog*")&gt;0,'＠MFP (LSI name)'!AJ50,OFFSET('＠グループ、表示名'!$H$4,MATCH('＠MFP (LSI name)'!AJ50,'＠グループ、表示名'!$D$4:$D$250,0)-1,0)))</f>
        <v/>
      </c>
      <c r="AK50" s="69" t="str">
        <f ca="1">IF('＠MFP (LSI name)'!AK50="","",IF(COUNTIF('＠MFP (LSI name)'!AK50,"Serial*")+COUNTIF('＠MFP (LSI name)'!AK50,"Analog*")&gt;0,'＠MFP (LSI name)'!AK50,OFFSET('＠グループ、表示名'!$H$4,MATCH('＠MFP (LSI name)'!AK50,'＠グループ、表示名'!$D$4:$D$250,0)-1,0)))</f>
        <v/>
      </c>
      <c r="AL50" s="9" t="str">
        <f t="shared" si="4"/>
        <v>IOP9MD[23]</v>
      </c>
      <c r="AM50" s="9" t="str">
        <f t="shared" si="5"/>
        <v>IOP9MD[22]</v>
      </c>
      <c r="AN50" s="9" t="str">
        <f t="shared" si="6"/>
        <v>IOP9MD[21]</v>
      </c>
      <c r="AO50" s="9" t="str">
        <f t="shared" si="7"/>
        <v>IOP9MD[20]</v>
      </c>
      <c r="AP50" s="86"/>
    </row>
    <row r="51" spans="1:42" ht="16.149999999999999">
      <c r="A51" s="61">
        <v>46</v>
      </c>
      <c r="B51" s="7">
        <v>46</v>
      </c>
      <c r="C51" s="7">
        <v>36</v>
      </c>
      <c r="D51" s="87">
        <v>27</v>
      </c>
      <c r="E51" s="87">
        <v>19</v>
      </c>
      <c r="F51" s="7">
        <v>46</v>
      </c>
      <c r="G51" s="7">
        <v>36</v>
      </c>
      <c r="H51" s="87">
        <v>27</v>
      </c>
      <c r="I51" s="45" t="s">
        <v>507</v>
      </c>
      <c r="J51" s="45" t="s">
        <v>508</v>
      </c>
      <c r="K51" s="69" t="str">
        <f ca="1">IF('＠MFP (LSI name)'!K51="","",IF(COUNTIF('＠MFP (LSI name)'!K51,"Serial*")+COUNTIF('＠MFP (LSI name)'!K51,"Analog*")&gt;0,'＠MFP (LSI name)'!K51,OFFSET('＠グループ、表示名'!$H$4,MATCH('＠MFP (LSI name)'!K51,'＠グループ、表示名'!$D$4:$D$250,0)-1,0)))</f>
        <v>GPWM4_GPWM40</v>
      </c>
      <c r="L51" s="69" t="str">
        <f ca="1">IF('＠MFP (LSI name)'!L51="","",IF(COUNTIF('＠MFP (LSI name)'!L51,"Serial*")+COUNTIF('＠MFP (LSI name)'!L51,"Analog*")&gt;0,'＠MFP (LSI name)'!L51,OFFSET('＠グループ、表示名'!$H$4,MATCH('＠MFP (LSI name)'!L51,'＠グループ、表示名'!$D$4:$D$250,0)-1,0)))</f>
        <v/>
      </c>
      <c r="M51" s="69" t="str">
        <f ca="1">IF('＠MFP (LSI name)'!M51="","",IF(COUNTIF('＠MFP (LSI name)'!M51,"Serial*")+COUNTIF('＠MFP (LSI name)'!M51,"Analog*")&gt;0,'＠MFP (LSI name)'!M51,OFFSET('＠グループ、表示名'!$H$4,MATCH('＠MFP (LSI name)'!M51,'＠グループ、表示名'!$D$4:$D$250,0)-1,0)))</f>
        <v/>
      </c>
      <c r="N51" s="69" t="str">
        <f ca="1">IF('＠MFP (LSI name)'!N51="","",IF(COUNTIF('＠MFP (LSI name)'!N51,"Serial*")+COUNTIF('＠MFP (LSI name)'!N51,"Analog*")&gt;0,'＠MFP (LSI name)'!N51,OFFSET('＠グループ、表示名'!$H$4,MATCH('＠MFP (LSI name)'!N51,'＠グループ、表示名'!$D$4:$D$250,0)-1,0)))</f>
        <v/>
      </c>
      <c r="O51" s="69" t="str">
        <f ca="1">IF('＠MFP (LSI name)'!O51="","",IF(COUNTIF('＠MFP (LSI name)'!O51,"Serial*")+COUNTIF('＠MFP (LSI name)'!O51,"Analog*")&gt;0,'＠MFP (LSI name)'!O51,OFFSET('＠グループ、表示名'!$H$4,MATCH('＠MFP (LSI name)'!O51,'＠グループ、表示名'!$D$4:$D$250,0)-1,0)))</f>
        <v/>
      </c>
      <c r="P51" s="69" t="str">
        <f ca="1">IF('＠MFP (LSI name)'!P51="","",IF(COUNTIF('＠MFP (LSI name)'!P51,"Serial*")+COUNTIF('＠MFP (LSI name)'!P51,"Analog*")&gt;0,'＠MFP (LSI name)'!P51,OFFSET('＠グループ、表示名'!$H$4,MATCH('＠MFP (LSI name)'!P51,'＠グループ、表示名'!$D$4:$D$250,0)-1,0)))</f>
        <v/>
      </c>
      <c r="Q51" s="69" t="str">
        <f ca="1">IF('＠MFP (LSI name)'!Q51="","",IF(COUNTIF('＠MFP (LSI name)'!Q51,"Serial*")+COUNTIF('＠MFP (LSI name)'!Q51,"Analog*")&gt;0,'＠MFP (LSI name)'!Q51,OFFSET('＠グループ、表示名'!$H$4,MATCH('＠MFP (LSI name)'!Q51,'＠グループ、表示名'!$D$4:$D$250,0)-1,0)))</f>
        <v/>
      </c>
      <c r="R51" s="69" t="str">
        <f ca="1">IF('＠MFP (LSI name)'!R51="","",IF(COUNTIF('＠MFP (LSI name)'!R51,"Serial*")+COUNTIF('＠MFP (LSI name)'!R51,"Analog*")&gt;0,'＠MFP (LSI name)'!R51,OFFSET('＠グループ、表示名'!$H$4,MATCH('＠MFP (LSI name)'!R51,'＠グループ、表示名'!$D$4:$D$250,0)-1,0)))</f>
        <v/>
      </c>
      <c r="S51" s="69" t="str">
        <f ca="1">IF('＠MFP (LSI name)'!S51="","",IF(COUNTIF('＠MFP (LSI name)'!S51,"Serial*")+COUNTIF('＠MFP (LSI name)'!S51,"Analog*")&gt;0,'＠MFP (LSI name)'!S51,OFFSET('＠グループ、表示名'!$H$4,MATCH('＠MFP (LSI name)'!S51,'＠グループ、表示名'!$D$4:$D$250,0)-1,0)))</f>
        <v/>
      </c>
      <c r="T51" s="69" t="str">
        <f ca="1">IF('＠MFP (LSI name)'!T51="","",IF(COUNTIF('＠MFP (LSI name)'!T51,"Serial*")+COUNTIF('＠MFP (LSI name)'!T51,"Analog*")&gt;0,'＠MFP (LSI name)'!T51,OFFSET('＠グループ、表示名'!$H$4,MATCH('＠MFP (LSI name)'!T51,'＠グループ、表示名'!$D$4:$D$250,0)-1,0)))</f>
        <v/>
      </c>
      <c r="U51" s="69" t="str">
        <f ca="1">IF('＠MFP (LSI name)'!U51="","",IF(COUNTIF('＠MFP (LSI name)'!U51,"Serial*")+COUNTIF('＠MFP (LSI name)'!U51,"Analog*")&gt;0,'＠MFP (LSI name)'!U51,OFFSET('＠グループ、表示名'!$H$4,MATCH('＠MFP (LSI name)'!U51,'＠グループ、表示名'!$D$4:$D$250,0)-1,0)))</f>
        <v/>
      </c>
      <c r="V51" s="18" t="str">
        <f ca="1">IF('＠MFP (LSI name)'!V51="","",IF(COUNTIF('＠MFP (LSI name)'!V51,"Serial*")+COUNTIF('＠MFP (LSI name)'!V51,"Analog*")&gt;0,'＠MFP (LSI name)'!V51,OFFSET('＠グループ、表示名'!$H$4,MATCH('＠MFP (LSI name)'!V51,'＠グループ、表示名'!$D$4:$D$250,0)-1,0)))</f>
        <v/>
      </c>
      <c r="W51" s="18" t="str">
        <f ca="1">IF('＠MFP (LSI name)'!W51="","",IF(COUNTIF('＠MFP (LSI name)'!W51,"Serial*")+COUNTIF('＠MFP (LSI name)'!W51,"Analog*")&gt;0,'＠MFP (LSI name)'!W51,OFFSET('＠グループ、表示名'!$H$4,MATCH('＠MFP (LSI name)'!W51,'＠グループ、表示名'!$D$4:$D$250,0)-1,0)))</f>
        <v/>
      </c>
      <c r="X51" s="18" t="str">
        <f ca="1">IF('＠MFP (LSI name)'!X51="","",IF(COUNTIF('＠MFP (LSI name)'!X51,"Serial*")+COUNTIF('＠MFP (LSI name)'!X51,"Analog*")&gt;0,'＠MFP (LSI name)'!X51,OFFSET('＠グループ、表示名'!$H$4,MATCH('＠MFP (LSI name)'!X51,'＠グループ、表示名'!$D$4:$D$250,0)-1,0)))</f>
        <v/>
      </c>
      <c r="Y51" s="18" t="str">
        <f ca="1">IF('＠MFP (LSI name)'!Y51="","",IF(COUNTIF('＠MFP (LSI name)'!Y51,"Serial*")+COUNTIF('＠MFP (LSI name)'!Y51,"Analog*")&gt;0,'＠MFP (LSI name)'!Y51,OFFSET('＠グループ、表示名'!$H$4,MATCH('＠MFP (LSI name)'!Y51,'＠グループ、表示名'!$D$4:$D$250,0)-1,0)))</f>
        <v/>
      </c>
      <c r="Z51" s="18" t="str">
        <f ca="1">IF('＠MFP (LSI name)'!Z51="","",IF(COUNTIF('＠MFP (LSI name)'!Z51,"Serial*")+COUNTIF('＠MFP (LSI name)'!Z51,"Analog*")&gt;0,'＠MFP (LSI name)'!Z51,OFFSET('＠グループ、表示名'!$H$4,MATCH('＠MFP (LSI name)'!Z51,'＠グループ、表示名'!$D$4:$D$250,0)-1,0)))</f>
        <v/>
      </c>
      <c r="AA51" s="69" t="str">
        <f ca="1">IF('＠MFP (LSI name)'!AA51="","",IF(COUNTIF('＠MFP (LSI name)'!AA51,"Serial*")+COUNTIF('＠MFP (LSI name)'!AA51,"Analog*")&gt;0,'＠MFP (LSI name)'!AA51,OFFSET('＠グループ、表示名'!$H$4,MATCH('＠MFP (LSI name)'!AA51,'＠グループ、表示名'!$D$4:$D$250,0)-1,0)))</f>
        <v/>
      </c>
      <c r="AB51" s="18" t="str">
        <f ca="1">IF('＠MFP (LSI name)'!AB51="","",IF(COUNTIF('＠MFP (LSI name)'!AB51,"Serial*")+COUNTIF('＠MFP (LSI name)'!AB51,"Analog*")&gt;0,'＠MFP (LSI name)'!AB51,OFFSET('＠グループ、表示名'!$H$4,MATCH('＠MFP (LSI name)'!AB51,'＠グループ、表示名'!$D$4:$D$250,0)-1,0)))</f>
        <v/>
      </c>
      <c r="AC51" s="18" t="str">
        <f ca="1">IF('＠MFP (LSI name)'!AC51="","",IF(COUNTIF('＠MFP (LSI name)'!AC51,"Serial*")+COUNTIF('＠MFP (LSI name)'!AC51,"Analog*")&gt;0,'＠MFP (LSI name)'!AC51,OFFSET('＠グループ、表示名'!$H$4,MATCH('＠MFP (LSI name)'!AC51,'＠グループ、表示名'!$D$4:$D$250,0)-1,0)))</f>
        <v/>
      </c>
      <c r="AD51" s="18" t="str">
        <f ca="1">IF('＠MFP (LSI name)'!AD51="","",IF(COUNTIF('＠MFP (LSI name)'!AD51,"Serial*")+COUNTIF('＠MFP (LSI name)'!AD51,"Analog*")&gt;0,'＠MFP (LSI name)'!AD51,OFFSET('＠グループ、表示名'!$H$4,MATCH('＠MFP (LSI name)'!AD51,'＠グループ、表示名'!$D$4:$D$250,0)-1,0)))</f>
        <v/>
      </c>
      <c r="AE51" s="18" t="str">
        <f ca="1">IF('＠MFP (LSI name)'!AE51="","",IF(COUNTIF('＠MFP (LSI name)'!AE51,"Serial*")+COUNTIF('＠MFP (LSI name)'!AE51,"Analog*")&gt;0,'＠MFP (LSI name)'!AE51,OFFSET('＠グループ、表示名'!$H$4,MATCH('＠MFP (LSI name)'!AE51,'＠グループ、表示名'!$D$4:$D$250,0)-1,0)))</f>
        <v/>
      </c>
      <c r="AF51" s="69" t="str">
        <f ca="1">IF('＠MFP (LSI name)'!AF51="","",IF(COUNTIF('＠MFP (LSI name)'!AF51,"Serial*")+COUNTIF('＠MFP (LSI name)'!AF51,"Analog*")&gt;0,'＠MFP (LSI name)'!AF51,OFFSET('＠グループ、表示名'!$H$4,MATCH('＠MFP (LSI name)'!AF51,'＠グループ、表示名'!$D$4:$D$250,0)-1,0)))</f>
        <v/>
      </c>
      <c r="AG51" s="18" t="str">
        <f ca="1">IF('＠MFP (LSI name)'!AG51="","",IF(COUNTIF('＠MFP (LSI name)'!AG51,"Serial*")+COUNTIF('＠MFP (LSI name)'!AG51,"Analog*")&gt;0,'＠MFP (LSI name)'!AG51,OFFSET('＠グループ、表示名'!$H$4,MATCH('＠MFP (LSI name)'!AG51,'＠グループ、表示名'!$D$4:$D$250,0)-1,0)))</f>
        <v/>
      </c>
      <c r="AH51" s="18" t="str">
        <f ca="1">IF('＠MFP (LSI name)'!AH51="","",IF(COUNTIF('＠MFP (LSI name)'!AH51,"Serial*")+COUNTIF('＠MFP (LSI name)'!AH51,"Analog*")&gt;0,'＠MFP (LSI name)'!AH51,OFFSET('＠グループ、表示名'!$H$4,MATCH('＠MFP (LSI name)'!AH51,'＠グループ、表示名'!$D$4:$D$250,0)-1,0)))</f>
        <v/>
      </c>
      <c r="AI51" s="18" t="str">
        <f ca="1">IF('＠MFP (LSI name)'!AI51="","",IF(COUNTIF('＠MFP (LSI name)'!AI51,"Serial*")+COUNTIF('＠MFP (LSI name)'!AI51,"Analog*")&gt;0,'＠MFP (LSI name)'!AI51,OFFSET('＠グループ、表示名'!$H$4,MATCH('＠MFP (LSI name)'!AI51,'＠グループ、表示名'!$D$4:$D$250,0)-1,0)))</f>
        <v/>
      </c>
      <c r="AJ51" s="18" t="str">
        <f ca="1">IF('＠MFP (LSI name)'!AJ51="","",IF(COUNTIF('＠MFP (LSI name)'!AJ51,"Serial*")+COUNTIF('＠MFP (LSI name)'!AJ51,"Analog*")&gt;0,'＠MFP (LSI name)'!AJ51,OFFSET('＠グループ、表示名'!$H$4,MATCH('＠MFP (LSI name)'!AJ51,'＠グループ、表示名'!$D$4:$D$250,0)-1,0)))</f>
        <v/>
      </c>
      <c r="AK51" s="69" t="str">
        <f ca="1">IF('＠MFP (LSI name)'!AK51="","",IF(COUNTIF('＠MFP (LSI name)'!AK51,"Serial*")+COUNTIF('＠MFP (LSI name)'!AK51,"Analog*")&gt;0,'＠MFP (LSI name)'!AK51,OFFSET('＠グループ、表示名'!$H$4,MATCH('＠MFP (LSI name)'!AK51,'＠グループ、表示名'!$D$4:$D$250,0)-1,0)))</f>
        <v/>
      </c>
      <c r="AL51" s="9" t="str">
        <f t="shared" si="4"/>
        <v>IOP9MD[19]</v>
      </c>
      <c r="AM51" s="9" t="str">
        <f t="shared" si="5"/>
        <v>IOP9MD[18]</v>
      </c>
      <c r="AN51" s="9" t="str">
        <f t="shared" si="6"/>
        <v>IOP9MD[17]</v>
      </c>
      <c r="AO51" s="9" t="str">
        <f t="shared" si="7"/>
        <v>IOP9MD[16]</v>
      </c>
      <c r="AP51" s="86"/>
    </row>
    <row r="52" spans="1:42" ht="16.149999999999999">
      <c r="A52" s="61">
        <v>47</v>
      </c>
      <c r="B52" s="7">
        <v>47</v>
      </c>
      <c r="C52" s="7">
        <v>37</v>
      </c>
      <c r="D52" s="87">
        <v>28</v>
      </c>
      <c r="E52" s="87">
        <v>20</v>
      </c>
      <c r="F52" s="7">
        <v>47</v>
      </c>
      <c r="G52" s="7">
        <v>37</v>
      </c>
      <c r="H52" s="87">
        <v>28</v>
      </c>
      <c r="I52" s="45" t="s">
        <v>509</v>
      </c>
      <c r="J52" s="45" t="s">
        <v>510</v>
      </c>
      <c r="K52" s="69" t="str">
        <f ca="1">IF('＠MFP (LSI name)'!K52="","",IF(COUNTIF('＠MFP (LSI name)'!K52,"Serial*")+COUNTIF('＠MFP (LSI name)'!K52,"Analog*")&gt;0,'＠MFP (LSI name)'!K52,OFFSET('＠グループ、表示名'!$H$4,MATCH('＠MFP (LSI name)'!K52,'＠グループ、表示名'!$D$4:$D$250,0)-1,0)))</f>
        <v>GPWM5_GPWM50</v>
      </c>
      <c r="L52" s="18" t="str">
        <f ca="1">IF('＠MFP (LSI name)'!L52="","",IF(COUNTIF('＠MFP (LSI name)'!L52,"Serial*")+COUNTIF('＠MFP (LSI name)'!L52,"Analog*")&gt;0,'＠MFP (LSI name)'!L52,OFFSET('＠グループ、表示名'!$H$4,MATCH('＠MFP (LSI name)'!L52,'＠グループ、表示名'!$D$4:$D$250,0)-1,0)))</f>
        <v>SIF6_SBCS6</v>
      </c>
      <c r="M52" s="69" t="str">
        <f ca="1">IF('＠MFP (LSI name)'!M52="","",IF(COUNTIF('＠MFP (LSI name)'!M52,"Serial*")+COUNTIF('＠MFP (LSI name)'!M52,"Analog*")&gt;0,'＠MFP (LSI name)'!M52,OFFSET('＠グループ、表示名'!$H$4,MATCH('＠MFP (LSI name)'!M52,'＠グループ、表示名'!$D$4:$D$250,0)-1,0)))</f>
        <v/>
      </c>
      <c r="N52" s="69" t="str">
        <f ca="1">IF('＠MFP (LSI name)'!N52="","",IF(COUNTIF('＠MFP (LSI name)'!N52,"Serial*")+COUNTIF('＠MFP (LSI name)'!N52,"Analog*")&gt;0,'＠MFP (LSI name)'!N52,OFFSET('＠グループ、表示名'!$H$4,MATCH('＠MFP (LSI name)'!N52,'＠グループ、表示名'!$D$4:$D$250,0)-1,0)))</f>
        <v/>
      </c>
      <c r="O52" s="69" t="str">
        <f ca="1">IF('＠MFP (LSI name)'!O52="","",IF(COUNTIF('＠MFP (LSI name)'!O52,"Serial*")+COUNTIF('＠MFP (LSI name)'!O52,"Analog*")&gt;0,'＠MFP (LSI name)'!O52,OFFSET('＠グループ、表示名'!$H$4,MATCH('＠MFP (LSI name)'!O52,'＠グループ、表示名'!$D$4:$D$250,0)-1,0)))</f>
        <v/>
      </c>
      <c r="P52" s="69" t="str">
        <f ca="1">IF('＠MFP (LSI name)'!P52="","",IF(COUNTIF('＠MFP (LSI name)'!P52,"Serial*")+COUNTIF('＠MFP (LSI name)'!P52,"Analog*")&gt;0,'＠MFP (LSI name)'!P52,OFFSET('＠グループ、表示名'!$H$4,MATCH('＠MFP (LSI name)'!P52,'＠グループ、表示名'!$D$4:$D$250,0)-1,0)))</f>
        <v/>
      </c>
      <c r="Q52" s="69" t="str">
        <f ca="1">IF('＠MFP (LSI name)'!Q52="","",IF(COUNTIF('＠MFP (LSI name)'!Q52,"Serial*")+COUNTIF('＠MFP (LSI name)'!Q52,"Analog*")&gt;0,'＠MFP (LSI name)'!Q52,OFFSET('＠グループ、表示名'!$H$4,MATCH('＠MFP (LSI name)'!Q52,'＠グループ、表示名'!$D$4:$D$250,0)-1,0)))</f>
        <v/>
      </c>
      <c r="R52" s="69" t="str">
        <f ca="1">IF('＠MFP (LSI name)'!R52="","",IF(COUNTIF('＠MFP (LSI name)'!R52,"Serial*")+COUNTIF('＠MFP (LSI name)'!R52,"Analog*")&gt;0,'＠MFP (LSI name)'!R52,OFFSET('＠グループ、表示名'!$H$4,MATCH('＠MFP (LSI name)'!R52,'＠グループ、表示名'!$D$4:$D$250,0)-1,0)))</f>
        <v/>
      </c>
      <c r="S52" s="69" t="str">
        <f ca="1">IF('＠MFP (LSI name)'!S52="","",IF(COUNTIF('＠MFP (LSI name)'!S52,"Serial*")+COUNTIF('＠MFP (LSI name)'!S52,"Analog*")&gt;0,'＠MFP (LSI name)'!S52,OFFSET('＠グループ、表示名'!$H$4,MATCH('＠MFP (LSI name)'!S52,'＠グループ、表示名'!$D$4:$D$250,0)-1,0)))</f>
        <v/>
      </c>
      <c r="T52" s="69" t="str">
        <f ca="1">IF('＠MFP (LSI name)'!T52="","",IF(COUNTIF('＠MFP (LSI name)'!T52,"Serial*")+COUNTIF('＠MFP (LSI name)'!T52,"Analog*")&gt;0,'＠MFP (LSI name)'!T52,OFFSET('＠グループ、表示名'!$H$4,MATCH('＠MFP (LSI name)'!T52,'＠グループ、表示名'!$D$4:$D$250,0)-1,0)))</f>
        <v/>
      </c>
      <c r="U52" s="69" t="str">
        <f ca="1">IF('＠MFP (LSI name)'!U52="","",IF(COUNTIF('＠MFP (LSI name)'!U52,"Serial*")+COUNTIF('＠MFP (LSI name)'!U52,"Analog*")&gt;0,'＠MFP (LSI name)'!U52,OFFSET('＠グループ、表示名'!$H$4,MATCH('＠MFP (LSI name)'!U52,'＠グループ、表示名'!$D$4:$D$250,0)-1,0)))</f>
        <v/>
      </c>
      <c r="V52" s="18" t="str">
        <f ca="1">IF('＠MFP (LSI name)'!V52="","",IF(COUNTIF('＠MFP (LSI name)'!V52,"Serial*")+COUNTIF('＠MFP (LSI name)'!V52,"Analog*")&gt;0,'＠MFP (LSI name)'!V52,OFFSET('＠グループ、表示名'!$H$4,MATCH('＠MFP (LSI name)'!V52,'＠グループ、表示名'!$D$4:$D$250,0)-1,0)))</f>
        <v/>
      </c>
      <c r="W52" s="18" t="str">
        <f ca="1">IF('＠MFP (LSI name)'!W52="","",IF(COUNTIF('＠MFP (LSI name)'!W52,"Serial*")+COUNTIF('＠MFP (LSI name)'!W52,"Analog*")&gt;0,'＠MFP (LSI name)'!W52,OFFSET('＠グループ、表示名'!$H$4,MATCH('＠MFP (LSI name)'!W52,'＠グループ、表示名'!$D$4:$D$250,0)-1,0)))</f>
        <v/>
      </c>
      <c r="X52" s="18" t="str">
        <f ca="1">IF('＠MFP (LSI name)'!X52="","",IF(COUNTIF('＠MFP (LSI name)'!X52,"Serial*")+COUNTIF('＠MFP (LSI name)'!X52,"Analog*")&gt;0,'＠MFP (LSI name)'!X52,OFFSET('＠グループ、表示名'!$H$4,MATCH('＠MFP (LSI name)'!X52,'＠グループ、表示名'!$D$4:$D$250,0)-1,0)))</f>
        <v/>
      </c>
      <c r="Y52" s="18" t="str">
        <f ca="1">IF('＠MFP (LSI name)'!Y52="","",IF(COUNTIF('＠MFP (LSI name)'!Y52,"Serial*")+COUNTIF('＠MFP (LSI name)'!Y52,"Analog*")&gt;0,'＠MFP (LSI name)'!Y52,OFFSET('＠グループ、表示名'!$H$4,MATCH('＠MFP (LSI name)'!Y52,'＠グループ、表示名'!$D$4:$D$250,0)-1,0)))</f>
        <v/>
      </c>
      <c r="Z52" s="18" t="str">
        <f ca="1">IF('＠MFP (LSI name)'!Z52="","",IF(COUNTIF('＠MFP (LSI name)'!Z52,"Serial*")+COUNTIF('＠MFP (LSI name)'!Z52,"Analog*")&gt;0,'＠MFP (LSI name)'!Z52,OFFSET('＠グループ、表示名'!$H$4,MATCH('＠MFP (LSI name)'!Z52,'＠グループ、表示名'!$D$4:$D$250,0)-1,0)))</f>
        <v/>
      </c>
      <c r="AA52" s="69" t="str">
        <f ca="1">IF('＠MFP (LSI name)'!AA52="","",IF(COUNTIF('＠MFP (LSI name)'!AA52,"Serial*")+COUNTIF('＠MFP (LSI name)'!AA52,"Analog*")&gt;0,'＠MFP (LSI name)'!AA52,OFFSET('＠グループ、表示名'!$H$4,MATCH('＠MFP (LSI name)'!AA52,'＠グループ、表示名'!$D$4:$D$250,0)-1,0)))</f>
        <v/>
      </c>
      <c r="AB52" s="18" t="str">
        <f ca="1">IF('＠MFP (LSI name)'!AB52="","",IF(COUNTIF('＠MFP (LSI name)'!AB52,"Serial*")+COUNTIF('＠MFP (LSI name)'!AB52,"Analog*")&gt;0,'＠MFP (LSI name)'!AB52,OFFSET('＠グループ、表示名'!$H$4,MATCH('＠MFP (LSI name)'!AB52,'＠グループ、表示名'!$D$4:$D$250,0)-1,0)))</f>
        <v/>
      </c>
      <c r="AC52" s="18" t="str">
        <f ca="1">IF('＠MFP (LSI name)'!AC52="","",IF(COUNTIF('＠MFP (LSI name)'!AC52,"Serial*")+COUNTIF('＠MFP (LSI name)'!AC52,"Analog*")&gt;0,'＠MFP (LSI name)'!AC52,OFFSET('＠グループ、表示名'!$H$4,MATCH('＠MFP (LSI name)'!AC52,'＠グループ、表示名'!$D$4:$D$250,0)-1,0)))</f>
        <v/>
      </c>
      <c r="AD52" s="18" t="str">
        <f ca="1">IF('＠MFP (LSI name)'!AD52="","",IF(COUNTIF('＠MFP (LSI name)'!AD52,"Serial*")+COUNTIF('＠MFP (LSI name)'!AD52,"Analog*")&gt;0,'＠MFP (LSI name)'!AD52,OFFSET('＠グループ、表示名'!$H$4,MATCH('＠MFP (LSI name)'!AD52,'＠グループ、表示名'!$D$4:$D$250,0)-1,0)))</f>
        <v/>
      </c>
      <c r="AE52" s="18" t="str">
        <f ca="1">IF('＠MFP (LSI name)'!AE52="","",IF(COUNTIF('＠MFP (LSI name)'!AE52,"Serial*")+COUNTIF('＠MFP (LSI name)'!AE52,"Analog*")&gt;0,'＠MFP (LSI name)'!AE52,OFFSET('＠グループ、表示名'!$H$4,MATCH('＠MFP (LSI name)'!AE52,'＠グループ、表示名'!$D$4:$D$250,0)-1,0)))</f>
        <v/>
      </c>
      <c r="AF52" s="69" t="str">
        <f ca="1">IF('＠MFP (LSI name)'!AF52="","",IF(COUNTIF('＠MFP (LSI name)'!AF52,"Serial*")+COUNTIF('＠MFP (LSI name)'!AF52,"Analog*")&gt;0,'＠MFP (LSI name)'!AF52,OFFSET('＠グループ、表示名'!$H$4,MATCH('＠MFP (LSI name)'!AF52,'＠グループ、表示名'!$D$4:$D$250,0)-1,0)))</f>
        <v/>
      </c>
      <c r="AG52" s="18" t="str">
        <f ca="1">IF('＠MFP (LSI name)'!AG52="","",IF(COUNTIF('＠MFP (LSI name)'!AG52,"Serial*")+COUNTIF('＠MFP (LSI name)'!AG52,"Analog*")&gt;0,'＠MFP (LSI name)'!AG52,OFFSET('＠グループ、表示名'!$H$4,MATCH('＠MFP (LSI name)'!AG52,'＠グループ、表示名'!$D$4:$D$250,0)-1,0)))</f>
        <v/>
      </c>
      <c r="AH52" s="18" t="str">
        <f ca="1">IF('＠MFP (LSI name)'!AH52="","",IF(COUNTIF('＠MFP (LSI name)'!AH52,"Serial*")+COUNTIF('＠MFP (LSI name)'!AH52,"Analog*")&gt;0,'＠MFP (LSI name)'!AH52,OFFSET('＠グループ、表示名'!$H$4,MATCH('＠MFP (LSI name)'!AH52,'＠グループ、表示名'!$D$4:$D$250,0)-1,0)))</f>
        <v/>
      </c>
      <c r="AI52" s="18" t="str">
        <f ca="1">IF('＠MFP (LSI name)'!AI52="","",IF(COUNTIF('＠MFP (LSI name)'!AI52,"Serial*")+COUNTIF('＠MFP (LSI name)'!AI52,"Analog*")&gt;0,'＠MFP (LSI name)'!AI52,OFFSET('＠グループ、表示名'!$H$4,MATCH('＠MFP (LSI name)'!AI52,'＠グループ、表示名'!$D$4:$D$250,0)-1,0)))</f>
        <v/>
      </c>
      <c r="AJ52" s="18" t="str">
        <f ca="1">IF('＠MFP (LSI name)'!AJ52="","",IF(COUNTIF('＠MFP (LSI name)'!AJ52,"Serial*")+COUNTIF('＠MFP (LSI name)'!AJ52,"Analog*")&gt;0,'＠MFP (LSI name)'!AJ52,OFFSET('＠グループ、表示名'!$H$4,MATCH('＠MFP (LSI name)'!AJ52,'＠グループ、表示名'!$D$4:$D$250,0)-1,0)))</f>
        <v/>
      </c>
      <c r="AK52" s="69" t="str">
        <f ca="1">IF('＠MFP (LSI name)'!AK52="","",IF(COUNTIF('＠MFP (LSI name)'!AK52,"Serial*")+COUNTIF('＠MFP (LSI name)'!AK52,"Analog*")&gt;0,'＠MFP (LSI name)'!AK52,OFFSET('＠グループ、表示名'!$H$4,MATCH('＠MFP (LSI name)'!AK52,'＠グループ、表示名'!$D$4:$D$250,0)-1,0)))</f>
        <v/>
      </c>
      <c r="AL52" s="9" t="str">
        <f t="shared" si="4"/>
        <v>IOP9MD[15]</v>
      </c>
      <c r="AM52" s="9" t="str">
        <f t="shared" si="5"/>
        <v>IOP9MD[14]</v>
      </c>
      <c r="AN52" s="9" t="str">
        <f t="shared" si="6"/>
        <v>IOP9MD[13]</v>
      </c>
      <c r="AO52" s="9" t="str">
        <f t="shared" si="7"/>
        <v>IOP9MD[12]</v>
      </c>
      <c r="AP52" s="86"/>
    </row>
    <row r="53" spans="1:42" ht="16.149999999999999">
      <c r="A53" s="61">
        <v>48</v>
      </c>
      <c r="B53" s="7">
        <v>48</v>
      </c>
      <c r="C53" s="7">
        <v>38</v>
      </c>
      <c r="D53" s="87">
        <v>29</v>
      </c>
      <c r="E53" s="87">
        <v>21</v>
      </c>
      <c r="F53" s="7">
        <v>48</v>
      </c>
      <c r="G53" s="7">
        <v>38</v>
      </c>
      <c r="H53" s="87">
        <v>29</v>
      </c>
      <c r="I53" s="45" t="s">
        <v>511</v>
      </c>
      <c r="J53" s="45" t="s">
        <v>512</v>
      </c>
      <c r="K53" s="69" t="str">
        <f ca="1">IF('＠MFP (LSI name)'!K53="","",IF(COUNTIF('＠MFP (LSI name)'!K53,"Serial*")+COUNTIF('＠MFP (LSI name)'!K53,"Analog*")&gt;0,'＠MFP (LSI name)'!K53,OFFSET('＠グループ、表示名'!$H$4,MATCH('＠MFP (LSI name)'!K53,'＠グループ、表示名'!$D$4:$D$250,0)-1,0)))</f>
        <v>GPWM3_GPWM31</v>
      </c>
      <c r="L53" s="18" t="str">
        <f ca="1">IF('＠MFP (LSI name)'!L53="","",IF(COUNTIF('＠MFP (LSI name)'!L53,"Serial*")+COUNTIF('＠MFP (LSI name)'!L53,"Analog*")&gt;0,'＠MFP (LSI name)'!L53,OFFSET('＠グループ、表示名'!$H$4,MATCH('＠MFP (LSI name)'!L53,'＠グループ、表示名'!$D$4:$D$250,0)-1,0)))</f>
        <v>SIF6_SBT6</v>
      </c>
      <c r="M53" s="69" t="str">
        <f ca="1">IF('＠MFP (LSI name)'!M53="","",IF(COUNTIF('＠MFP (LSI name)'!M53,"Serial*")+COUNTIF('＠MFP (LSI name)'!M53,"Analog*")&gt;0,'＠MFP (LSI name)'!M53,OFFSET('＠グループ、表示名'!$H$4,MATCH('＠MFP (LSI name)'!M53,'＠グループ、表示名'!$D$4:$D$250,0)-1,0)))</f>
        <v/>
      </c>
      <c r="N53" s="69" t="str">
        <f ca="1">IF('＠MFP (LSI name)'!N53="","",IF(COUNTIF('＠MFP (LSI name)'!N53,"Serial*")+COUNTIF('＠MFP (LSI name)'!N53,"Analog*")&gt;0,'＠MFP (LSI name)'!N53,OFFSET('＠グループ、表示名'!$H$4,MATCH('＠MFP (LSI name)'!N53,'＠グループ、表示名'!$D$4:$D$250,0)-1,0)))</f>
        <v/>
      </c>
      <c r="O53" s="69" t="str">
        <f ca="1">IF('＠MFP (LSI name)'!O53="","",IF(COUNTIF('＠MFP (LSI name)'!O53,"Serial*")+COUNTIF('＠MFP (LSI name)'!O53,"Analog*")&gt;0,'＠MFP (LSI name)'!O53,OFFSET('＠グループ、表示名'!$H$4,MATCH('＠MFP (LSI name)'!O53,'＠グループ、表示名'!$D$4:$D$250,0)-1,0)))</f>
        <v/>
      </c>
      <c r="P53" s="69" t="str">
        <f ca="1">IF('＠MFP (LSI name)'!P53="","",IF(COUNTIF('＠MFP (LSI name)'!P53,"Serial*")+COUNTIF('＠MFP (LSI name)'!P53,"Analog*")&gt;0,'＠MFP (LSI name)'!P53,OFFSET('＠グループ、表示名'!$H$4,MATCH('＠MFP (LSI name)'!P53,'＠グループ、表示名'!$D$4:$D$250,0)-1,0)))</f>
        <v/>
      </c>
      <c r="Q53" s="69" t="str">
        <f ca="1">IF('＠MFP (LSI name)'!Q53="","",IF(COUNTIF('＠MFP (LSI name)'!Q53,"Serial*")+COUNTIF('＠MFP (LSI name)'!Q53,"Analog*")&gt;0,'＠MFP (LSI name)'!Q53,OFFSET('＠グループ、表示名'!$H$4,MATCH('＠MFP (LSI name)'!Q53,'＠グループ、表示名'!$D$4:$D$250,0)-1,0)))</f>
        <v/>
      </c>
      <c r="R53" s="69" t="str">
        <f ca="1">IF('＠MFP (LSI name)'!R53="","",IF(COUNTIF('＠MFP (LSI name)'!R53,"Serial*")+COUNTIF('＠MFP (LSI name)'!R53,"Analog*")&gt;0,'＠MFP (LSI name)'!R53,OFFSET('＠グループ、表示名'!$H$4,MATCH('＠MFP (LSI name)'!R53,'＠グループ、表示名'!$D$4:$D$250,0)-1,0)))</f>
        <v/>
      </c>
      <c r="S53" s="69" t="str">
        <f ca="1">IF('＠MFP (LSI name)'!S53="","",IF(COUNTIF('＠MFP (LSI name)'!S53,"Serial*")+COUNTIF('＠MFP (LSI name)'!S53,"Analog*")&gt;0,'＠MFP (LSI name)'!S53,OFFSET('＠グループ、表示名'!$H$4,MATCH('＠MFP (LSI name)'!S53,'＠グループ、表示名'!$D$4:$D$250,0)-1,0)))</f>
        <v/>
      </c>
      <c r="T53" s="69" t="str">
        <f ca="1">IF('＠MFP (LSI name)'!T53="","",IF(COUNTIF('＠MFP (LSI name)'!T53,"Serial*")+COUNTIF('＠MFP (LSI name)'!T53,"Analog*")&gt;0,'＠MFP (LSI name)'!T53,OFFSET('＠グループ、表示名'!$H$4,MATCH('＠MFP (LSI name)'!T53,'＠グループ、表示名'!$D$4:$D$250,0)-1,0)))</f>
        <v/>
      </c>
      <c r="U53" s="69" t="str">
        <f ca="1">IF('＠MFP (LSI name)'!U53="","",IF(COUNTIF('＠MFP (LSI name)'!U53,"Serial*")+COUNTIF('＠MFP (LSI name)'!U53,"Analog*")&gt;0,'＠MFP (LSI name)'!U53,OFFSET('＠グループ、表示名'!$H$4,MATCH('＠MFP (LSI name)'!U53,'＠グループ、表示名'!$D$4:$D$250,0)-1,0)))</f>
        <v/>
      </c>
      <c r="V53" s="18" t="str">
        <f ca="1">IF('＠MFP (LSI name)'!V53="","",IF(COUNTIF('＠MFP (LSI name)'!V53,"Serial*")+COUNTIF('＠MFP (LSI name)'!V53,"Analog*")&gt;0,'＠MFP (LSI name)'!V53,OFFSET('＠グループ、表示名'!$H$4,MATCH('＠MFP (LSI name)'!V53,'＠グループ、表示名'!$D$4:$D$250,0)-1,0)))</f>
        <v/>
      </c>
      <c r="W53" s="18" t="str">
        <f ca="1">IF('＠MFP (LSI name)'!W53="","",IF(COUNTIF('＠MFP (LSI name)'!W53,"Serial*")+COUNTIF('＠MFP (LSI name)'!W53,"Analog*")&gt;0,'＠MFP (LSI name)'!W53,OFFSET('＠グループ、表示名'!$H$4,MATCH('＠MFP (LSI name)'!W53,'＠グループ、表示名'!$D$4:$D$250,0)-1,0)))</f>
        <v/>
      </c>
      <c r="X53" s="18" t="str">
        <f ca="1">IF('＠MFP (LSI name)'!X53="","",IF(COUNTIF('＠MFP (LSI name)'!X53,"Serial*")+COUNTIF('＠MFP (LSI name)'!X53,"Analog*")&gt;0,'＠MFP (LSI name)'!X53,OFFSET('＠グループ、表示名'!$H$4,MATCH('＠MFP (LSI name)'!X53,'＠グループ、表示名'!$D$4:$D$250,0)-1,0)))</f>
        <v/>
      </c>
      <c r="Y53" s="18" t="str">
        <f ca="1">IF('＠MFP (LSI name)'!Y53="","",IF(COUNTIF('＠MFP (LSI name)'!Y53,"Serial*")+COUNTIF('＠MFP (LSI name)'!Y53,"Analog*")&gt;0,'＠MFP (LSI name)'!Y53,OFFSET('＠グループ、表示名'!$H$4,MATCH('＠MFP (LSI name)'!Y53,'＠グループ、表示名'!$D$4:$D$250,0)-1,0)))</f>
        <v/>
      </c>
      <c r="Z53" s="18" t="str">
        <f ca="1">IF('＠MFP (LSI name)'!Z53="","",IF(COUNTIF('＠MFP (LSI name)'!Z53,"Serial*")+COUNTIF('＠MFP (LSI name)'!Z53,"Analog*")&gt;0,'＠MFP (LSI name)'!Z53,OFFSET('＠グループ、表示名'!$H$4,MATCH('＠MFP (LSI name)'!Z53,'＠グループ、表示名'!$D$4:$D$250,0)-1,0)))</f>
        <v/>
      </c>
      <c r="AA53" s="69" t="str">
        <f ca="1">IF('＠MFP (LSI name)'!AA53="","",IF(COUNTIF('＠MFP (LSI name)'!AA53,"Serial*")+COUNTIF('＠MFP (LSI name)'!AA53,"Analog*")&gt;0,'＠MFP (LSI name)'!AA53,OFFSET('＠グループ、表示名'!$H$4,MATCH('＠MFP (LSI name)'!AA53,'＠グループ、表示名'!$D$4:$D$250,0)-1,0)))</f>
        <v/>
      </c>
      <c r="AB53" s="18" t="str">
        <f ca="1">IF('＠MFP (LSI name)'!AB53="","",IF(COUNTIF('＠MFP (LSI name)'!AB53,"Serial*")+COUNTIF('＠MFP (LSI name)'!AB53,"Analog*")&gt;0,'＠MFP (LSI name)'!AB53,OFFSET('＠グループ、表示名'!$H$4,MATCH('＠MFP (LSI name)'!AB53,'＠グループ、表示名'!$D$4:$D$250,0)-1,0)))</f>
        <v/>
      </c>
      <c r="AC53" s="18" t="str">
        <f ca="1">IF('＠MFP (LSI name)'!AC53="","",IF(COUNTIF('＠MFP (LSI name)'!AC53,"Serial*")+COUNTIF('＠MFP (LSI name)'!AC53,"Analog*")&gt;0,'＠MFP (LSI name)'!AC53,OFFSET('＠グループ、表示名'!$H$4,MATCH('＠MFP (LSI name)'!AC53,'＠グループ、表示名'!$D$4:$D$250,0)-1,0)))</f>
        <v/>
      </c>
      <c r="AD53" s="18" t="str">
        <f ca="1">IF('＠MFP (LSI name)'!AD53="","",IF(COUNTIF('＠MFP (LSI name)'!AD53,"Serial*")+COUNTIF('＠MFP (LSI name)'!AD53,"Analog*")&gt;0,'＠MFP (LSI name)'!AD53,OFFSET('＠グループ、表示名'!$H$4,MATCH('＠MFP (LSI name)'!AD53,'＠グループ、表示名'!$D$4:$D$250,0)-1,0)))</f>
        <v/>
      </c>
      <c r="AE53" s="18" t="str">
        <f ca="1">IF('＠MFP (LSI name)'!AE53="","",IF(COUNTIF('＠MFP (LSI name)'!AE53,"Serial*")+COUNTIF('＠MFP (LSI name)'!AE53,"Analog*")&gt;0,'＠MFP (LSI name)'!AE53,OFFSET('＠グループ、表示名'!$H$4,MATCH('＠MFP (LSI name)'!AE53,'＠グループ、表示名'!$D$4:$D$250,0)-1,0)))</f>
        <v/>
      </c>
      <c r="AF53" s="69" t="str">
        <f ca="1">IF('＠MFP (LSI name)'!AF53="","",IF(COUNTIF('＠MFP (LSI name)'!AF53,"Serial*")+COUNTIF('＠MFP (LSI name)'!AF53,"Analog*")&gt;0,'＠MFP (LSI name)'!AF53,OFFSET('＠グループ、表示名'!$H$4,MATCH('＠MFP (LSI name)'!AF53,'＠グループ、表示名'!$D$4:$D$250,0)-1,0)))</f>
        <v/>
      </c>
      <c r="AG53" s="18" t="str">
        <f ca="1">IF('＠MFP (LSI name)'!AG53="","",IF(COUNTIF('＠MFP (LSI name)'!AG53,"Serial*")+COUNTIF('＠MFP (LSI name)'!AG53,"Analog*")&gt;0,'＠MFP (LSI name)'!AG53,OFFSET('＠グループ、表示名'!$H$4,MATCH('＠MFP (LSI name)'!AG53,'＠グループ、表示名'!$D$4:$D$250,0)-1,0)))</f>
        <v/>
      </c>
      <c r="AH53" s="18" t="str">
        <f ca="1">IF('＠MFP (LSI name)'!AH53="","",IF(COUNTIF('＠MFP (LSI name)'!AH53,"Serial*")+COUNTIF('＠MFP (LSI name)'!AH53,"Analog*")&gt;0,'＠MFP (LSI name)'!AH53,OFFSET('＠グループ、表示名'!$H$4,MATCH('＠MFP (LSI name)'!AH53,'＠グループ、表示名'!$D$4:$D$250,0)-1,0)))</f>
        <v/>
      </c>
      <c r="AI53" s="18" t="str">
        <f ca="1">IF('＠MFP (LSI name)'!AI53="","",IF(COUNTIF('＠MFP (LSI name)'!AI53,"Serial*")+COUNTIF('＠MFP (LSI name)'!AI53,"Analog*")&gt;0,'＠MFP (LSI name)'!AI53,OFFSET('＠グループ、表示名'!$H$4,MATCH('＠MFP (LSI name)'!AI53,'＠グループ、表示名'!$D$4:$D$250,0)-1,0)))</f>
        <v/>
      </c>
      <c r="AJ53" s="18" t="str">
        <f ca="1">IF('＠MFP (LSI name)'!AJ53="","",IF(COUNTIF('＠MFP (LSI name)'!AJ53,"Serial*")+COUNTIF('＠MFP (LSI name)'!AJ53,"Analog*")&gt;0,'＠MFP (LSI name)'!AJ53,OFFSET('＠グループ、表示名'!$H$4,MATCH('＠MFP (LSI name)'!AJ53,'＠グループ、表示名'!$D$4:$D$250,0)-1,0)))</f>
        <v/>
      </c>
      <c r="AK53" s="69" t="str">
        <f ca="1">IF('＠MFP (LSI name)'!AK53="","",IF(COUNTIF('＠MFP (LSI name)'!AK53,"Serial*")+COUNTIF('＠MFP (LSI name)'!AK53,"Analog*")&gt;0,'＠MFP (LSI name)'!AK53,OFFSET('＠グループ、表示名'!$H$4,MATCH('＠MFP (LSI name)'!AK53,'＠グループ、表示名'!$D$4:$D$250,0)-1,0)))</f>
        <v/>
      </c>
      <c r="AL53" s="9" t="str">
        <f t="shared" si="4"/>
        <v>IOP9MD[11]</v>
      </c>
      <c r="AM53" s="9" t="str">
        <f t="shared" si="5"/>
        <v>IOP9MD[10]</v>
      </c>
      <c r="AN53" s="9" t="str">
        <f t="shared" si="6"/>
        <v>IOP9MD[9]</v>
      </c>
      <c r="AO53" s="9" t="str">
        <f t="shared" si="7"/>
        <v>IOP9MD[8]</v>
      </c>
      <c r="AP53" s="86"/>
    </row>
    <row r="54" spans="1:42" ht="16.149999999999999">
      <c r="A54" s="61">
        <v>49</v>
      </c>
      <c r="B54" s="7">
        <v>49</v>
      </c>
      <c r="C54" s="7">
        <v>39</v>
      </c>
      <c r="D54" s="87">
        <v>30</v>
      </c>
      <c r="E54" s="87">
        <v>22</v>
      </c>
      <c r="F54" s="7">
        <v>49</v>
      </c>
      <c r="G54" s="7">
        <v>39</v>
      </c>
      <c r="H54" s="87">
        <v>30</v>
      </c>
      <c r="I54" s="45" t="s">
        <v>513</v>
      </c>
      <c r="J54" s="45" t="s">
        <v>514</v>
      </c>
      <c r="K54" s="69" t="str">
        <f ca="1">IF('＠MFP (LSI name)'!K54="","",IF(COUNTIF('＠MFP (LSI name)'!K54,"Serial*")+COUNTIF('＠MFP (LSI name)'!K54,"Analog*")&gt;0,'＠MFP (LSI name)'!K54,OFFSET('＠グループ、表示名'!$H$4,MATCH('＠MFP (LSI name)'!K54,'＠グループ、表示名'!$D$4:$D$250,0)-1,0)))</f>
        <v>GPWM4_GPWM41</v>
      </c>
      <c r="L54" s="18" t="str">
        <f ca="1">IF('＠MFP (LSI name)'!L54="","",IF(COUNTIF('＠MFP (LSI name)'!L54,"Serial*")+COUNTIF('＠MFP (LSI name)'!L54,"Analog*")&gt;0,'＠MFP (LSI name)'!L54,OFFSET('＠グループ、表示名'!$H$4,MATCH('＠MFP (LSI name)'!L54,'＠グループ、表示名'!$D$4:$D$250,0)-1,0)))</f>
        <v>SIF6_SBI6</v>
      </c>
      <c r="M54" s="18" t="str">
        <f ca="1">IF('＠MFP (LSI name)'!M54="","",IF(COUNTIF('＠MFP (LSI name)'!M54,"Serial*")+COUNTIF('＠MFP (LSI name)'!M54,"Analog*")&gt;0,'＠MFP (LSI name)'!M54,OFFSET('＠グループ、表示名'!$H$4,MATCH('＠MFP (LSI name)'!M54,'＠グループ、表示名'!$D$4:$D$250,0)-1,0)))</f>
        <v>SIF6_SBO6</v>
      </c>
      <c r="N54" s="69" t="str">
        <f ca="1">IF('＠MFP (LSI name)'!N54="","",IF(COUNTIF('＠MFP (LSI name)'!N54,"Serial*")+COUNTIF('＠MFP (LSI name)'!N54,"Analog*")&gt;0,'＠MFP (LSI name)'!N54,OFFSET('＠グループ、表示名'!$H$4,MATCH('＠MFP (LSI name)'!N54,'＠グループ、表示名'!$D$4:$D$250,0)-1,0)))</f>
        <v/>
      </c>
      <c r="O54" s="69" t="str">
        <f ca="1">IF('＠MFP (LSI name)'!O54="","",IF(COUNTIF('＠MFP (LSI name)'!O54,"Serial*")+COUNTIF('＠MFP (LSI name)'!O54,"Analog*")&gt;0,'＠MFP (LSI name)'!O54,OFFSET('＠グループ、表示名'!$H$4,MATCH('＠MFP (LSI name)'!O54,'＠グループ、表示名'!$D$4:$D$250,0)-1,0)))</f>
        <v/>
      </c>
      <c r="P54" s="69" t="str">
        <f ca="1">IF('＠MFP (LSI name)'!P54="","",IF(COUNTIF('＠MFP (LSI name)'!P54,"Serial*")+COUNTIF('＠MFP (LSI name)'!P54,"Analog*")&gt;0,'＠MFP (LSI name)'!P54,OFFSET('＠グループ、表示名'!$H$4,MATCH('＠MFP (LSI name)'!P54,'＠グループ、表示名'!$D$4:$D$250,0)-1,0)))</f>
        <v/>
      </c>
      <c r="Q54" s="69" t="str">
        <f ca="1">IF('＠MFP (LSI name)'!Q54="","",IF(COUNTIF('＠MFP (LSI name)'!Q54,"Serial*")+COUNTIF('＠MFP (LSI name)'!Q54,"Analog*")&gt;0,'＠MFP (LSI name)'!Q54,OFFSET('＠グループ、表示名'!$H$4,MATCH('＠MFP (LSI name)'!Q54,'＠グループ、表示名'!$D$4:$D$250,0)-1,0)))</f>
        <v/>
      </c>
      <c r="R54" s="69" t="str">
        <f ca="1">IF('＠MFP (LSI name)'!R54="","",IF(COUNTIF('＠MFP (LSI name)'!R54,"Serial*")+COUNTIF('＠MFP (LSI name)'!R54,"Analog*")&gt;0,'＠MFP (LSI name)'!R54,OFFSET('＠グループ、表示名'!$H$4,MATCH('＠MFP (LSI name)'!R54,'＠グループ、表示名'!$D$4:$D$250,0)-1,0)))</f>
        <v/>
      </c>
      <c r="S54" s="69" t="str">
        <f ca="1">IF('＠MFP (LSI name)'!S54="","",IF(COUNTIF('＠MFP (LSI name)'!S54,"Serial*")+COUNTIF('＠MFP (LSI name)'!S54,"Analog*")&gt;0,'＠MFP (LSI name)'!S54,OFFSET('＠グループ、表示名'!$H$4,MATCH('＠MFP (LSI name)'!S54,'＠グループ、表示名'!$D$4:$D$250,0)-1,0)))</f>
        <v/>
      </c>
      <c r="T54" s="69" t="str">
        <f ca="1">IF('＠MFP (LSI name)'!T54="","",IF(COUNTIF('＠MFP (LSI name)'!T54,"Serial*")+COUNTIF('＠MFP (LSI name)'!T54,"Analog*")&gt;0,'＠MFP (LSI name)'!T54,OFFSET('＠グループ、表示名'!$H$4,MATCH('＠MFP (LSI name)'!T54,'＠グループ、表示名'!$D$4:$D$250,0)-1,0)))</f>
        <v/>
      </c>
      <c r="U54" s="69" t="str">
        <f ca="1">IF('＠MFP (LSI name)'!U54="","",IF(COUNTIF('＠MFP (LSI name)'!U54,"Serial*")+COUNTIF('＠MFP (LSI name)'!U54,"Analog*")&gt;0,'＠MFP (LSI name)'!U54,OFFSET('＠グループ、表示名'!$H$4,MATCH('＠MFP (LSI name)'!U54,'＠グループ、表示名'!$D$4:$D$250,0)-1,0)))</f>
        <v/>
      </c>
      <c r="V54" s="18" t="str">
        <f ca="1">IF('＠MFP (LSI name)'!V54="","",IF(COUNTIF('＠MFP (LSI name)'!V54,"Serial*")+COUNTIF('＠MFP (LSI name)'!V54,"Analog*")&gt;0,'＠MFP (LSI name)'!V54,OFFSET('＠グループ、表示名'!$H$4,MATCH('＠MFP (LSI name)'!V54,'＠グループ、表示名'!$D$4:$D$250,0)-1,0)))</f>
        <v/>
      </c>
      <c r="W54" s="18" t="str">
        <f ca="1">IF('＠MFP (LSI name)'!W54="","",IF(COUNTIF('＠MFP (LSI name)'!W54,"Serial*")+COUNTIF('＠MFP (LSI name)'!W54,"Analog*")&gt;0,'＠MFP (LSI name)'!W54,OFFSET('＠グループ、表示名'!$H$4,MATCH('＠MFP (LSI name)'!W54,'＠グループ、表示名'!$D$4:$D$250,0)-1,0)))</f>
        <v/>
      </c>
      <c r="X54" s="18" t="str">
        <f ca="1">IF('＠MFP (LSI name)'!X54="","",IF(COUNTIF('＠MFP (LSI name)'!X54,"Serial*")+COUNTIF('＠MFP (LSI name)'!X54,"Analog*")&gt;0,'＠MFP (LSI name)'!X54,OFFSET('＠グループ、表示名'!$H$4,MATCH('＠MFP (LSI name)'!X54,'＠グループ、表示名'!$D$4:$D$250,0)-1,0)))</f>
        <v/>
      </c>
      <c r="Y54" s="18" t="str">
        <f ca="1">IF('＠MFP (LSI name)'!Y54="","",IF(COUNTIF('＠MFP (LSI name)'!Y54,"Serial*")+COUNTIF('＠MFP (LSI name)'!Y54,"Analog*")&gt;0,'＠MFP (LSI name)'!Y54,OFFSET('＠グループ、表示名'!$H$4,MATCH('＠MFP (LSI name)'!Y54,'＠グループ、表示名'!$D$4:$D$250,0)-1,0)))</f>
        <v/>
      </c>
      <c r="Z54" s="18" t="str">
        <f ca="1">IF('＠MFP (LSI name)'!Z54="","",IF(COUNTIF('＠MFP (LSI name)'!Z54,"Serial*")+COUNTIF('＠MFP (LSI name)'!Z54,"Analog*")&gt;0,'＠MFP (LSI name)'!Z54,OFFSET('＠グループ、表示名'!$H$4,MATCH('＠MFP (LSI name)'!Z54,'＠グループ、表示名'!$D$4:$D$250,0)-1,0)))</f>
        <v/>
      </c>
      <c r="AA54" s="69" t="str">
        <f ca="1">IF('＠MFP (LSI name)'!AA54="","",IF(COUNTIF('＠MFP (LSI name)'!AA54,"Serial*")+COUNTIF('＠MFP (LSI name)'!AA54,"Analog*")&gt;0,'＠MFP (LSI name)'!AA54,OFFSET('＠グループ、表示名'!$H$4,MATCH('＠MFP (LSI name)'!AA54,'＠グループ、表示名'!$D$4:$D$250,0)-1,0)))</f>
        <v/>
      </c>
      <c r="AB54" s="18" t="str">
        <f ca="1">IF('＠MFP (LSI name)'!AB54="","",IF(COUNTIF('＠MFP (LSI name)'!AB54,"Serial*")+COUNTIF('＠MFP (LSI name)'!AB54,"Analog*")&gt;0,'＠MFP (LSI name)'!AB54,OFFSET('＠グループ、表示名'!$H$4,MATCH('＠MFP (LSI name)'!AB54,'＠グループ、表示名'!$D$4:$D$250,0)-1,0)))</f>
        <v/>
      </c>
      <c r="AC54" s="18" t="str">
        <f ca="1">IF('＠MFP (LSI name)'!AC54="","",IF(COUNTIF('＠MFP (LSI name)'!AC54,"Serial*")+COUNTIF('＠MFP (LSI name)'!AC54,"Analog*")&gt;0,'＠MFP (LSI name)'!AC54,OFFSET('＠グループ、表示名'!$H$4,MATCH('＠MFP (LSI name)'!AC54,'＠グループ、表示名'!$D$4:$D$250,0)-1,0)))</f>
        <v/>
      </c>
      <c r="AD54" s="18" t="str">
        <f ca="1">IF('＠MFP (LSI name)'!AD54="","",IF(COUNTIF('＠MFP (LSI name)'!AD54,"Serial*")+COUNTIF('＠MFP (LSI name)'!AD54,"Analog*")&gt;0,'＠MFP (LSI name)'!AD54,OFFSET('＠グループ、表示名'!$H$4,MATCH('＠MFP (LSI name)'!AD54,'＠グループ、表示名'!$D$4:$D$250,0)-1,0)))</f>
        <v/>
      </c>
      <c r="AE54" s="18" t="str">
        <f ca="1">IF('＠MFP (LSI name)'!AE54="","",IF(COUNTIF('＠MFP (LSI name)'!AE54,"Serial*")+COUNTIF('＠MFP (LSI name)'!AE54,"Analog*")&gt;0,'＠MFP (LSI name)'!AE54,OFFSET('＠グループ、表示名'!$H$4,MATCH('＠MFP (LSI name)'!AE54,'＠グループ、表示名'!$D$4:$D$250,0)-1,0)))</f>
        <v/>
      </c>
      <c r="AF54" s="69" t="str">
        <f ca="1">IF('＠MFP (LSI name)'!AF54="","",IF(COUNTIF('＠MFP (LSI name)'!AF54,"Serial*")+COUNTIF('＠MFP (LSI name)'!AF54,"Analog*")&gt;0,'＠MFP (LSI name)'!AF54,OFFSET('＠グループ、表示名'!$H$4,MATCH('＠MFP (LSI name)'!AF54,'＠グループ、表示名'!$D$4:$D$250,0)-1,0)))</f>
        <v/>
      </c>
      <c r="AG54" s="18" t="str">
        <f ca="1">IF('＠MFP (LSI name)'!AG54="","",IF(COUNTIF('＠MFP (LSI name)'!AG54,"Serial*")+COUNTIF('＠MFP (LSI name)'!AG54,"Analog*")&gt;0,'＠MFP (LSI name)'!AG54,OFFSET('＠グループ、表示名'!$H$4,MATCH('＠MFP (LSI name)'!AG54,'＠グループ、表示名'!$D$4:$D$250,0)-1,0)))</f>
        <v/>
      </c>
      <c r="AH54" s="18" t="str">
        <f ca="1">IF('＠MFP (LSI name)'!AH54="","",IF(COUNTIF('＠MFP (LSI name)'!AH54,"Serial*")+COUNTIF('＠MFP (LSI name)'!AH54,"Analog*")&gt;0,'＠MFP (LSI name)'!AH54,OFFSET('＠グループ、表示名'!$H$4,MATCH('＠MFP (LSI name)'!AH54,'＠グループ、表示名'!$D$4:$D$250,0)-1,0)))</f>
        <v/>
      </c>
      <c r="AI54" s="18" t="str">
        <f ca="1">IF('＠MFP (LSI name)'!AI54="","",IF(COUNTIF('＠MFP (LSI name)'!AI54,"Serial*")+COUNTIF('＠MFP (LSI name)'!AI54,"Analog*")&gt;0,'＠MFP (LSI name)'!AI54,OFFSET('＠グループ、表示名'!$H$4,MATCH('＠MFP (LSI name)'!AI54,'＠グループ、表示名'!$D$4:$D$250,0)-1,0)))</f>
        <v/>
      </c>
      <c r="AJ54" s="18" t="str">
        <f ca="1">IF('＠MFP (LSI name)'!AJ54="","",IF(COUNTIF('＠MFP (LSI name)'!AJ54,"Serial*")+COUNTIF('＠MFP (LSI name)'!AJ54,"Analog*")&gt;0,'＠MFP (LSI name)'!AJ54,OFFSET('＠グループ、表示名'!$H$4,MATCH('＠MFP (LSI name)'!AJ54,'＠グループ、表示名'!$D$4:$D$250,0)-1,0)))</f>
        <v/>
      </c>
      <c r="AK54" s="69" t="str">
        <f ca="1">IF('＠MFP (LSI name)'!AK54="","",IF(COUNTIF('＠MFP (LSI name)'!AK54,"Serial*")+COUNTIF('＠MFP (LSI name)'!AK54,"Analog*")&gt;0,'＠MFP (LSI name)'!AK54,OFFSET('＠グループ、表示名'!$H$4,MATCH('＠MFP (LSI name)'!AK54,'＠グループ、表示名'!$D$4:$D$250,0)-1,0)))</f>
        <v/>
      </c>
      <c r="AL54" s="9" t="str">
        <f t="shared" si="4"/>
        <v>IOP9MD[7]</v>
      </c>
      <c r="AM54" s="9" t="str">
        <f t="shared" si="5"/>
        <v>IOP9MD[6]</v>
      </c>
      <c r="AN54" s="9" t="str">
        <f t="shared" si="6"/>
        <v>IOP9MD[5]</v>
      </c>
      <c r="AO54" s="9" t="str">
        <f t="shared" si="7"/>
        <v>IOP9MD[4]</v>
      </c>
      <c r="AP54" s="86"/>
    </row>
    <row r="55" spans="1:42" ht="16.149999999999999">
      <c r="A55" s="61">
        <v>50</v>
      </c>
      <c r="B55" s="7">
        <v>50</v>
      </c>
      <c r="C55" s="7">
        <v>40</v>
      </c>
      <c r="D55" s="87">
        <v>31</v>
      </c>
      <c r="E55" s="87">
        <v>23</v>
      </c>
      <c r="F55" s="7">
        <v>50</v>
      </c>
      <c r="G55" s="7">
        <v>40</v>
      </c>
      <c r="H55" s="87">
        <v>31</v>
      </c>
      <c r="I55" s="45" t="s">
        <v>515</v>
      </c>
      <c r="J55" s="45" t="s">
        <v>516</v>
      </c>
      <c r="K55" s="69" t="str">
        <f ca="1">IF('＠MFP (LSI name)'!K55="","",IF(COUNTIF('＠MFP (LSI name)'!K55,"Serial*")+COUNTIF('＠MFP (LSI name)'!K55,"Analog*")&gt;0,'＠MFP (LSI name)'!K55,OFFSET('＠グループ、表示名'!$H$4,MATCH('＠MFP (LSI name)'!K55,'＠グループ、表示名'!$D$4:$D$250,0)-1,0)))</f>
        <v>GPWM5_GPWM51</v>
      </c>
      <c r="L55" s="18" t="str">
        <f ca="1">IF('＠MFP (LSI name)'!L55="","",IF(COUNTIF('＠MFP (LSI name)'!L55,"Serial*")+COUNTIF('＠MFP (LSI name)'!L55,"Analog*")&gt;0,'＠MFP (LSI name)'!L55,OFFSET('＠グループ、表示名'!$H$4,MATCH('＠MFP (LSI name)'!L55,'＠グループ、表示名'!$D$4:$D$250,0)-1,0)))</f>
        <v>SIF6_SBI6</v>
      </c>
      <c r="M55" s="18" t="str">
        <f ca="1">IF('＠MFP (LSI name)'!M55="","",IF(COUNTIF('＠MFP (LSI name)'!M55,"Serial*")+COUNTIF('＠MFP (LSI name)'!M55,"Analog*")&gt;0,'＠MFP (LSI name)'!M55,OFFSET('＠グループ、表示名'!$H$4,MATCH('＠MFP (LSI name)'!M55,'＠グループ、表示名'!$D$4:$D$250,0)-1,0)))</f>
        <v>SIF6_SBO6</v>
      </c>
      <c r="N55" s="69" t="str">
        <f ca="1">IF('＠MFP (LSI name)'!N55="","",IF(COUNTIF('＠MFP (LSI name)'!N55,"Serial*")+COUNTIF('＠MFP (LSI name)'!N55,"Analog*")&gt;0,'＠MFP (LSI name)'!N55,OFFSET('＠グループ、表示名'!$H$4,MATCH('＠MFP (LSI name)'!N55,'＠グループ、表示名'!$D$4:$D$250,0)-1,0)))</f>
        <v/>
      </c>
      <c r="O55" s="69" t="str">
        <f ca="1">IF('＠MFP (LSI name)'!O55="","",IF(COUNTIF('＠MFP (LSI name)'!O55,"Serial*")+COUNTIF('＠MFP (LSI name)'!O55,"Analog*")&gt;0,'＠MFP (LSI name)'!O55,OFFSET('＠グループ、表示名'!$H$4,MATCH('＠MFP (LSI name)'!O55,'＠グループ、表示名'!$D$4:$D$250,0)-1,0)))</f>
        <v/>
      </c>
      <c r="P55" s="69" t="str">
        <f ca="1">IF('＠MFP (LSI name)'!P55="","",IF(COUNTIF('＠MFP (LSI name)'!P55,"Serial*")+COUNTIF('＠MFP (LSI name)'!P55,"Analog*")&gt;0,'＠MFP (LSI name)'!P55,OFFSET('＠グループ、表示名'!$H$4,MATCH('＠MFP (LSI name)'!P55,'＠グループ、表示名'!$D$4:$D$250,0)-1,0)))</f>
        <v/>
      </c>
      <c r="Q55" s="69" t="str">
        <f ca="1">IF('＠MFP (LSI name)'!Q55="","",IF(COUNTIF('＠MFP (LSI name)'!Q55,"Serial*")+COUNTIF('＠MFP (LSI name)'!Q55,"Analog*")&gt;0,'＠MFP (LSI name)'!Q55,OFFSET('＠グループ、表示名'!$H$4,MATCH('＠MFP (LSI name)'!Q55,'＠グループ、表示名'!$D$4:$D$250,0)-1,0)))</f>
        <v/>
      </c>
      <c r="R55" s="69" t="str">
        <f ca="1">IF('＠MFP (LSI name)'!R55="","",IF(COUNTIF('＠MFP (LSI name)'!R55,"Serial*")+COUNTIF('＠MFP (LSI name)'!R55,"Analog*")&gt;0,'＠MFP (LSI name)'!R55,OFFSET('＠グループ、表示名'!$H$4,MATCH('＠MFP (LSI name)'!R55,'＠グループ、表示名'!$D$4:$D$250,0)-1,0)))</f>
        <v/>
      </c>
      <c r="S55" s="69" t="str">
        <f ca="1">IF('＠MFP (LSI name)'!S55="","",IF(COUNTIF('＠MFP (LSI name)'!S55,"Serial*")+COUNTIF('＠MFP (LSI name)'!S55,"Analog*")&gt;0,'＠MFP (LSI name)'!S55,OFFSET('＠グループ、表示名'!$H$4,MATCH('＠MFP (LSI name)'!S55,'＠グループ、表示名'!$D$4:$D$250,0)-1,0)))</f>
        <v/>
      </c>
      <c r="T55" s="69" t="str">
        <f ca="1">IF('＠MFP (LSI name)'!T55="","",IF(COUNTIF('＠MFP (LSI name)'!T55,"Serial*")+COUNTIF('＠MFP (LSI name)'!T55,"Analog*")&gt;0,'＠MFP (LSI name)'!T55,OFFSET('＠グループ、表示名'!$H$4,MATCH('＠MFP (LSI name)'!T55,'＠グループ、表示名'!$D$4:$D$250,0)-1,0)))</f>
        <v/>
      </c>
      <c r="U55" s="69" t="str">
        <f ca="1">IF('＠MFP (LSI name)'!U55="","",IF(COUNTIF('＠MFP (LSI name)'!U55,"Serial*")+COUNTIF('＠MFP (LSI name)'!U55,"Analog*")&gt;0,'＠MFP (LSI name)'!U55,OFFSET('＠グループ、表示名'!$H$4,MATCH('＠MFP (LSI name)'!U55,'＠グループ、表示名'!$D$4:$D$250,0)-1,0)))</f>
        <v/>
      </c>
      <c r="V55" s="18" t="str">
        <f ca="1">IF('＠MFP (LSI name)'!V55="","",IF(COUNTIF('＠MFP (LSI name)'!V55,"Serial*")+COUNTIF('＠MFP (LSI name)'!V55,"Analog*")&gt;0,'＠MFP (LSI name)'!V55,OFFSET('＠グループ、表示名'!$H$4,MATCH('＠MFP (LSI name)'!V55,'＠グループ、表示名'!$D$4:$D$250,0)-1,0)))</f>
        <v/>
      </c>
      <c r="W55" s="18" t="str">
        <f ca="1">IF('＠MFP (LSI name)'!W55="","",IF(COUNTIF('＠MFP (LSI name)'!W55,"Serial*")+COUNTIF('＠MFP (LSI name)'!W55,"Analog*")&gt;0,'＠MFP (LSI name)'!W55,OFFSET('＠グループ、表示名'!$H$4,MATCH('＠MFP (LSI name)'!W55,'＠グループ、表示名'!$D$4:$D$250,0)-1,0)))</f>
        <v/>
      </c>
      <c r="X55" s="18" t="str">
        <f ca="1">IF('＠MFP (LSI name)'!X55="","",IF(COUNTIF('＠MFP (LSI name)'!X55,"Serial*")+COUNTIF('＠MFP (LSI name)'!X55,"Analog*")&gt;0,'＠MFP (LSI name)'!X55,OFFSET('＠グループ、表示名'!$H$4,MATCH('＠MFP (LSI name)'!X55,'＠グループ、表示名'!$D$4:$D$250,0)-1,0)))</f>
        <v/>
      </c>
      <c r="Y55" s="18" t="str">
        <f ca="1">IF('＠MFP (LSI name)'!Y55="","",IF(COUNTIF('＠MFP (LSI name)'!Y55,"Serial*")+COUNTIF('＠MFP (LSI name)'!Y55,"Analog*")&gt;0,'＠MFP (LSI name)'!Y55,OFFSET('＠グループ、表示名'!$H$4,MATCH('＠MFP (LSI name)'!Y55,'＠グループ、表示名'!$D$4:$D$250,0)-1,0)))</f>
        <v/>
      </c>
      <c r="Z55" s="18" t="str">
        <f ca="1">IF('＠MFP (LSI name)'!Z55="","",IF(COUNTIF('＠MFP (LSI name)'!Z55,"Serial*")+COUNTIF('＠MFP (LSI name)'!Z55,"Analog*")&gt;0,'＠MFP (LSI name)'!Z55,OFFSET('＠グループ、表示名'!$H$4,MATCH('＠MFP (LSI name)'!Z55,'＠グループ、表示名'!$D$4:$D$250,0)-1,0)))</f>
        <v/>
      </c>
      <c r="AA55" s="69" t="str">
        <f ca="1">IF('＠MFP (LSI name)'!AA55="","",IF(COUNTIF('＠MFP (LSI name)'!AA55,"Serial*")+COUNTIF('＠MFP (LSI name)'!AA55,"Analog*")&gt;0,'＠MFP (LSI name)'!AA55,OFFSET('＠グループ、表示名'!$H$4,MATCH('＠MFP (LSI name)'!AA55,'＠グループ、表示名'!$D$4:$D$250,0)-1,0)))</f>
        <v/>
      </c>
      <c r="AB55" s="18" t="str">
        <f ca="1">IF('＠MFP (LSI name)'!AB55="","",IF(COUNTIF('＠MFP (LSI name)'!AB55,"Serial*")+COUNTIF('＠MFP (LSI name)'!AB55,"Analog*")&gt;0,'＠MFP (LSI name)'!AB55,OFFSET('＠グループ、表示名'!$H$4,MATCH('＠MFP (LSI name)'!AB55,'＠グループ、表示名'!$D$4:$D$250,0)-1,0)))</f>
        <v/>
      </c>
      <c r="AC55" s="18" t="str">
        <f ca="1">IF('＠MFP (LSI name)'!AC55="","",IF(COUNTIF('＠MFP (LSI name)'!AC55,"Serial*")+COUNTIF('＠MFP (LSI name)'!AC55,"Analog*")&gt;0,'＠MFP (LSI name)'!AC55,OFFSET('＠グループ、表示名'!$H$4,MATCH('＠MFP (LSI name)'!AC55,'＠グループ、表示名'!$D$4:$D$250,0)-1,0)))</f>
        <v/>
      </c>
      <c r="AD55" s="18" t="str">
        <f ca="1">IF('＠MFP (LSI name)'!AD55="","",IF(COUNTIF('＠MFP (LSI name)'!AD55,"Serial*")+COUNTIF('＠MFP (LSI name)'!AD55,"Analog*")&gt;0,'＠MFP (LSI name)'!AD55,OFFSET('＠グループ、表示名'!$H$4,MATCH('＠MFP (LSI name)'!AD55,'＠グループ、表示名'!$D$4:$D$250,0)-1,0)))</f>
        <v/>
      </c>
      <c r="AE55" s="18" t="str">
        <f ca="1">IF('＠MFP (LSI name)'!AE55="","",IF(COUNTIF('＠MFP (LSI name)'!AE55,"Serial*")+COUNTIF('＠MFP (LSI name)'!AE55,"Analog*")&gt;0,'＠MFP (LSI name)'!AE55,OFFSET('＠グループ、表示名'!$H$4,MATCH('＠MFP (LSI name)'!AE55,'＠グループ、表示名'!$D$4:$D$250,0)-1,0)))</f>
        <v/>
      </c>
      <c r="AF55" s="69" t="str">
        <f ca="1">IF('＠MFP (LSI name)'!AF55="","",IF(COUNTIF('＠MFP (LSI name)'!AF55,"Serial*")+COUNTIF('＠MFP (LSI name)'!AF55,"Analog*")&gt;0,'＠MFP (LSI name)'!AF55,OFFSET('＠グループ、表示名'!$H$4,MATCH('＠MFP (LSI name)'!AF55,'＠グループ、表示名'!$D$4:$D$250,0)-1,0)))</f>
        <v/>
      </c>
      <c r="AG55" s="18" t="str">
        <f ca="1">IF('＠MFP (LSI name)'!AG55="","",IF(COUNTIF('＠MFP (LSI name)'!AG55,"Serial*")+COUNTIF('＠MFP (LSI name)'!AG55,"Analog*")&gt;0,'＠MFP (LSI name)'!AG55,OFFSET('＠グループ、表示名'!$H$4,MATCH('＠MFP (LSI name)'!AG55,'＠グループ、表示名'!$D$4:$D$250,0)-1,0)))</f>
        <v/>
      </c>
      <c r="AH55" s="18" t="str">
        <f ca="1">IF('＠MFP (LSI name)'!AH55="","",IF(COUNTIF('＠MFP (LSI name)'!AH55,"Serial*")+COUNTIF('＠MFP (LSI name)'!AH55,"Analog*")&gt;0,'＠MFP (LSI name)'!AH55,OFFSET('＠グループ、表示名'!$H$4,MATCH('＠MFP (LSI name)'!AH55,'＠グループ、表示名'!$D$4:$D$250,0)-1,0)))</f>
        <v/>
      </c>
      <c r="AI55" s="18" t="str">
        <f ca="1">IF('＠MFP (LSI name)'!AI55="","",IF(COUNTIF('＠MFP (LSI name)'!AI55,"Serial*")+COUNTIF('＠MFP (LSI name)'!AI55,"Analog*")&gt;0,'＠MFP (LSI name)'!AI55,OFFSET('＠グループ、表示名'!$H$4,MATCH('＠MFP (LSI name)'!AI55,'＠グループ、表示名'!$D$4:$D$250,0)-1,0)))</f>
        <v/>
      </c>
      <c r="AJ55" s="18" t="str">
        <f ca="1">IF('＠MFP (LSI name)'!AJ55="","",IF(COUNTIF('＠MFP (LSI name)'!AJ55,"Serial*")+COUNTIF('＠MFP (LSI name)'!AJ55,"Analog*")&gt;0,'＠MFP (LSI name)'!AJ55,OFFSET('＠グループ、表示名'!$H$4,MATCH('＠MFP (LSI name)'!AJ55,'＠グループ、表示名'!$D$4:$D$250,0)-1,0)))</f>
        <v/>
      </c>
      <c r="AK55" s="69" t="str">
        <f ca="1">IF('＠MFP (LSI name)'!AK55="","",IF(COUNTIF('＠MFP (LSI name)'!AK55,"Serial*")+COUNTIF('＠MFP (LSI name)'!AK55,"Analog*")&gt;0,'＠MFP (LSI name)'!AK55,OFFSET('＠グループ、表示名'!$H$4,MATCH('＠MFP (LSI name)'!AK55,'＠グループ、表示名'!$D$4:$D$250,0)-1,0)))</f>
        <v/>
      </c>
      <c r="AL55" s="9" t="str">
        <f t="shared" si="4"/>
        <v>IOP9MD[3]</v>
      </c>
      <c r="AM55" s="9" t="str">
        <f t="shared" si="5"/>
        <v>IOP9MD[2]</v>
      </c>
      <c r="AN55" s="9" t="str">
        <f t="shared" si="6"/>
        <v>IOP9MD[1]</v>
      </c>
      <c r="AO55" s="9" t="str">
        <f t="shared" si="7"/>
        <v>IOP9MD[0]</v>
      </c>
      <c r="AP55" s="86"/>
    </row>
    <row r="56" spans="1:42" ht="16.149999999999999">
      <c r="A56" s="60">
        <v>51</v>
      </c>
      <c r="B56" s="7">
        <v>51</v>
      </c>
      <c r="C56" s="7">
        <v>41</v>
      </c>
      <c r="D56" s="87">
        <v>32</v>
      </c>
      <c r="E56" s="87">
        <v>24</v>
      </c>
      <c r="F56" s="7">
        <v>51</v>
      </c>
      <c r="G56" s="7">
        <v>41</v>
      </c>
      <c r="H56" s="87">
        <v>32</v>
      </c>
      <c r="I56" s="45" t="s">
        <v>517</v>
      </c>
      <c r="J56" s="45" t="s">
        <v>518</v>
      </c>
      <c r="K56" s="69" t="str">
        <f ca="1">IF('＠MFP (LSI name)'!K56="","",IF(COUNTIF('＠MFP (LSI name)'!K56,"Serial*")+COUNTIF('＠MFP (LSI name)'!K56,"Analog*")&gt;0,'＠MFP (LSI name)'!K56,OFFSET('＠グループ、表示名'!$H$4,MATCH('＠MFP (LSI name)'!K56,'＠グループ、表示名'!$D$4:$D$250,0)-1,0)))</f>
        <v>TM05A</v>
      </c>
      <c r="L56" s="69" t="str">
        <f ca="1">IF('＠MFP (LSI name)'!L56="","",IF(COUNTIF('＠MFP (LSI name)'!L56,"Serial*")+COUNTIF('＠MFP (LSI name)'!L56,"Analog*")&gt;0,'＠MFP (LSI name)'!L56,OFFSET('＠グループ、表示名'!$H$4,MATCH('＠MFP (LSI name)'!L56,'＠グループ、表示名'!$D$4:$D$250,0)-1,0)))</f>
        <v>GPWM2_GPWM21</v>
      </c>
      <c r="M56" s="69" t="str">
        <f ca="1">IF('＠MFP (LSI name)'!M56="","",IF(COUNTIF('＠MFP (LSI name)'!M56,"Serial*")+COUNTIF('＠MFP (LSI name)'!M56,"Analog*")&gt;0,'＠MFP (LSI name)'!M56,OFFSET('＠グループ、表示名'!$H$4,MATCH('＠MFP (LSI name)'!M56,'＠グループ、表示名'!$D$4:$D$250,0)-1,0)))</f>
        <v/>
      </c>
      <c r="N56" s="69" t="str">
        <f ca="1">IF('＠MFP (LSI name)'!N56="","",IF(COUNTIF('＠MFP (LSI name)'!N56,"Serial*")+COUNTIF('＠MFP (LSI name)'!N56,"Analog*")&gt;0,'＠MFP (LSI name)'!N56,OFFSET('＠グループ、表示名'!$H$4,MATCH('＠MFP (LSI name)'!N56,'＠グループ、表示名'!$D$4:$D$250,0)-1,0)))</f>
        <v/>
      </c>
      <c r="O56" s="69" t="str">
        <f ca="1">IF('＠MFP (LSI name)'!O56="","",IF(COUNTIF('＠MFP (LSI name)'!O56,"Serial*")+COUNTIF('＠MFP (LSI name)'!O56,"Analog*")&gt;0,'＠MFP (LSI name)'!O56,OFFSET('＠グループ、表示名'!$H$4,MATCH('＠MFP (LSI name)'!O56,'＠グループ、表示名'!$D$4:$D$250,0)-1,0)))</f>
        <v/>
      </c>
      <c r="P56" s="69" t="str">
        <f ca="1">IF('＠MFP (LSI name)'!P56="","",IF(COUNTIF('＠MFP (LSI name)'!P56,"Serial*")+COUNTIF('＠MFP (LSI name)'!P56,"Analog*")&gt;0,'＠MFP (LSI name)'!P56,OFFSET('＠グループ、表示名'!$H$4,MATCH('＠MFP (LSI name)'!P56,'＠グループ、表示名'!$D$4:$D$250,0)-1,0)))</f>
        <v/>
      </c>
      <c r="Q56" s="69" t="str">
        <f ca="1">IF('＠MFP (LSI name)'!Q56="","",IF(COUNTIF('＠MFP (LSI name)'!Q56,"Serial*")+COUNTIF('＠MFP (LSI name)'!Q56,"Analog*")&gt;0,'＠MFP (LSI name)'!Q56,OFFSET('＠グループ、表示名'!$H$4,MATCH('＠MFP (LSI name)'!Q56,'＠グループ、表示名'!$D$4:$D$250,0)-1,0)))</f>
        <v/>
      </c>
      <c r="R56" s="69" t="str">
        <f ca="1">IF('＠MFP (LSI name)'!R56="","",IF(COUNTIF('＠MFP (LSI name)'!R56,"Serial*")+COUNTIF('＠MFP (LSI name)'!R56,"Analog*")&gt;0,'＠MFP (LSI name)'!R56,OFFSET('＠グループ、表示名'!$H$4,MATCH('＠MFP (LSI name)'!R56,'＠グループ、表示名'!$D$4:$D$250,0)-1,0)))</f>
        <v/>
      </c>
      <c r="S56" s="69" t="str">
        <f ca="1">IF('＠MFP (LSI name)'!S56="","",IF(COUNTIF('＠MFP (LSI name)'!S56,"Serial*")+COUNTIF('＠MFP (LSI name)'!S56,"Analog*")&gt;0,'＠MFP (LSI name)'!S56,OFFSET('＠グループ、表示名'!$H$4,MATCH('＠MFP (LSI name)'!S56,'＠グループ、表示名'!$D$4:$D$250,0)-1,0)))</f>
        <v/>
      </c>
      <c r="T56" s="69" t="str">
        <f ca="1">IF('＠MFP (LSI name)'!T56="","",IF(COUNTIF('＠MFP (LSI name)'!T56,"Serial*")+COUNTIF('＠MFP (LSI name)'!T56,"Analog*")&gt;0,'＠MFP (LSI name)'!T56,OFFSET('＠グループ、表示名'!$H$4,MATCH('＠MFP (LSI name)'!T56,'＠グループ、表示名'!$D$4:$D$250,0)-1,0)))</f>
        <v/>
      </c>
      <c r="U56" s="69" t="str">
        <f ca="1">IF('＠MFP (LSI name)'!U56="","",IF(COUNTIF('＠MFP (LSI name)'!U56,"Serial*")+COUNTIF('＠MFP (LSI name)'!U56,"Analog*")&gt;0,'＠MFP (LSI name)'!U56,OFFSET('＠グループ、表示名'!$H$4,MATCH('＠MFP (LSI name)'!U56,'＠グループ、表示名'!$D$4:$D$250,0)-1,0)))</f>
        <v/>
      </c>
      <c r="V56" s="18" t="str">
        <f ca="1">IF('＠MFP (LSI name)'!V56="","",IF(COUNTIF('＠MFP (LSI name)'!V56,"Serial*")+COUNTIF('＠MFP (LSI name)'!V56,"Analog*")&gt;0,'＠MFP (LSI name)'!V56,OFFSET('＠グループ、表示名'!$H$4,MATCH('＠MFP (LSI name)'!V56,'＠グループ、表示名'!$D$4:$D$250,0)-1,0)))</f>
        <v/>
      </c>
      <c r="W56" s="18" t="str">
        <f ca="1">IF('＠MFP (LSI name)'!W56="","",IF(COUNTIF('＠MFP (LSI name)'!W56,"Serial*")+COUNTIF('＠MFP (LSI name)'!W56,"Analog*")&gt;0,'＠MFP (LSI name)'!W56,OFFSET('＠グループ、表示名'!$H$4,MATCH('＠MFP (LSI name)'!W56,'＠グループ、表示名'!$D$4:$D$250,0)-1,0)))</f>
        <v/>
      </c>
      <c r="X56" s="18" t="str">
        <f ca="1">IF('＠MFP (LSI name)'!X56="","",IF(COUNTIF('＠MFP (LSI name)'!X56,"Serial*")+COUNTIF('＠MFP (LSI name)'!X56,"Analog*")&gt;0,'＠MFP (LSI name)'!X56,OFFSET('＠グループ、表示名'!$H$4,MATCH('＠MFP (LSI name)'!X56,'＠グループ、表示名'!$D$4:$D$250,0)-1,0)))</f>
        <v/>
      </c>
      <c r="Y56" s="18" t="str">
        <f ca="1">IF('＠MFP (LSI name)'!Y56="","",IF(COUNTIF('＠MFP (LSI name)'!Y56,"Serial*")+COUNTIF('＠MFP (LSI name)'!Y56,"Analog*")&gt;0,'＠MFP (LSI name)'!Y56,OFFSET('＠グループ、表示名'!$H$4,MATCH('＠MFP (LSI name)'!Y56,'＠グループ、表示名'!$D$4:$D$250,0)-1,0)))</f>
        <v/>
      </c>
      <c r="Z56" s="18" t="str">
        <f ca="1">IF('＠MFP (LSI name)'!Z56="","",IF(COUNTIF('＠MFP (LSI name)'!Z56,"Serial*")+COUNTIF('＠MFP (LSI name)'!Z56,"Analog*")&gt;0,'＠MFP (LSI name)'!Z56,OFFSET('＠グループ、表示名'!$H$4,MATCH('＠MFP (LSI name)'!Z56,'＠グループ、表示名'!$D$4:$D$250,0)-1,0)))</f>
        <v/>
      </c>
      <c r="AA56" s="69" t="str">
        <f ca="1">IF('＠MFP (LSI name)'!AA56="","",IF(COUNTIF('＠MFP (LSI name)'!AA56,"Serial*")+COUNTIF('＠MFP (LSI name)'!AA56,"Analog*")&gt;0,'＠MFP (LSI name)'!AA56,OFFSET('＠グループ、表示名'!$H$4,MATCH('＠MFP (LSI name)'!AA56,'＠グループ、表示名'!$D$4:$D$250,0)-1,0)))</f>
        <v/>
      </c>
      <c r="AB56" s="18" t="str">
        <f ca="1">IF('＠MFP (LSI name)'!AB56="","",IF(COUNTIF('＠MFP (LSI name)'!AB56,"Serial*")+COUNTIF('＠MFP (LSI name)'!AB56,"Analog*")&gt;0,'＠MFP (LSI name)'!AB56,OFFSET('＠グループ、表示名'!$H$4,MATCH('＠MFP (LSI name)'!AB56,'＠グループ、表示名'!$D$4:$D$250,0)-1,0)))</f>
        <v/>
      </c>
      <c r="AC56" s="18" t="str">
        <f ca="1">IF('＠MFP (LSI name)'!AC56="","",IF(COUNTIF('＠MFP (LSI name)'!AC56,"Serial*")+COUNTIF('＠MFP (LSI name)'!AC56,"Analog*")&gt;0,'＠MFP (LSI name)'!AC56,OFFSET('＠グループ、表示名'!$H$4,MATCH('＠MFP (LSI name)'!AC56,'＠グループ、表示名'!$D$4:$D$250,0)-1,0)))</f>
        <v/>
      </c>
      <c r="AD56" s="18" t="str">
        <f ca="1">IF('＠MFP (LSI name)'!AD56="","",IF(COUNTIF('＠MFP (LSI name)'!AD56,"Serial*")+COUNTIF('＠MFP (LSI name)'!AD56,"Analog*")&gt;0,'＠MFP (LSI name)'!AD56,OFFSET('＠グループ、表示名'!$H$4,MATCH('＠MFP (LSI name)'!AD56,'＠グループ、表示名'!$D$4:$D$250,0)-1,0)))</f>
        <v/>
      </c>
      <c r="AE56" s="18" t="str">
        <f ca="1">IF('＠MFP (LSI name)'!AE56="","",IF(COUNTIF('＠MFP (LSI name)'!AE56,"Serial*")+COUNTIF('＠MFP (LSI name)'!AE56,"Analog*")&gt;0,'＠MFP (LSI name)'!AE56,OFFSET('＠グループ、表示名'!$H$4,MATCH('＠MFP (LSI name)'!AE56,'＠グループ、表示名'!$D$4:$D$250,0)-1,0)))</f>
        <v/>
      </c>
      <c r="AF56" s="69" t="str">
        <f ca="1">IF('＠MFP (LSI name)'!AF56="","",IF(COUNTIF('＠MFP (LSI name)'!AF56,"Serial*")+COUNTIF('＠MFP (LSI name)'!AF56,"Analog*")&gt;0,'＠MFP (LSI name)'!AF56,OFFSET('＠グループ、表示名'!$H$4,MATCH('＠MFP (LSI name)'!AF56,'＠グループ、表示名'!$D$4:$D$250,0)-1,0)))</f>
        <v/>
      </c>
      <c r="AG56" s="18" t="str">
        <f ca="1">IF('＠MFP (LSI name)'!AG56="","",IF(COUNTIF('＠MFP (LSI name)'!AG56,"Serial*")+COUNTIF('＠MFP (LSI name)'!AG56,"Analog*")&gt;0,'＠MFP (LSI name)'!AG56,OFFSET('＠グループ、表示名'!$H$4,MATCH('＠MFP (LSI name)'!AG56,'＠グループ、表示名'!$D$4:$D$250,0)-1,0)))</f>
        <v/>
      </c>
      <c r="AH56" s="18" t="str">
        <f ca="1">IF('＠MFP (LSI name)'!AH56="","",IF(COUNTIF('＠MFP (LSI name)'!AH56,"Serial*")+COUNTIF('＠MFP (LSI name)'!AH56,"Analog*")&gt;0,'＠MFP (LSI name)'!AH56,OFFSET('＠グループ、表示名'!$H$4,MATCH('＠MFP (LSI name)'!AH56,'＠グループ、表示名'!$D$4:$D$250,0)-1,0)))</f>
        <v/>
      </c>
      <c r="AI56" s="18" t="str">
        <f ca="1">IF('＠MFP (LSI name)'!AI56="","",IF(COUNTIF('＠MFP (LSI name)'!AI56,"Serial*")+COUNTIF('＠MFP (LSI name)'!AI56,"Analog*")&gt;0,'＠MFP (LSI name)'!AI56,OFFSET('＠グループ、表示名'!$H$4,MATCH('＠MFP (LSI name)'!AI56,'＠グループ、表示名'!$D$4:$D$250,0)-1,0)))</f>
        <v/>
      </c>
      <c r="AJ56" s="18" t="str">
        <f ca="1">IF('＠MFP (LSI name)'!AJ56="","",IF(COUNTIF('＠MFP (LSI name)'!AJ56,"Serial*")+COUNTIF('＠MFP (LSI name)'!AJ56,"Analog*")&gt;0,'＠MFP (LSI name)'!AJ56,OFFSET('＠グループ、表示名'!$H$4,MATCH('＠MFP (LSI name)'!AJ56,'＠グループ、表示名'!$D$4:$D$250,0)-1,0)))</f>
        <v/>
      </c>
      <c r="AK56" s="69" t="str">
        <f ca="1">IF('＠MFP (LSI name)'!AK56="","",IF(COUNTIF('＠MFP (LSI name)'!AK56,"Serial*")+COUNTIF('＠MFP (LSI name)'!AK56,"Analog*")&gt;0,'＠MFP (LSI name)'!AK56,OFFSET('＠グループ、表示名'!$H$4,MATCH('＠MFP (LSI name)'!AK56,'＠グループ、表示名'!$D$4:$D$250,0)-1,0)))</f>
        <v/>
      </c>
      <c r="AL56" s="9" t="str">
        <f t="shared" si="4"/>
        <v>IOP7MD[27]</v>
      </c>
      <c r="AM56" s="9" t="str">
        <f t="shared" si="5"/>
        <v>IOP7MD[26]</v>
      </c>
      <c r="AN56" s="9" t="str">
        <f t="shared" si="6"/>
        <v>IOP7MD[25]</v>
      </c>
      <c r="AO56" s="9" t="str">
        <f t="shared" si="7"/>
        <v>IOP7MD[24]</v>
      </c>
      <c r="AP56" s="86"/>
    </row>
    <row r="57" spans="1:42" ht="16.149999999999999">
      <c r="A57" s="60">
        <v>52</v>
      </c>
      <c r="B57" s="7">
        <v>52</v>
      </c>
      <c r="C57" s="7">
        <v>42</v>
      </c>
      <c r="D57" s="87">
        <v>33</v>
      </c>
      <c r="E57" s="87">
        <v>25</v>
      </c>
      <c r="F57" s="7">
        <v>52</v>
      </c>
      <c r="G57" s="7">
        <v>42</v>
      </c>
      <c r="H57" s="87">
        <v>33</v>
      </c>
      <c r="I57" s="45" t="s">
        <v>519</v>
      </c>
      <c r="J57" s="45" t="s">
        <v>520</v>
      </c>
      <c r="K57" s="69" t="str">
        <f ca="1">IF('＠MFP (LSI name)'!K57="","",IF(COUNTIF('＠MFP (LSI name)'!K57,"Serial*")+COUNTIF('＠MFP (LSI name)'!K57,"Analog*")&gt;0,'＠MFP (LSI name)'!K57,OFFSET('＠グループ、表示名'!$H$4,MATCH('＠MFP (LSI name)'!K57,'＠グループ、表示名'!$D$4:$D$250,0)-1,0)))</f>
        <v>TM04A</v>
      </c>
      <c r="L57" s="69" t="str">
        <f ca="1">IF('＠MFP (LSI name)'!L57="","",IF(COUNTIF('＠MFP (LSI name)'!L57,"Serial*")+COUNTIF('＠MFP (LSI name)'!L57,"Analog*")&gt;0,'＠MFP (LSI name)'!L57,OFFSET('＠グループ、表示名'!$H$4,MATCH('＠MFP (LSI name)'!L57,'＠グループ、表示名'!$D$4:$D$250,0)-1,0)))</f>
        <v>GPWM1_GPWM11</v>
      </c>
      <c r="M57" s="69" t="str">
        <f ca="1">IF('＠MFP (LSI name)'!M57="","",IF(COUNTIF('＠MFP (LSI name)'!M57,"Serial*")+COUNTIF('＠MFP (LSI name)'!M57,"Analog*")&gt;0,'＠MFP (LSI name)'!M57,OFFSET('＠グループ、表示名'!$H$4,MATCH('＠MFP (LSI name)'!M57,'＠グループ、表示名'!$D$4:$D$250,0)-1,0)))</f>
        <v/>
      </c>
      <c r="N57" s="69" t="str">
        <f ca="1">IF('＠MFP (LSI name)'!N57="","",IF(COUNTIF('＠MFP (LSI name)'!N57,"Serial*")+COUNTIF('＠MFP (LSI name)'!N57,"Analog*")&gt;0,'＠MFP (LSI name)'!N57,OFFSET('＠グループ、表示名'!$H$4,MATCH('＠MFP (LSI name)'!N57,'＠グループ、表示名'!$D$4:$D$250,0)-1,0)))</f>
        <v/>
      </c>
      <c r="O57" s="69" t="str">
        <f ca="1">IF('＠MFP (LSI name)'!O57="","",IF(COUNTIF('＠MFP (LSI name)'!O57,"Serial*")+COUNTIF('＠MFP (LSI name)'!O57,"Analog*")&gt;0,'＠MFP (LSI name)'!O57,OFFSET('＠グループ、表示名'!$H$4,MATCH('＠MFP (LSI name)'!O57,'＠グループ、表示名'!$D$4:$D$250,0)-1,0)))</f>
        <v/>
      </c>
      <c r="P57" s="69" t="str">
        <f ca="1">IF('＠MFP (LSI name)'!P57="","",IF(COUNTIF('＠MFP (LSI name)'!P57,"Serial*")+COUNTIF('＠MFP (LSI name)'!P57,"Analog*")&gt;0,'＠MFP (LSI name)'!P57,OFFSET('＠グループ、表示名'!$H$4,MATCH('＠MFP (LSI name)'!P57,'＠グループ、表示名'!$D$4:$D$250,0)-1,0)))</f>
        <v/>
      </c>
      <c r="Q57" s="69" t="str">
        <f ca="1">IF('＠MFP (LSI name)'!Q57="","",IF(COUNTIF('＠MFP (LSI name)'!Q57,"Serial*")+COUNTIF('＠MFP (LSI name)'!Q57,"Analog*")&gt;0,'＠MFP (LSI name)'!Q57,OFFSET('＠グループ、表示名'!$H$4,MATCH('＠MFP (LSI name)'!Q57,'＠グループ、表示名'!$D$4:$D$250,0)-1,0)))</f>
        <v/>
      </c>
      <c r="R57" s="69" t="str">
        <f ca="1">IF('＠MFP (LSI name)'!R57="","",IF(COUNTIF('＠MFP (LSI name)'!R57,"Serial*")+COUNTIF('＠MFP (LSI name)'!R57,"Analog*")&gt;0,'＠MFP (LSI name)'!R57,OFFSET('＠グループ、表示名'!$H$4,MATCH('＠MFP (LSI name)'!R57,'＠グループ、表示名'!$D$4:$D$250,0)-1,0)))</f>
        <v/>
      </c>
      <c r="S57" s="69" t="str">
        <f ca="1">IF('＠MFP (LSI name)'!S57="","",IF(COUNTIF('＠MFP (LSI name)'!S57,"Serial*")+COUNTIF('＠MFP (LSI name)'!S57,"Analog*")&gt;0,'＠MFP (LSI name)'!S57,OFFSET('＠グループ、表示名'!$H$4,MATCH('＠MFP (LSI name)'!S57,'＠グループ、表示名'!$D$4:$D$250,0)-1,0)))</f>
        <v/>
      </c>
      <c r="T57" s="69" t="str">
        <f ca="1">IF('＠MFP (LSI name)'!T57="","",IF(COUNTIF('＠MFP (LSI name)'!T57,"Serial*")+COUNTIF('＠MFP (LSI name)'!T57,"Analog*")&gt;0,'＠MFP (LSI name)'!T57,OFFSET('＠グループ、表示名'!$H$4,MATCH('＠MFP (LSI name)'!T57,'＠グループ、表示名'!$D$4:$D$250,0)-1,0)))</f>
        <v/>
      </c>
      <c r="U57" s="69" t="str">
        <f ca="1">IF('＠MFP (LSI name)'!U57="","",IF(COUNTIF('＠MFP (LSI name)'!U57,"Serial*")+COUNTIF('＠MFP (LSI name)'!U57,"Analog*")&gt;0,'＠MFP (LSI name)'!U57,OFFSET('＠グループ、表示名'!$H$4,MATCH('＠MFP (LSI name)'!U57,'＠グループ、表示名'!$D$4:$D$250,0)-1,0)))</f>
        <v/>
      </c>
      <c r="V57" s="18" t="str">
        <f ca="1">IF('＠MFP (LSI name)'!V57="","",IF(COUNTIF('＠MFP (LSI name)'!V57,"Serial*")+COUNTIF('＠MFP (LSI name)'!V57,"Analog*")&gt;0,'＠MFP (LSI name)'!V57,OFFSET('＠グループ、表示名'!$H$4,MATCH('＠MFP (LSI name)'!V57,'＠グループ、表示名'!$D$4:$D$250,0)-1,0)))</f>
        <v/>
      </c>
      <c r="W57" s="18" t="str">
        <f ca="1">IF('＠MFP (LSI name)'!W57="","",IF(COUNTIF('＠MFP (LSI name)'!W57,"Serial*")+COUNTIF('＠MFP (LSI name)'!W57,"Analog*")&gt;0,'＠MFP (LSI name)'!W57,OFFSET('＠グループ、表示名'!$H$4,MATCH('＠MFP (LSI name)'!W57,'＠グループ、表示名'!$D$4:$D$250,0)-1,0)))</f>
        <v/>
      </c>
      <c r="X57" s="18" t="str">
        <f ca="1">IF('＠MFP (LSI name)'!X57="","",IF(COUNTIF('＠MFP (LSI name)'!X57,"Serial*")+COUNTIF('＠MFP (LSI name)'!X57,"Analog*")&gt;0,'＠MFP (LSI name)'!X57,OFFSET('＠グループ、表示名'!$H$4,MATCH('＠MFP (LSI name)'!X57,'＠グループ、表示名'!$D$4:$D$250,0)-1,0)))</f>
        <v/>
      </c>
      <c r="Y57" s="18" t="str">
        <f ca="1">IF('＠MFP (LSI name)'!Y57="","",IF(COUNTIF('＠MFP (LSI name)'!Y57,"Serial*")+COUNTIF('＠MFP (LSI name)'!Y57,"Analog*")&gt;0,'＠MFP (LSI name)'!Y57,OFFSET('＠グループ、表示名'!$H$4,MATCH('＠MFP (LSI name)'!Y57,'＠グループ、表示名'!$D$4:$D$250,0)-1,0)))</f>
        <v/>
      </c>
      <c r="Z57" s="18" t="str">
        <f ca="1">IF('＠MFP (LSI name)'!Z57="","",IF(COUNTIF('＠MFP (LSI name)'!Z57,"Serial*")+COUNTIF('＠MFP (LSI name)'!Z57,"Analog*")&gt;0,'＠MFP (LSI name)'!Z57,OFFSET('＠グループ、表示名'!$H$4,MATCH('＠MFP (LSI name)'!Z57,'＠グループ、表示名'!$D$4:$D$250,0)-1,0)))</f>
        <v/>
      </c>
      <c r="AA57" s="69" t="str">
        <f ca="1">IF('＠MFP (LSI name)'!AA57="","",IF(COUNTIF('＠MFP (LSI name)'!AA57,"Serial*")+COUNTIF('＠MFP (LSI name)'!AA57,"Analog*")&gt;0,'＠MFP (LSI name)'!AA57,OFFSET('＠グループ、表示名'!$H$4,MATCH('＠MFP (LSI name)'!AA57,'＠グループ、表示名'!$D$4:$D$250,0)-1,0)))</f>
        <v/>
      </c>
      <c r="AB57" s="18" t="str">
        <f ca="1">IF('＠MFP (LSI name)'!AB57="","",IF(COUNTIF('＠MFP (LSI name)'!AB57,"Serial*")+COUNTIF('＠MFP (LSI name)'!AB57,"Analog*")&gt;0,'＠MFP (LSI name)'!AB57,OFFSET('＠グループ、表示名'!$H$4,MATCH('＠MFP (LSI name)'!AB57,'＠グループ、表示名'!$D$4:$D$250,0)-1,0)))</f>
        <v/>
      </c>
      <c r="AC57" s="18" t="str">
        <f ca="1">IF('＠MFP (LSI name)'!AC57="","",IF(COUNTIF('＠MFP (LSI name)'!AC57,"Serial*")+COUNTIF('＠MFP (LSI name)'!AC57,"Analog*")&gt;0,'＠MFP (LSI name)'!AC57,OFFSET('＠グループ、表示名'!$H$4,MATCH('＠MFP (LSI name)'!AC57,'＠グループ、表示名'!$D$4:$D$250,0)-1,0)))</f>
        <v/>
      </c>
      <c r="AD57" s="18" t="str">
        <f ca="1">IF('＠MFP (LSI name)'!AD57="","",IF(COUNTIF('＠MFP (LSI name)'!AD57,"Serial*")+COUNTIF('＠MFP (LSI name)'!AD57,"Analog*")&gt;0,'＠MFP (LSI name)'!AD57,OFFSET('＠グループ、表示名'!$H$4,MATCH('＠MFP (LSI name)'!AD57,'＠グループ、表示名'!$D$4:$D$250,0)-1,0)))</f>
        <v/>
      </c>
      <c r="AE57" s="18" t="str">
        <f ca="1">IF('＠MFP (LSI name)'!AE57="","",IF(COUNTIF('＠MFP (LSI name)'!AE57,"Serial*")+COUNTIF('＠MFP (LSI name)'!AE57,"Analog*")&gt;0,'＠MFP (LSI name)'!AE57,OFFSET('＠グループ、表示名'!$H$4,MATCH('＠MFP (LSI name)'!AE57,'＠グループ、表示名'!$D$4:$D$250,0)-1,0)))</f>
        <v/>
      </c>
      <c r="AF57" s="69" t="str">
        <f ca="1">IF('＠MFP (LSI name)'!AF57="","",IF(COUNTIF('＠MFP (LSI name)'!AF57,"Serial*")+COUNTIF('＠MFP (LSI name)'!AF57,"Analog*")&gt;0,'＠MFP (LSI name)'!AF57,OFFSET('＠グループ、表示名'!$H$4,MATCH('＠MFP (LSI name)'!AF57,'＠グループ、表示名'!$D$4:$D$250,0)-1,0)))</f>
        <v/>
      </c>
      <c r="AG57" s="18" t="str">
        <f ca="1">IF('＠MFP (LSI name)'!AG57="","",IF(COUNTIF('＠MFP (LSI name)'!AG57,"Serial*")+COUNTIF('＠MFP (LSI name)'!AG57,"Analog*")&gt;0,'＠MFP (LSI name)'!AG57,OFFSET('＠グループ、表示名'!$H$4,MATCH('＠MFP (LSI name)'!AG57,'＠グループ、表示名'!$D$4:$D$250,0)-1,0)))</f>
        <v/>
      </c>
      <c r="AH57" s="18" t="str">
        <f ca="1">IF('＠MFP (LSI name)'!AH57="","",IF(COUNTIF('＠MFP (LSI name)'!AH57,"Serial*")+COUNTIF('＠MFP (LSI name)'!AH57,"Analog*")&gt;0,'＠MFP (LSI name)'!AH57,OFFSET('＠グループ、表示名'!$H$4,MATCH('＠MFP (LSI name)'!AH57,'＠グループ、表示名'!$D$4:$D$250,0)-1,0)))</f>
        <v/>
      </c>
      <c r="AI57" s="18" t="str">
        <f ca="1">IF('＠MFP (LSI name)'!AI57="","",IF(COUNTIF('＠MFP (LSI name)'!AI57,"Serial*")+COUNTIF('＠MFP (LSI name)'!AI57,"Analog*")&gt;0,'＠MFP (LSI name)'!AI57,OFFSET('＠グループ、表示名'!$H$4,MATCH('＠MFP (LSI name)'!AI57,'＠グループ、表示名'!$D$4:$D$250,0)-1,0)))</f>
        <v/>
      </c>
      <c r="AJ57" s="18" t="str">
        <f ca="1">IF('＠MFP (LSI name)'!AJ57="","",IF(COUNTIF('＠MFP (LSI name)'!AJ57,"Serial*")+COUNTIF('＠MFP (LSI name)'!AJ57,"Analog*")&gt;0,'＠MFP (LSI name)'!AJ57,OFFSET('＠グループ、表示名'!$H$4,MATCH('＠MFP (LSI name)'!AJ57,'＠グループ、表示名'!$D$4:$D$250,0)-1,0)))</f>
        <v/>
      </c>
      <c r="AK57" s="69" t="str">
        <f ca="1">IF('＠MFP (LSI name)'!AK57="","",IF(COUNTIF('＠MFP (LSI name)'!AK57,"Serial*")+COUNTIF('＠MFP (LSI name)'!AK57,"Analog*")&gt;0,'＠MFP (LSI name)'!AK57,OFFSET('＠グループ、表示名'!$H$4,MATCH('＠MFP (LSI name)'!AK57,'＠グループ、表示名'!$D$4:$D$250,0)-1,0)))</f>
        <v/>
      </c>
      <c r="AL57" s="9" t="str">
        <f t="shared" si="4"/>
        <v>IOP7MD[23]</v>
      </c>
      <c r="AM57" s="9" t="str">
        <f t="shared" si="5"/>
        <v>IOP7MD[22]</v>
      </c>
      <c r="AN57" s="9" t="str">
        <f t="shared" si="6"/>
        <v>IOP7MD[21]</v>
      </c>
      <c r="AO57" s="9" t="str">
        <f t="shared" si="7"/>
        <v>IOP7MD[20]</v>
      </c>
      <c r="AP57" s="86"/>
    </row>
    <row r="58" spans="1:42" ht="16.149999999999999">
      <c r="A58" s="60">
        <v>53</v>
      </c>
      <c r="B58" s="7">
        <v>53</v>
      </c>
      <c r="C58" s="7">
        <v>43</v>
      </c>
      <c r="D58" s="87">
        <v>34</v>
      </c>
      <c r="E58" s="87">
        <v>26</v>
      </c>
      <c r="F58" s="7">
        <v>53</v>
      </c>
      <c r="G58" s="7">
        <v>43</v>
      </c>
      <c r="H58" s="87">
        <v>34</v>
      </c>
      <c r="I58" s="45" t="s">
        <v>521</v>
      </c>
      <c r="J58" s="45" t="s">
        <v>522</v>
      </c>
      <c r="K58" s="69" t="str">
        <f ca="1">IF('＠MFP (LSI name)'!K58="","",IF(COUNTIF('＠MFP (LSI name)'!K58,"Serial*")+COUNTIF('＠MFP (LSI name)'!K58,"Analog*")&gt;0,'＠MFP (LSI name)'!K58,OFFSET('＠グループ、表示名'!$H$4,MATCH('＠MFP (LSI name)'!K58,'＠グループ、表示名'!$D$4:$D$250,0)-1,0)))</f>
        <v>TM03A</v>
      </c>
      <c r="L58" s="69" t="str">
        <f ca="1">IF('＠MFP (LSI name)'!L58="","",IF(COUNTIF('＠MFP (LSI name)'!L58,"Serial*")+COUNTIF('＠MFP (LSI name)'!L58,"Analog*")&gt;0,'＠MFP (LSI name)'!L58,OFFSET('＠グループ、表示名'!$H$4,MATCH('＠MFP (LSI name)'!L58,'＠グループ、表示名'!$D$4:$D$250,0)-1,0)))</f>
        <v>GPWM0_GPWM01</v>
      </c>
      <c r="M58" s="69" t="str">
        <f ca="1">IF('＠MFP (LSI name)'!M58="","",IF(COUNTIF('＠MFP (LSI name)'!M58,"Serial*")+COUNTIF('＠MFP (LSI name)'!M58,"Analog*")&gt;0,'＠MFP (LSI name)'!M58,OFFSET('＠グループ、表示名'!$H$4,MATCH('＠MFP (LSI name)'!M58,'＠グループ、表示名'!$D$4:$D$250,0)-1,0)))</f>
        <v/>
      </c>
      <c r="N58" s="69" t="str">
        <f ca="1">IF('＠MFP (LSI name)'!N58="","",IF(COUNTIF('＠MFP (LSI name)'!N58,"Serial*")+COUNTIF('＠MFP (LSI name)'!N58,"Analog*")&gt;0,'＠MFP (LSI name)'!N58,OFFSET('＠グループ、表示名'!$H$4,MATCH('＠MFP (LSI name)'!N58,'＠グループ、表示名'!$D$4:$D$250,0)-1,0)))</f>
        <v/>
      </c>
      <c r="O58" s="69" t="str">
        <f ca="1">IF('＠MFP (LSI name)'!O58="","",IF(COUNTIF('＠MFP (LSI name)'!O58,"Serial*")+COUNTIF('＠MFP (LSI name)'!O58,"Analog*")&gt;0,'＠MFP (LSI name)'!O58,OFFSET('＠グループ、表示名'!$H$4,MATCH('＠MFP (LSI name)'!O58,'＠グループ、表示名'!$D$4:$D$250,0)-1,0)))</f>
        <v/>
      </c>
      <c r="P58" s="69" t="str">
        <f ca="1">IF('＠MFP (LSI name)'!P58="","",IF(COUNTIF('＠MFP (LSI name)'!P58,"Serial*")+COUNTIF('＠MFP (LSI name)'!P58,"Analog*")&gt;0,'＠MFP (LSI name)'!P58,OFFSET('＠グループ、表示名'!$H$4,MATCH('＠MFP (LSI name)'!P58,'＠グループ、表示名'!$D$4:$D$250,0)-1,0)))</f>
        <v/>
      </c>
      <c r="Q58" s="69" t="str">
        <f ca="1">IF('＠MFP (LSI name)'!Q58="","",IF(COUNTIF('＠MFP (LSI name)'!Q58,"Serial*")+COUNTIF('＠MFP (LSI name)'!Q58,"Analog*")&gt;0,'＠MFP (LSI name)'!Q58,OFFSET('＠グループ、表示名'!$H$4,MATCH('＠MFP (LSI name)'!Q58,'＠グループ、表示名'!$D$4:$D$250,0)-1,0)))</f>
        <v/>
      </c>
      <c r="R58" s="69" t="str">
        <f ca="1">IF('＠MFP (LSI name)'!R58="","",IF(COUNTIF('＠MFP (LSI name)'!R58,"Serial*")+COUNTIF('＠MFP (LSI name)'!R58,"Analog*")&gt;0,'＠MFP (LSI name)'!R58,OFFSET('＠グループ、表示名'!$H$4,MATCH('＠MFP (LSI name)'!R58,'＠グループ、表示名'!$D$4:$D$250,0)-1,0)))</f>
        <v/>
      </c>
      <c r="S58" s="69" t="str">
        <f ca="1">IF('＠MFP (LSI name)'!S58="","",IF(COUNTIF('＠MFP (LSI name)'!S58,"Serial*")+COUNTIF('＠MFP (LSI name)'!S58,"Analog*")&gt;0,'＠MFP (LSI name)'!S58,OFFSET('＠グループ、表示名'!$H$4,MATCH('＠MFP (LSI name)'!S58,'＠グループ、表示名'!$D$4:$D$250,0)-1,0)))</f>
        <v/>
      </c>
      <c r="T58" s="69" t="str">
        <f ca="1">IF('＠MFP (LSI name)'!T58="","",IF(COUNTIF('＠MFP (LSI name)'!T58,"Serial*")+COUNTIF('＠MFP (LSI name)'!T58,"Analog*")&gt;0,'＠MFP (LSI name)'!T58,OFFSET('＠グループ、表示名'!$H$4,MATCH('＠MFP (LSI name)'!T58,'＠グループ、表示名'!$D$4:$D$250,0)-1,0)))</f>
        <v/>
      </c>
      <c r="U58" s="69" t="str">
        <f ca="1">IF('＠MFP (LSI name)'!U58="","",IF(COUNTIF('＠MFP (LSI name)'!U58,"Serial*")+COUNTIF('＠MFP (LSI name)'!U58,"Analog*")&gt;0,'＠MFP (LSI name)'!U58,OFFSET('＠グループ、表示名'!$H$4,MATCH('＠MFP (LSI name)'!U58,'＠グループ、表示名'!$D$4:$D$250,0)-1,0)))</f>
        <v/>
      </c>
      <c r="V58" s="18" t="str">
        <f ca="1">IF('＠MFP (LSI name)'!V58="","",IF(COUNTIF('＠MFP (LSI name)'!V58,"Serial*")+COUNTIF('＠MFP (LSI name)'!V58,"Analog*")&gt;0,'＠MFP (LSI name)'!V58,OFFSET('＠グループ、表示名'!$H$4,MATCH('＠MFP (LSI name)'!V58,'＠グループ、表示名'!$D$4:$D$250,0)-1,0)))</f>
        <v/>
      </c>
      <c r="W58" s="18" t="str">
        <f ca="1">IF('＠MFP (LSI name)'!W58="","",IF(COUNTIF('＠MFP (LSI name)'!W58,"Serial*")+COUNTIF('＠MFP (LSI name)'!W58,"Analog*")&gt;0,'＠MFP (LSI name)'!W58,OFFSET('＠グループ、表示名'!$H$4,MATCH('＠MFP (LSI name)'!W58,'＠グループ、表示名'!$D$4:$D$250,0)-1,0)))</f>
        <v/>
      </c>
      <c r="X58" s="18" t="str">
        <f ca="1">IF('＠MFP (LSI name)'!X58="","",IF(COUNTIF('＠MFP (LSI name)'!X58,"Serial*")+COUNTIF('＠MFP (LSI name)'!X58,"Analog*")&gt;0,'＠MFP (LSI name)'!X58,OFFSET('＠グループ、表示名'!$H$4,MATCH('＠MFP (LSI name)'!X58,'＠グループ、表示名'!$D$4:$D$250,0)-1,0)))</f>
        <v/>
      </c>
      <c r="Y58" s="18" t="str">
        <f ca="1">IF('＠MFP (LSI name)'!Y58="","",IF(COUNTIF('＠MFP (LSI name)'!Y58,"Serial*")+COUNTIF('＠MFP (LSI name)'!Y58,"Analog*")&gt;0,'＠MFP (LSI name)'!Y58,OFFSET('＠グループ、表示名'!$H$4,MATCH('＠MFP (LSI name)'!Y58,'＠グループ、表示名'!$D$4:$D$250,0)-1,0)))</f>
        <v/>
      </c>
      <c r="Z58" s="18" t="str">
        <f ca="1">IF('＠MFP (LSI name)'!Z58="","",IF(COUNTIF('＠MFP (LSI name)'!Z58,"Serial*")+COUNTIF('＠MFP (LSI name)'!Z58,"Analog*")&gt;0,'＠MFP (LSI name)'!Z58,OFFSET('＠グループ、表示名'!$H$4,MATCH('＠MFP (LSI name)'!Z58,'＠グループ、表示名'!$D$4:$D$250,0)-1,0)))</f>
        <v/>
      </c>
      <c r="AA58" s="69" t="str">
        <f ca="1">IF('＠MFP (LSI name)'!AA58="","",IF(COUNTIF('＠MFP (LSI name)'!AA58,"Serial*")+COUNTIF('＠MFP (LSI name)'!AA58,"Analog*")&gt;0,'＠MFP (LSI name)'!AA58,OFFSET('＠グループ、表示名'!$H$4,MATCH('＠MFP (LSI name)'!AA58,'＠グループ、表示名'!$D$4:$D$250,0)-1,0)))</f>
        <v/>
      </c>
      <c r="AB58" s="18" t="str">
        <f ca="1">IF('＠MFP (LSI name)'!AB58="","",IF(COUNTIF('＠MFP (LSI name)'!AB58,"Serial*")+COUNTIF('＠MFP (LSI name)'!AB58,"Analog*")&gt;0,'＠MFP (LSI name)'!AB58,OFFSET('＠グループ、表示名'!$H$4,MATCH('＠MFP (LSI name)'!AB58,'＠グループ、表示名'!$D$4:$D$250,0)-1,0)))</f>
        <v/>
      </c>
      <c r="AC58" s="18" t="str">
        <f ca="1">IF('＠MFP (LSI name)'!AC58="","",IF(COUNTIF('＠MFP (LSI name)'!AC58,"Serial*")+COUNTIF('＠MFP (LSI name)'!AC58,"Analog*")&gt;0,'＠MFP (LSI name)'!AC58,OFFSET('＠グループ、表示名'!$H$4,MATCH('＠MFP (LSI name)'!AC58,'＠グループ、表示名'!$D$4:$D$250,0)-1,0)))</f>
        <v/>
      </c>
      <c r="AD58" s="18" t="str">
        <f ca="1">IF('＠MFP (LSI name)'!AD58="","",IF(COUNTIF('＠MFP (LSI name)'!AD58,"Serial*")+COUNTIF('＠MFP (LSI name)'!AD58,"Analog*")&gt;0,'＠MFP (LSI name)'!AD58,OFFSET('＠グループ、表示名'!$H$4,MATCH('＠MFP (LSI name)'!AD58,'＠グループ、表示名'!$D$4:$D$250,0)-1,0)))</f>
        <v/>
      </c>
      <c r="AE58" s="18" t="str">
        <f ca="1">IF('＠MFP (LSI name)'!AE58="","",IF(COUNTIF('＠MFP (LSI name)'!AE58,"Serial*")+COUNTIF('＠MFP (LSI name)'!AE58,"Analog*")&gt;0,'＠MFP (LSI name)'!AE58,OFFSET('＠グループ、表示名'!$H$4,MATCH('＠MFP (LSI name)'!AE58,'＠グループ、表示名'!$D$4:$D$250,0)-1,0)))</f>
        <v/>
      </c>
      <c r="AF58" s="69" t="str">
        <f ca="1">IF('＠MFP (LSI name)'!AF58="","",IF(COUNTIF('＠MFP (LSI name)'!AF58,"Serial*")+COUNTIF('＠MFP (LSI name)'!AF58,"Analog*")&gt;0,'＠MFP (LSI name)'!AF58,OFFSET('＠グループ、表示名'!$H$4,MATCH('＠MFP (LSI name)'!AF58,'＠グループ、表示名'!$D$4:$D$250,0)-1,0)))</f>
        <v/>
      </c>
      <c r="AG58" s="18" t="str">
        <f ca="1">IF('＠MFP (LSI name)'!AG58="","",IF(COUNTIF('＠MFP (LSI name)'!AG58,"Serial*")+COUNTIF('＠MFP (LSI name)'!AG58,"Analog*")&gt;0,'＠MFP (LSI name)'!AG58,OFFSET('＠グループ、表示名'!$H$4,MATCH('＠MFP (LSI name)'!AG58,'＠グループ、表示名'!$D$4:$D$250,0)-1,0)))</f>
        <v/>
      </c>
      <c r="AH58" s="18" t="str">
        <f ca="1">IF('＠MFP (LSI name)'!AH58="","",IF(COUNTIF('＠MFP (LSI name)'!AH58,"Serial*")+COUNTIF('＠MFP (LSI name)'!AH58,"Analog*")&gt;0,'＠MFP (LSI name)'!AH58,OFFSET('＠グループ、表示名'!$H$4,MATCH('＠MFP (LSI name)'!AH58,'＠グループ、表示名'!$D$4:$D$250,0)-1,0)))</f>
        <v/>
      </c>
      <c r="AI58" s="18" t="str">
        <f ca="1">IF('＠MFP (LSI name)'!AI58="","",IF(COUNTIF('＠MFP (LSI name)'!AI58,"Serial*")+COUNTIF('＠MFP (LSI name)'!AI58,"Analog*")&gt;0,'＠MFP (LSI name)'!AI58,OFFSET('＠グループ、表示名'!$H$4,MATCH('＠MFP (LSI name)'!AI58,'＠グループ、表示名'!$D$4:$D$250,0)-1,0)))</f>
        <v/>
      </c>
      <c r="AJ58" s="18" t="str">
        <f ca="1">IF('＠MFP (LSI name)'!AJ58="","",IF(COUNTIF('＠MFP (LSI name)'!AJ58,"Serial*")+COUNTIF('＠MFP (LSI name)'!AJ58,"Analog*")&gt;0,'＠MFP (LSI name)'!AJ58,OFFSET('＠グループ、表示名'!$H$4,MATCH('＠MFP (LSI name)'!AJ58,'＠グループ、表示名'!$D$4:$D$250,0)-1,0)))</f>
        <v/>
      </c>
      <c r="AK58" s="69" t="str">
        <f ca="1">IF('＠MFP (LSI name)'!AK58="","",IF(COUNTIF('＠MFP (LSI name)'!AK58,"Serial*")+COUNTIF('＠MFP (LSI name)'!AK58,"Analog*")&gt;0,'＠MFP (LSI name)'!AK58,OFFSET('＠グループ、表示名'!$H$4,MATCH('＠MFP (LSI name)'!AK58,'＠グループ、表示名'!$D$4:$D$250,0)-1,0)))</f>
        <v/>
      </c>
      <c r="AL58" s="9" t="str">
        <f t="shared" si="4"/>
        <v>IOP7MD[19]</v>
      </c>
      <c r="AM58" s="9" t="str">
        <f t="shared" si="5"/>
        <v>IOP7MD[18]</v>
      </c>
      <c r="AN58" s="9" t="str">
        <f t="shared" si="6"/>
        <v>IOP7MD[17]</v>
      </c>
      <c r="AO58" s="9" t="str">
        <f t="shared" si="7"/>
        <v>IOP7MD[16]</v>
      </c>
      <c r="AP58" s="86"/>
    </row>
    <row r="59" spans="1:42" ht="16.149999999999999">
      <c r="A59" s="60">
        <v>54</v>
      </c>
      <c r="B59" s="7">
        <v>54</v>
      </c>
      <c r="C59" s="7">
        <v>44</v>
      </c>
      <c r="D59" s="87">
        <v>35</v>
      </c>
      <c r="E59" s="87">
        <v>27</v>
      </c>
      <c r="F59" s="7">
        <v>54</v>
      </c>
      <c r="G59" s="7">
        <v>44</v>
      </c>
      <c r="H59" s="87">
        <v>35</v>
      </c>
      <c r="I59" s="45" t="s">
        <v>523</v>
      </c>
      <c r="J59" s="45" t="s">
        <v>524</v>
      </c>
      <c r="K59" s="69" t="str">
        <f ca="1">IF('＠MFP (LSI name)'!K59="","",IF(COUNTIF('＠MFP (LSI name)'!K59,"Serial*")+COUNTIF('＠MFP (LSI name)'!K59,"Analog*")&gt;0,'＠MFP (LSI name)'!K59,OFFSET('＠グループ、表示名'!$H$4,MATCH('＠MFP (LSI name)'!K59,'＠グループ、表示名'!$D$4:$D$250,0)-1,0)))</f>
        <v>TM02A</v>
      </c>
      <c r="L59" s="69" t="str">
        <f ca="1">IF('＠MFP (LSI name)'!L59="","",IF(COUNTIF('＠MFP (LSI name)'!L59,"Serial*")+COUNTIF('＠MFP (LSI name)'!L59,"Analog*")&gt;0,'＠MFP (LSI name)'!L59,OFFSET('＠グループ、表示名'!$H$4,MATCH('＠MFP (LSI name)'!L59,'＠グループ、表示名'!$D$4:$D$250,0)-1,0)))</f>
        <v>GPWM2_GPWM20</v>
      </c>
      <c r="M59" s="69" t="str">
        <f ca="1">IF('＠MFP (LSI name)'!M59="","",IF(COUNTIF('＠MFP (LSI name)'!M59,"Serial*")+COUNTIF('＠MFP (LSI name)'!M59,"Analog*")&gt;0,'＠MFP (LSI name)'!M59,OFFSET('＠グループ、表示名'!$H$4,MATCH('＠MFP (LSI name)'!M59,'＠グループ、表示名'!$D$4:$D$250,0)-1,0)))</f>
        <v/>
      </c>
      <c r="N59" s="69" t="str">
        <f ca="1">IF('＠MFP (LSI name)'!N59="","",IF(COUNTIF('＠MFP (LSI name)'!N59,"Serial*")+COUNTIF('＠MFP (LSI name)'!N59,"Analog*")&gt;0,'＠MFP (LSI name)'!N59,OFFSET('＠グループ、表示名'!$H$4,MATCH('＠MFP (LSI name)'!N59,'＠グループ、表示名'!$D$4:$D$250,0)-1,0)))</f>
        <v/>
      </c>
      <c r="O59" s="69" t="str">
        <f ca="1">IF('＠MFP (LSI name)'!O59="","",IF(COUNTIF('＠MFP (LSI name)'!O59,"Serial*")+COUNTIF('＠MFP (LSI name)'!O59,"Analog*")&gt;0,'＠MFP (LSI name)'!O59,OFFSET('＠グループ、表示名'!$H$4,MATCH('＠MFP (LSI name)'!O59,'＠グループ、表示名'!$D$4:$D$250,0)-1,0)))</f>
        <v/>
      </c>
      <c r="P59" s="69" t="str">
        <f ca="1">IF('＠MFP (LSI name)'!P59="","",IF(COUNTIF('＠MFP (LSI name)'!P59,"Serial*")+COUNTIF('＠MFP (LSI name)'!P59,"Analog*")&gt;0,'＠MFP (LSI name)'!P59,OFFSET('＠グループ、表示名'!$H$4,MATCH('＠MFP (LSI name)'!P59,'＠グループ、表示名'!$D$4:$D$250,0)-1,0)))</f>
        <v/>
      </c>
      <c r="Q59" s="69" t="str">
        <f ca="1">IF('＠MFP (LSI name)'!Q59="","",IF(COUNTIF('＠MFP (LSI name)'!Q59,"Serial*")+COUNTIF('＠MFP (LSI name)'!Q59,"Analog*")&gt;0,'＠MFP (LSI name)'!Q59,OFFSET('＠グループ、表示名'!$H$4,MATCH('＠MFP (LSI name)'!Q59,'＠グループ、表示名'!$D$4:$D$250,0)-1,0)))</f>
        <v/>
      </c>
      <c r="R59" s="69" t="str">
        <f ca="1">IF('＠MFP (LSI name)'!R59="","",IF(COUNTIF('＠MFP (LSI name)'!R59,"Serial*")+COUNTIF('＠MFP (LSI name)'!R59,"Analog*")&gt;0,'＠MFP (LSI name)'!R59,OFFSET('＠グループ、表示名'!$H$4,MATCH('＠MFP (LSI name)'!R59,'＠グループ、表示名'!$D$4:$D$250,0)-1,0)))</f>
        <v/>
      </c>
      <c r="S59" s="69" t="str">
        <f ca="1">IF('＠MFP (LSI name)'!S59="","",IF(COUNTIF('＠MFP (LSI name)'!S59,"Serial*")+COUNTIF('＠MFP (LSI name)'!S59,"Analog*")&gt;0,'＠MFP (LSI name)'!S59,OFFSET('＠グループ、表示名'!$H$4,MATCH('＠MFP (LSI name)'!S59,'＠グループ、表示名'!$D$4:$D$250,0)-1,0)))</f>
        <v/>
      </c>
      <c r="T59" s="69" t="str">
        <f ca="1">IF('＠MFP (LSI name)'!T59="","",IF(COUNTIF('＠MFP (LSI name)'!T59,"Serial*")+COUNTIF('＠MFP (LSI name)'!T59,"Analog*")&gt;0,'＠MFP (LSI name)'!T59,OFFSET('＠グループ、表示名'!$H$4,MATCH('＠MFP (LSI name)'!T59,'＠グループ、表示名'!$D$4:$D$250,0)-1,0)))</f>
        <v/>
      </c>
      <c r="U59" s="69" t="str">
        <f ca="1">IF('＠MFP (LSI name)'!U59="","",IF(COUNTIF('＠MFP (LSI name)'!U59,"Serial*")+COUNTIF('＠MFP (LSI name)'!U59,"Analog*")&gt;0,'＠MFP (LSI name)'!U59,OFFSET('＠グループ、表示名'!$H$4,MATCH('＠MFP (LSI name)'!U59,'＠グループ、表示名'!$D$4:$D$250,0)-1,0)))</f>
        <v/>
      </c>
      <c r="V59" s="18" t="str">
        <f ca="1">IF('＠MFP (LSI name)'!V59="","",IF(COUNTIF('＠MFP (LSI name)'!V59,"Serial*")+COUNTIF('＠MFP (LSI name)'!V59,"Analog*")&gt;0,'＠MFP (LSI name)'!V59,OFFSET('＠グループ、表示名'!$H$4,MATCH('＠MFP (LSI name)'!V59,'＠グループ、表示名'!$D$4:$D$250,0)-1,0)))</f>
        <v/>
      </c>
      <c r="W59" s="18" t="str">
        <f ca="1">IF('＠MFP (LSI name)'!W59="","",IF(COUNTIF('＠MFP (LSI name)'!W59,"Serial*")+COUNTIF('＠MFP (LSI name)'!W59,"Analog*")&gt;0,'＠MFP (LSI name)'!W59,OFFSET('＠グループ、表示名'!$H$4,MATCH('＠MFP (LSI name)'!W59,'＠グループ、表示名'!$D$4:$D$250,0)-1,0)))</f>
        <v/>
      </c>
      <c r="X59" s="18" t="str">
        <f ca="1">IF('＠MFP (LSI name)'!X59="","",IF(COUNTIF('＠MFP (LSI name)'!X59,"Serial*")+COUNTIF('＠MFP (LSI name)'!X59,"Analog*")&gt;0,'＠MFP (LSI name)'!X59,OFFSET('＠グループ、表示名'!$H$4,MATCH('＠MFP (LSI name)'!X59,'＠グループ、表示名'!$D$4:$D$250,0)-1,0)))</f>
        <v/>
      </c>
      <c r="Y59" s="18" t="str">
        <f ca="1">IF('＠MFP (LSI name)'!Y59="","",IF(COUNTIF('＠MFP (LSI name)'!Y59,"Serial*")+COUNTIF('＠MFP (LSI name)'!Y59,"Analog*")&gt;0,'＠MFP (LSI name)'!Y59,OFFSET('＠グループ、表示名'!$H$4,MATCH('＠MFP (LSI name)'!Y59,'＠グループ、表示名'!$D$4:$D$250,0)-1,0)))</f>
        <v/>
      </c>
      <c r="Z59" s="18" t="str">
        <f ca="1">IF('＠MFP (LSI name)'!Z59="","",IF(COUNTIF('＠MFP (LSI name)'!Z59,"Serial*")+COUNTIF('＠MFP (LSI name)'!Z59,"Analog*")&gt;0,'＠MFP (LSI name)'!Z59,OFFSET('＠グループ、表示名'!$H$4,MATCH('＠MFP (LSI name)'!Z59,'＠グループ、表示名'!$D$4:$D$250,0)-1,0)))</f>
        <v/>
      </c>
      <c r="AA59" s="69" t="str">
        <f ca="1">IF('＠MFP (LSI name)'!AA59="","",IF(COUNTIF('＠MFP (LSI name)'!AA59,"Serial*")+COUNTIF('＠MFP (LSI name)'!AA59,"Analog*")&gt;0,'＠MFP (LSI name)'!AA59,OFFSET('＠グループ、表示名'!$H$4,MATCH('＠MFP (LSI name)'!AA59,'＠グループ、表示名'!$D$4:$D$250,0)-1,0)))</f>
        <v/>
      </c>
      <c r="AB59" s="18" t="str">
        <f ca="1">IF('＠MFP (LSI name)'!AB59="","",IF(COUNTIF('＠MFP (LSI name)'!AB59,"Serial*")+COUNTIF('＠MFP (LSI name)'!AB59,"Analog*")&gt;0,'＠MFP (LSI name)'!AB59,OFFSET('＠グループ、表示名'!$H$4,MATCH('＠MFP (LSI name)'!AB59,'＠グループ、表示名'!$D$4:$D$250,0)-1,0)))</f>
        <v/>
      </c>
      <c r="AC59" s="18" t="str">
        <f ca="1">IF('＠MFP (LSI name)'!AC59="","",IF(COUNTIF('＠MFP (LSI name)'!AC59,"Serial*")+COUNTIF('＠MFP (LSI name)'!AC59,"Analog*")&gt;0,'＠MFP (LSI name)'!AC59,OFFSET('＠グループ、表示名'!$H$4,MATCH('＠MFP (LSI name)'!AC59,'＠グループ、表示名'!$D$4:$D$250,0)-1,0)))</f>
        <v/>
      </c>
      <c r="AD59" s="18" t="str">
        <f ca="1">IF('＠MFP (LSI name)'!AD59="","",IF(COUNTIF('＠MFP (LSI name)'!AD59,"Serial*")+COUNTIF('＠MFP (LSI name)'!AD59,"Analog*")&gt;0,'＠MFP (LSI name)'!AD59,OFFSET('＠グループ、表示名'!$H$4,MATCH('＠MFP (LSI name)'!AD59,'＠グループ、表示名'!$D$4:$D$250,0)-1,0)))</f>
        <v/>
      </c>
      <c r="AE59" s="18" t="str">
        <f ca="1">IF('＠MFP (LSI name)'!AE59="","",IF(COUNTIF('＠MFP (LSI name)'!AE59,"Serial*")+COUNTIF('＠MFP (LSI name)'!AE59,"Analog*")&gt;0,'＠MFP (LSI name)'!AE59,OFFSET('＠グループ、表示名'!$H$4,MATCH('＠MFP (LSI name)'!AE59,'＠グループ、表示名'!$D$4:$D$250,0)-1,0)))</f>
        <v/>
      </c>
      <c r="AF59" s="69" t="str">
        <f ca="1">IF('＠MFP (LSI name)'!AF59="","",IF(COUNTIF('＠MFP (LSI name)'!AF59,"Serial*")+COUNTIF('＠MFP (LSI name)'!AF59,"Analog*")&gt;0,'＠MFP (LSI name)'!AF59,OFFSET('＠グループ、表示名'!$H$4,MATCH('＠MFP (LSI name)'!AF59,'＠グループ、表示名'!$D$4:$D$250,0)-1,0)))</f>
        <v/>
      </c>
      <c r="AG59" s="18" t="str">
        <f ca="1">IF('＠MFP (LSI name)'!AG59="","",IF(COUNTIF('＠MFP (LSI name)'!AG59,"Serial*")+COUNTIF('＠MFP (LSI name)'!AG59,"Analog*")&gt;0,'＠MFP (LSI name)'!AG59,OFFSET('＠グループ、表示名'!$H$4,MATCH('＠MFP (LSI name)'!AG59,'＠グループ、表示名'!$D$4:$D$250,0)-1,0)))</f>
        <v/>
      </c>
      <c r="AH59" s="18" t="str">
        <f ca="1">IF('＠MFP (LSI name)'!AH59="","",IF(COUNTIF('＠MFP (LSI name)'!AH59,"Serial*")+COUNTIF('＠MFP (LSI name)'!AH59,"Analog*")&gt;0,'＠MFP (LSI name)'!AH59,OFFSET('＠グループ、表示名'!$H$4,MATCH('＠MFP (LSI name)'!AH59,'＠グループ、表示名'!$D$4:$D$250,0)-1,0)))</f>
        <v/>
      </c>
      <c r="AI59" s="18" t="str">
        <f ca="1">IF('＠MFP (LSI name)'!AI59="","",IF(COUNTIF('＠MFP (LSI name)'!AI59,"Serial*")+COUNTIF('＠MFP (LSI name)'!AI59,"Analog*")&gt;0,'＠MFP (LSI name)'!AI59,OFFSET('＠グループ、表示名'!$H$4,MATCH('＠MFP (LSI name)'!AI59,'＠グループ、表示名'!$D$4:$D$250,0)-1,0)))</f>
        <v/>
      </c>
      <c r="AJ59" s="18" t="str">
        <f ca="1">IF('＠MFP (LSI name)'!AJ59="","",IF(COUNTIF('＠MFP (LSI name)'!AJ59,"Serial*")+COUNTIF('＠MFP (LSI name)'!AJ59,"Analog*")&gt;0,'＠MFP (LSI name)'!AJ59,OFFSET('＠グループ、表示名'!$H$4,MATCH('＠MFP (LSI name)'!AJ59,'＠グループ、表示名'!$D$4:$D$250,0)-1,0)))</f>
        <v/>
      </c>
      <c r="AK59" s="69" t="str">
        <f ca="1">IF('＠MFP (LSI name)'!AK59="","",IF(COUNTIF('＠MFP (LSI name)'!AK59,"Serial*")+COUNTIF('＠MFP (LSI name)'!AK59,"Analog*")&gt;0,'＠MFP (LSI name)'!AK59,OFFSET('＠グループ、表示名'!$H$4,MATCH('＠MFP (LSI name)'!AK59,'＠グループ、表示名'!$D$4:$D$250,0)-1,0)))</f>
        <v/>
      </c>
      <c r="AL59" s="9" t="str">
        <f t="shared" si="4"/>
        <v>IOP7MD[15]</v>
      </c>
      <c r="AM59" s="9" t="str">
        <f t="shared" si="5"/>
        <v>IOP7MD[14]</v>
      </c>
      <c r="AN59" s="9" t="str">
        <f t="shared" si="6"/>
        <v>IOP7MD[13]</v>
      </c>
      <c r="AO59" s="9" t="str">
        <f t="shared" si="7"/>
        <v>IOP7MD[12]</v>
      </c>
      <c r="AP59" s="86"/>
    </row>
    <row r="60" spans="1:42" ht="16.149999999999999">
      <c r="A60" s="60">
        <v>55</v>
      </c>
      <c r="B60" s="7">
        <v>55</v>
      </c>
      <c r="C60" s="7">
        <v>45</v>
      </c>
      <c r="D60" s="87">
        <v>36</v>
      </c>
      <c r="E60" s="87">
        <v>28</v>
      </c>
      <c r="F60" s="7">
        <v>55</v>
      </c>
      <c r="G60" s="7">
        <v>45</v>
      </c>
      <c r="H60" s="87">
        <v>36</v>
      </c>
      <c r="I60" s="45" t="s">
        <v>525</v>
      </c>
      <c r="J60" s="45" t="s">
        <v>526</v>
      </c>
      <c r="K60" s="69" t="str">
        <f ca="1">IF('＠MFP (LSI name)'!K60="","",IF(COUNTIF('＠MFP (LSI name)'!K60,"Serial*")+COUNTIF('＠MFP (LSI name)'!K60,"Analog*")&gt;0,'＠MFP (LSI name)'!K60,OFFSET('＠グループ、表示名'!$H$4,MATCH('＠MFP (LSI name)'!K60,'＠グループ、表示名'!$D$4:$D$250,0)-1,0)))</f>
        <v>TM01A</v>
      </c>
      <c r="L60" s="69" t="str">
        <f ca="1">IF('＠MFP (LSI name)'!L60="","",IF(COUNTIF('＠MFP (LSI name)'!L60,"Serial*")+COUNTIF('＠MFP (LSI name)'!L60,"Analog*")&gt;0,'＠MFP (LSI name)'!L60,OFFSET('＠グループ、表示名'!$H$4,MATCH('＠MFP (LSI name)'!L60,'＠グループ、表示名'!$D$4:$D$250,0)-1,0)))</f>
        <v>GPWM1_GPWM10</v>
      </c>
      <c r="M60" s="69" t="str">
        <f ca="1">IF('＠MFP (LSI name)'!M60="","",IF(COUNTIF('＠MFP (LSI name)'!M60,"Serial*")+COUNTIF('＠MFP (LSI name)'!M60,"Analog*")&gt;0,'＠MFP (LSI name)'!M60,OFFSET('＠グループ、表示名'!$H$4,MATCH('＠MFP (LSI name)'!M60,'＠グループ、表示名'!$D$4:$D$250,0)-1,0)))</f>
        <v/>
      </c>
      <c r="N60" s="69" t="str">
        <f ca="1">IF('＠MFP (LSI name)'!N60="","",IF(COUNTIF('＠MFP (LSI name)'!N60,"Serial*")+COUNTIF('＠MFP (LSI name)'!N60,"Analog*")&gt;0,'＠MFP (LSI name)'!N60,OFFSET('＠グループ、表示名'!$H$4,MATCH('＠MFP (LSI name)'!N60,'＠グループ、表示名'!$D$4:$D$250,0)-1,0)))</f>
        <v/>
      </c>
      <c r="O60" s="69" t="str">
        <f ca="1">IF('＠MFP (LSI name)'!O60="","",IF(COUNTIF('＠MFP (LSI name)'!O60,"Serial*")+COUNTIF('＠MFP (LSI name)'!O60,"Analog*")&gt;0,'＠MFP (LSI name)'!O60,OFFSET('＠グループ、表示名'!$H$4,MATCH('＠MFP (LSI name)'!O60,'＠グループ、表示名'!$D$4:$D$250,0)-1,0)))</f>
        <v/>
      </c>
      <c r="P60" s="69" t="str">
        <f ca="1">IF('＠MFP (LSI name)'!P60="","",IF(COUNTIF('＠MFP (LSI name)'!P60,"Serial*")+COUNTIF('＠MFP (LSI name)'!P60,"Analog*")&gt;0,'＠MFP (LSI name)'!P60,OFFSET('＠グループ、表示名'!$H$4,MATCH('＠MFP (LSI name)'!P60,'＠グループ、表示名'!$D$4:$D$250,0)-1,0)))</f>
        <v/>
      </c>
      <c r="Q60" s="69" t="str">
        <f ca="1">IF('＠MFP (LSI name)'!Q60="","",IF(COUNTIF('＠MFP (LSI name)'!Q60,"Serial*")+COUNTIF('＠MFP (LSI name)'!Q60,"Analog*")&gt;0,'＠MFP (LSI name)'!Q60,OFFSET('＠グループ、表示名'!$H$4,MATCH('＠MFP (LSI name)'!Q60,'＠グループ、表示名'!$D$4:$D$250,0)-1,0)))</f>
        <v/>
      </c>
      <c r="R60" s="69" t="str">
        <f ca="1">IF('＠MFP (LSI name)'!R60="","",IF(COUNTIF('＠MFP (LSI name)'!R60,"Serial*")+COUNTIF('＠MFP (LSI name)'!R60,"Analog*")&gt;0,'＠MFP (LSI name)'!R60,OFFSET('＠グループ、表示名'!$H$4,MATCH('＠MFP (LSI name)'!R60,'＠グループ、表示名'!$D$4:$D$250,0)-1,0)))</f>
        <v/>
      </c>
      <c r="S60" s="69" t="str">
        <f ca="1">IF('＠MFP (LSI name)'!S60="","",IF(COUNTIF('＠MFP (LSI name)'!S60,"Serial*")+COUNTIF('＠MFP (LSI name)'!S60,"Analog*")&gt;0,'＠MFP (LSI name)'!S60,OFFSET('＠グループ、表示名'!$H$4,MATCH('＠MFP (LSI name)'!S60,'＠グループ、表示名'!$D$4:$D$250,0)-1,0)))</f>
        <v/>
      </c>
      <c r="T60" s="69" t="str">
        <f ca="1">IF('＠MFP (LSI name)'!T60="","",IF(COUNTIF('＠MFP (LSI name)'!T60,"Serial*")+COUNTIF('＠MFP (LSI name)'!T60,"Analog*")&gt;0,'＠MFP (LSI name)'!T60,OFFSET('＠グループ、表示名'!$H$4,MATCH('＠MFP (LSI name)'!T60,'＠グループ、表示名'!$D$4:$D$250,0)-1,0)))</f>
        <v/>
      </c>
      <c r="U60" s="69" t="str">
        <f ca="1">IF('＠MFP (LSI name)'!U60="","",IF(COUNTIF('＠MFP (LSI name)'!U60,"Serial*")+COUNTIF('＠MFP (LSI name)'!U60,"Analog*")&gt;0,'＠MFP (LSI name)'!U60,OFFSET('＠グループ、表示名'!$H$4,MATCH('＠MFP (LSI name)'!U60,'＠グループ、表示名'!$D$4:$D$250,0)-1,0)))</f>
        <v/>
      </c>
      <c r="V60" s="18" t="str">
        <f ca="1">IF('＠MFP (LSI name)'!V60="","",IF(COUNTIF('＠MFP (LSI name)'!V60,"Serial*")+COUNTIF('＠MFP (LSI name)'!V60,"Analog*")&gt;0,'＠MFP (LSI name)'!V60,OFFSET('＠グループ、表示名'!$H$4,MATCH('＠MFP (LSI name)'!V60,'＠グループ、表示名'!$D$4:$D$250,0)-1,0)))</f>
        <v/>
      </c>
      <c r="W60" s="18" t="str">
        <f ca="1">IF('＠MFP (LSI name)'!W60="","",IF(COUNTIF('＠MFP (LSI name)'!W60,"Serial*")+COUNTIF('＠MFP (LSI name)'!W60,"Analog*")&gt;0,'＠MFP (LSI name)'!W60,OFFSET('＠グループ、表示名'!$H$4,MATCH('＠MFP (LSI name)'!W60,'＠グループ、表示名'!$D$4:$D$250,0)-1,0)))</f>
        <v/>
      </c>
      <c r="X60" s="18" t="str">
        <f ca="1">IF('＠MFP (LSI name)'!X60="","",IF(COUNTIF('＠MFP (LSI name)'!X60,"Serial*")+COUNTIF('＠MFP (LSI name)'!X60,"Analog*")&gt;0,'＠MFP (LSI name)'!X60,OFFSET('＠グループ、表示名'!$H$4,MATCH('＠MFP (LSI name)'!X60,'＠グループ、表示名'!$D$4:$D$250,0)-1,0)))</f>
        <v/>
      </c>
      <c r="Y60" s="18" t="str">
        <f ca="1">IF('＠MFP (LSI name)'!Y60="","",IF(COUNTIF('＠MFP (LSI name)'!Y60,"Serial*")+COUNTIF('＠MFP (LSI name)'!Y60,"Analog*")&gt;0,'＠MFP (LSI name)'!Y60,OFFSET('＠グループ、表示名'!$H$4,MATCH('＠MFP (LSI name)'!Y60,'＠グループ、表示名'!$D$4:$D$250,0)-1,0)))</f>
        <v/>
      </c>
      <c r="Z60" s="18" t="str">
        <f ca="1">IF('＠MFP (LSI name)'!Z60="","",IF(COUNTIF('＠MFP (LSI name)'!Z60,"Serial*")+COUNTIF('＠MFP (LSI name)'!Z60,"Analog*")&gt;0,'＠MFP (LSI name)'!Z60,OFFSET('＠グループ、表示名'!$H$4,MATCH('＠MFP (LSI name)'!Z60,'＠グループ、表示名'!$D$4:$D$250,0)-1,0)))</f>
        <v/>
      </c>
      <c r="AA60" s="69" t="str">
        <f ca="1">IF('＠MFP (LSI name)'!AA60="","",IF(COUNTIF('＠MFP (LSI name)'!AA60,"Serial*")+COUNTIF('＠MFP (LSI name)'!AA60,"Analog*")&gt;0,'＠MFP (LSI name)'!AA60,OFFSET('＠グループ、表示名'!$H$4,MATCH('＠MFP (LSI name)'!AA60,'＠グループ、表示名'!$D$4:$D$250,0)-1,0)))</f>
        <v/>
      </c>
      <c r="AB60" s="18" t="str">
        <f ca="1">IF('＠MFP (LSI name)'!AB60="","",IF(COUNTIF('＠MFP (LSI name)'!AB60,"Serial*")+COUNTIF('＠MFP (LSI name)'!AB60,"Analog*")&gt;0,'＠MFP (LSI name)'!AB60,OFFSET('＠グループ、表示名'!$H$4,MATCH('＠MFP (LSI name)'!AB60,'＠グループ、表示名'!$D$4:$D$250,0)-1,0)))</f>
        <v/>
      </c>
      <c r="AC60" s="18" t="str">
        <f ca="1">IF('＠MFP (LSI name)'!AC60="","",IF(COUNTIF('＠MFP (LSI name)'!AC60,"Serial*")+COUNTIF('＠MFP (LSI name)'!AC60,"Analog*")&gt;0,'＠MFP (LSI name)'!AC60,OFFSET('＠グループ、表示名'!$H$4,MATCH('＠MFP (LSI name)'!AC60,'＠グループ、表示名'!$D$4:$D$250,0)-1,0)))</f>
        <v/>
      </c>
      <c r="AD60" s="18" t="str">
        <f ca="1">IF('＠MFP (LSI name)'!AD60="","",IF(COUNTIF('＠MFP (LSI name)'!AD60,"Serial*")+COUNTIF('＠MFP (LSI name)'!AD60,"Analog*")&gt;0,'＠MFP (LSI name)'!AD60,OFFSET('＠グループ、表示名'!$H$4,MATCH('＠MFP (LSI name)'!AD60,'＠グループ、表示名'!$D$4:$D$250,0)-1,0)))</f>
        <v/>
      </c>
      <c r="AE60" s="18" t="str">
        <f ca="1">IF('＠MFP (LSI name)'!AE60="","",IF(COUNTIF('＠MFP (LSI name)'!AE60,"Serial*")+COUNTIF('＠MFP (LSI name)'!AE60,"Analog*")&gt;0,'＠MFP (LSI name)'!AE60,OFFSET('＠グループ、表示名'!$H$4,MATCH('＠MFP (LSI name)'!AE60,'＠グループ、表示名'!$D$4:$D$250,0)-1,0)))</f>
        <v/>
      </c>
      <c r="AF60" s="69" t="str">
        <f ca="1">IF('＠MFP (LSI name)'!AF60="","",IF(COUNTIF('＠MFP (LSI name)'!AF60,"Serial*")+COUNTIF('＠MFP (LSI name)'!AF60,"Analog*")&gt;0,'＠MFP (LSI name)'!AF60,OFFSET('＠グループ、表示名'!$H$4,MATCH('＠MFP (LSI name)'!AF60,'＠グループ、表示名'!$D$4:$D$250,0)-1,0)))</f>
        <v/>
      </c>
      <c r="AG60" s="18" t="str">
        <f ca="1">IF('＠MFP (LSI name)'!AG60="","",IF(COUNTIF('＠MFP (LSI name)'!AG60,"Serial*")+COUNTIF('＠MFP (LSI name)'!AG60,"Analog*")&gt;0,'＠MFP (LSI name)'!AG60,OFFSET('＠グループ、表示名'!$H$4,MATCH('＠MFP (LSI name)'!AG60,'＠グループ、表示名'!$D$4:$D$250,0)-1,0)))</f>
        <v/>
      </c>
      <c r="AH60" s="18" t="str">
        <f ca="1">IF('＠MFP (LSI name)'!AH60="","",IF(COUNTIF('＠MFP (LSI name)'!AH60,"Serial*")+COUNTIF('＠MFP (LSI name)'!AH60,"Analog*")&gt;0,'＠MFP (LSI name)'!AH60,OFFSET('＠グループ、表示名'!$H$4,MATCH('＠MFP (LSI name)'!AH60,'＠グループ、表示名'!$D$4:$D$250,0)-1,0)))</f>
        <v/>
      </c>
      <c r="AI60" s="18" t="str">
        <f ca="1">IF('＠MFP (LSI name)'!AI60="","",IF(COUNTIF('＠MFP (LSI name)'!AI60,"Serial*")+COUNTIF('＠MFP (LSI name)'!AI60,"Analog*")&gt;0,'＠MFP (LSI name)'!AI60,OFFSET('＠グループ、表示名'!$H$4,MATCH('＠MFP (LSI name)'!AI60,'＠グループ、表示名'!$D$4:$D$250,0)-1,0)))</f>
        <v/>
      </c>
      <c r="AJ60" s="18" t="str">
        <f ca="1">IF('＠MFP (LSI name)'!AJ60="","",IF(COUNTIF('＠MFP (LSI name)'!AJ60,"Serial*")+COUNTIF('＠MFP (LSI name)'!AJ60,"Analog*")&gt;0,'＠MFP (LSI name)'!AJ60,OFFSET('＠グループ、表示名'!$H$4,MATCH('＠MFP (LSI name)'!AJ60,'＠グループ、表示名'!$D$4:$D$250,0)-1,0)))</f>
        <v/>
      </c>
      <c r="AK60" s="69" t="str">
        <f ca="1">IF('＠MFP (LSI name)'!AK60="","",IF(COUNTIF('＠MFP (LSI name)'!AK60,"Serial*")+COUNTIF('＠MFP (LSI name)'!AK60,"Analog*")&gt;0,'＠MFP (LSI name)'!AK60,OFFSET('＠グループ、表示名'!$H$4,MATCH('＠MFP (LSI name)'!AK60,'＠グループ、表示名'!$D$4:$D$250,0)-1,0)))</f>
        <v/>
      </c>
      <c r="AL60" s="9" t="str">
        <f t="shared" si="4"/>
        <v>IOP7MD[11]</v>
      </c>
      <c r="AM60" s="9" t="str">
        <f t="shared" si="5"/>
        <v>IOP7MD[10]</v>
      </c>
      <c r="AN60" s="9" t="str">
        <f t="shared" si="6"/>
        <v>IOP7MD[9]</v>
      </c>
      <c r="AO60" s="9" t="str">
        <f t="shared" si="7"/>
        <v>IOP7MD[8]</v>
      </c>
      <c r="AP60" s="86"/>
    </row>
    <row r="61" spans="1:42" ht="16.149999999999999">
      <c r="A61" s="60">
        <v>56</v>
      </c>
      <c r="B61" s="7">
        <v>56</v>
      </c>
      <c r="C61" s="7">
        <v>46</v>
      </c>
      <c r="D61" s="87">
        <v>37</v>
      </c>
      <c r="E61" s="87">
        <v>29</v>
      </c>
      <c r="F61" s="7">
        <v>56</v>
      </c>
      <c r="G61" s="7">
        <v>46</v>
      </c>
      <c r="H61" s="87">
        <v>37</v>
      </c>
      <c r="I61" s="45" t="s">
        <v>527</v>
      </c>
      <c r="J61" s="45" t="s">
        <v>528</v>
      </c>
      <c r="K61" s="69" t="str">
        <f ca="1">IF('＠MFP (LSI name)'!K61="","",IF(COUNTIF('＠MFP (LSI name)'!K61,"Serial*")+COUNTIF('＠MFP (LSI name)'!K61,"Analog*")&gt;0,'＠MFP (LSI name)'!K61,OFFSET('＠グループ、表示名'!$H$4,MATCH('＠MFP (LSI name)'!K61,'＠グループ、表示名'!$D$4:$D$250,0)-1,0)))</f>
        <v>TM00A</v>
      </c>
      <c r="L61" s="69" t="str">
        <f ca="1">IF('＠MFP (LSI name)'!L61="","",IF(COUNTIF('＠MFP (LSI name)'!L61,"Serial*")+COUNTIF('＠MFP (LSI name)'!L61,"Analog*")&gt;0,'＠MFP (LSI name)'!L61,OFFSET('＠グループ、表示名'!$H$4,MATCH('＠MFP (LSI name)'!L61,'＠グループ、表示名'!$D$4:$D$250,0)-1,0)))</f>
        <v>GPWM0_GPWM00</v>
      </c>
      <c r="M61" s="69" t="str">
        <f ca="1">IF('＠MFP (LSI name)'!M61="","",IF(COUNTIF('＠MFP (LSI name)'!M61,"Serial*")+COUNTIF('＠MFP (LSI name)'!M61,"Analog*")&gt;0,'＠MFP (LSI name)'!M61,OFFSET('＠グループ、表示名'!$H$4,MATCH('＠MFP (LSI name)'!M61,'＠グループ、表示名'!$D$4:$D$250,0)-1,0)))</f>
        <v/>
      </c>
      <c r="N61" s="69" t="str">
        <f ca="1">IF('＠MFP (LSI name)'!N61="","",IF(COUNTIF('＠MFP (LSI name)'!N61,"Serial*")+COUNTIF('＠MFP (LSI name)'!N61,"Analog*")&gt;0,'＠MFP (LSI name)'!N61,OFFSET('＠グループ、表示名'!$H$4,MATCH('＠MFP (LSI name)'!N61,'＠グループ、表示名'!$D$4:$D$250,0)-1,0)))</f>
        <v/>
      </c>
      <c r="O61" s="69" t="str">
        <f ca="1">IF('＠MFP (LSI name)'!O61="","",IF(COUNTIF('＠MFP (LSI name)'!O61,"Serial*")+COUNTIF('＠MFP (LSI name)'!O61,"Analog*")&gt;0,'＠MFP (LSI name)'!O61,OFFSET('＠グループ、表示名'!$H$4,MATCH('＠MFP (LSI name)'!O61,'＠グループ、表示名'!$D$4:$D$250,0)-1,0)))</f>
        <v/>
      </c>
      <c r="P61" s="69" t="str">
        <f ca="1">IF('＠MFP (LSI name)'!P61="","",IF(COUNTIF('＠MFP (LSI name)'!P61,"Serial*")+COUNTIF('＠MFP (LSI name)'!P61,"Analog*")&gt;0,'＠MFP (LSI name)'!P61,OFFSET('＠グループ、表示名'!$H$4,MATCH('＠MFP (LSI name)'!P61,'＠グループ、表示名'!$D$4:$D$250,0)-1,0)))</f>
        <v/>
      </c>
      <c r="Q61" s="69" t="str">
        <f ca="1">IF('＠MFP (LSI name)'!Q61="","",IF(COUNTIF('＠MFP (LSI name)'!Q61,"Serial*")+COUNTIF('＠MFP (LSI name)'!Q61,"Analog*")&gt;0,'＠MFP (LSI name)'!Q61,OFFSET('＠グループ、表示名'!$H$4,MATCH('＠MFP (LSI name)'!Q61,'＠グループ、表示名'!$D$4:$D$250,0)-1,0)))</f>
        <v/>
      </c>
      <c r="R61" s="69" t="str">
        <f ca="1">IF('＠MFP (LSI name)'!R61="","",IF(COUNTIF('＠MFP (LSI name)'!R61,"Serial*")+COUNTIF('＠MFP (LSI name)'!R61,"Analog*")&gt;0,'＠MFP (LSI name)'!R61,OFFSET('＠グループ、表示名'!$H$4,MATCH('＠MFP (LSI name)'!R61,'＠グループ、表示名'!$D$4:$D$250,0)-1,0)))</f>
        <v/>
      </c>
      <c r="S61" s="69" t="str">
        <f ca="1">IF('＠MFP (LSI name)'!S61="","",IF(COUNTIF('＠MFP (LSI name)'!S61,"Serial*")+COUNTIF('＠MFP (LSI name)'!S61,"Analog*")&gt;0,'＠MFP (LSI name)'!S61,OFFSET('＠グループ、表示名'!$H$4,MATCH('＠MFP (LSI name)'!S61,'＠グループ、表示名'!$D$4:$D$250,0)-1,0)))</f>
        <v/>
      </c>
      <c r="T61" s="69" t="str">
        <f ca="1">IF('＠MFP (LSI name)'!T61="","",IF(COUNTIF('＠MFP (LSI name)'!T61,"Serial*")+COUNTIF('＠MFP (LSI name)'!T61,"Analog*")&gt;0,'＠MFP (LSI name)'!T61,OFFSET('＠グループ、表示名'!$H$4,MATCH('＠MFP (LSI name)'!T61,'＠グループ、表示名'!$D$4:$D$250,0)-1,0)))</f>
        <v/>
      </c>
      <c r="U61" s="69" t="str">
        <f ca="1">IF('＠MFP (LSI name)'!U61="","",IF(COUNTIF('＠MFP (LSI name)'!U61,"Serial*")+COUNTIF('＠MFP (LSI name)'!U61,"Analog*")&gt;0,'＠MFP (LSI name)'!U61,OFFSET('＠グループ、表示名'!$H$4,MATCH('＠MFP (LSI name)'!U61,'＠グループ、表示名'!$D$4:$D$250,0)-1,0)))</f>
        <v/>
      </c>
      <c r="V61" s="18" t="str">
        <f ca="1">IF('＠MFP (LSI name)'!V61="","",IF(COUNTIF('＠MFP (LSI name)'!V61,"Serial*")+COUNTIF('＠MFP (LSI name)'!V61,"Analog*")&gt;0,'＠MFP (LSI name)'!V61,OFFSET('＠グループ、表示名'!$H$4,MATCH('＠MFP (LSI name)'!V61,'＠グループ、表示名'!$D$4:$D$250,0)-1,0)))</f>
        <v/>
      </c>
      <c r="W61" s="18" t="str">
        <f ca="1">IF('＠MFP (LSI name)'!W61="","",IF(COUNTIF('＠MFP (LSI name)'!W61,"Serial*")+COUNTIF('＠MFP (LSI name)'!W61,"Analog*")&gt;0,'＠MFP (LSI name)'!W61,OFFSET('＠グループ、表示名'!$H$4,MATCH('＠MFP (LSI name)'!W61,'＠グループ、表示名'!$D$4:$D$250,0)-1,0)))</f>
        <v/>
      </c>
      <c r="X61" s="18" t="str">
        <f ca="1">IF('＠MFP (LSI name)'!X61="","",IF(COUNTIF('＠MFP (LSI name)'!X61,"Serial*")+COUNTIF('＠MFP (LSI name)'!X61,"Analog*")&gt;0,'＠MFP (LSI name)'!X61,OFFSET('＠グループ、表示名'!$H$4,MATCH('＠MFP (LSI name)'!X61,'＠グループ、表示名'!$D$4:$D$250,0)-1,0)))</f>
        <v/>
      </c>
      <c r="Y61" s="18" t="str">
        <f ca="1">IF('＠MFP (LSI name)'!Y61="","",IF(COUNTIF('＠MFP (LSI name)'!Y61,"Serial*")+COUNTIF('＠MFP (LSI name)'!Y61,"Analog*")&gt;0,'＠MFP (LSI name)'!Y61,OFFSET('＠グループ、表示名'!$H$4,MATCH('＠MFP (LSI name)'!Y61,'＠グループ、表示名'!$D$4:$D$250,0)-1,0)))</f>
        <v/>
      </c>
      <c r="Z61" s="18" t="str">
        <f ca="1">IF('＠MFP (LSI name)'!Z61="","",IF(COUNTIF('＠MFP (LSI name)'!Z61,"Serial*")+COUNTIF('＠MFP (LSI name)'!Z61,"Analog*")&gt;0,'＠MFP (LSI name)'!Z61,OFFSET('＠グループ、表示名'!$H$4,MATCH('＠MFP (LSI name)'!Z61,'＠グループ、表示名'!$D$4:$D$250,0)-1,0)))</f>
        <v/>
      </c>
      <c r="AA61" s="69" t="str">
        <f ca="1">IF('＠MFP (LSI name)'!AA61="","",IF(COUNTIF('＠MFP (LSI name)'!AA61,"Serial*")+COUNTIF('＠MFP (LSI name)'!AA61,"Analog*")&gt;0,'＠MFP (LSI name)'!AA61,OFFSET('＠グループ、表示名'!$H$4,MATCH('＠MFP (LSI name)'!AA61,'＠グループ、表示名'!$D$4:$D$250,0)-1,0)))</f>
        <v/>
      </c>
      <c r="AB61" s="18" t="str">
        <f ca="1">IF('＠MFP (LSI name)'!AB61="","",IF(COUNTIF('＠MFP (LSI name)'!AB61,"Serial*")+COUNTIF('＠MFP (LSI name)'!AB61,"Analog*")&gt;0,'＠MFP (LSI name)'!AB61,OFFSET('＠グループ、表示名'!$H$4,MATCH('＠MFP (LSI name)'!AB61,'＠グループ、表示名'!$D$4:$D$250,0)-1,0)))</f>
        <v/>
      </c>
      <c r="AC61" s="18" t="str">
        <f ca="1">IF('＠MFP (LSI name)'!AC61="","",IF(COUNTIF('＠MFP (LSI name)'!AC61,"Serial*")+COUNTIF('＠MFP (LSI name)'!AC61,"Analog*")&gt;0,'＠MFP (LSI name)'!AC61,OFFSET('＠グループ、表示名'!$H$4,MATCH('＠MFP (LSI name)'!AC61,'＠グループ、表示名'!$D$4:$D$250,0)-1,0)))</f>
        <v/>
      </c>
      <c r="AD61" s="18" t="str">
        <f ca="1">IF('＠MFP (LSI name)'!AD61="","",IF(COUNTIF('＠MFP (LSI name)'!AD61,"Serial*")+COUNTIF('＠MFP (LSI name)'!AD61,"Analog*")&gt;0,'＠MFP (LSI name)'!AD61,OFFSET('＠グループ、表示名'!$H$4,MATCH('＠MFP (LSI name)'!AD61,'＠グループ、表示名'!$D$4:$D$250,0)-1,0)))</f>
        <v/>
      </c>
      <c r="AE61" s="18" t="str">
        <f ca="1">IF('＠MFP (LSI name)'!AE61="","",IF(COUNTIF('＠MFP (LSI name)'!AE61,"Serial*")+COUNTIF('＠MFP (LSI name)'!AE61,"Analog*")&gt;0,'＠MFP (LSI name)'!AE61,OFFSET('＠グループ、表示名'!$H$4,MATCH('＠MFP (LSI name)'!AE61,'＠グループ、表示名'!$D$4:$D$250,0)-1,0)))</f>
        <v/>
      </c>
      <c r="AF61" s="69" t="str">
        <f ca="1">IF('＠MFP (LSI name)'!AF61="","",IF(COUNTIF('＠MFP (LSI name)'!AF61,"Serial*")+COUNTIF('＠MFP (LSI name)'!AF61,"Analog*")&gt;0,'＠MFP (LSI name)'!AF61,OFFSET('＠グループ、表示名'!$H$4,MATCH('＠MFP (LSI name)'!AF61,'＠グループ、表示名'!$D$4:$D$250,0)-1,0)))</f>
        <v/>
      </c>
      <c r="AG61" s="18" t="str">
        <f ca="1">IF('＠MFP (LSI name)'!AG61="","",IF(COUNTIF('＠MFP (LSI name)'!AG61,"Serial*")+COUNTIF('＠MFP (LSI name)'!AG61,"Analog*")&gt;0,'＠MFP (LSI name)'!AG61,OFFSET('＠グループ、表示名'!$H$4,MATCH('＠MFP (LSI name)'!AG61,'＠グループ、表示名'!$D$4:$D$250,0)-1,0)))</f>
        <v/>
      </c>
      <c r="AH61" s="18" t="str">
        <f ca="1">IF('＠MFP (LSI name)'!AH61="","",IF(COUNTIF('＠MFP (LSI name)'!AH61,"Serial*")+COUNTIF('＠MFP (LSI name)'!AH61,"Analog*")&gt;0,'＠MFP (LSI name)'!AH61,OFFSET('＠グループ、表示名'!$H$4,MATCH('＠MFP (LSI name)'!AH61,'＠グループ、表示名'!$D$4:$D$250,0)-1,0)))</f>
        <v/>
      </c>
      <c r="AI61" s="18" t="str">
        <f ca="1">IF('＠MFP (LSI name)'!AI61="","",IF(COUNTIF('＠MFP (LSI name)'!AI61,"Serial*")+COUNTIF('＠MFP (LSI name)'!AI61,"Analog*")&gt;0,'＠MFP (LSI name)'!AI61,OFFSET('＠グループ、表示名'!$H$4,MATCH('＠MFP (LSI name)'!AI61,'＠グループ、表示名'!$D$4:$D$250,0)-1,0)))</f>
        <v/>
      </c>
      <c r="AJ61" s="18" t="str">
        <f ca="1">IF('＠MFP (LSI name)'!AJ61="","",IF(COUNTIF('＠MFP (LSI name)'!AJ61,"Serial*")+COUNTIF('＠MFP (LSI name)'!AJ61,"Analog*")&gt;0,'＠MFP (LSI name)'!AJ61,OFFSET('＠グループ、表示名'!$H$4,MATCH('＠MFP (LSI name)'!AJ61,'＠グループ、表示名'!$D$4:$D$250,0)-1,0)))</f>
        <v/>
      </c>
      <c r="AK61" s="69" t="str">
        <f ca="1">IF('＠MFP (LSI name)'!AK61="","",IF(COUNTIF('＠MFP (LSI name)'!AK61,"Serial*")+COUNTIF('＠MFP (LSI name)'!AK61,"Analog*")&gt;0,'＠MFP (LSI name)'!AK61,OFFSET('＠グループ、表示名'!$H$4,MATCH('＠MFP (LSI name)'!AK61,'＠グループ、表示名'!$D$4:$D$250,0)-1,0)))</f>
        <v/>
      </c>
      <c r="AL61" s="9" t="str">
        <f t="shared" si="4"/>
        <v>IOP7MD[7]</v>
      </c>
      <c r="AM61" s="9" t="str">
        <f t="shared" si="5"/>
        <v>IOP7MD[6]</v>
      </c>
      <c r="AN61" s="9" t="str">
        <f t="shared" si="6"/>
        <v>IOP7MD[5]</v>
      </c>
      <c r="AO61" s="9" t="str">
        <f t="shared" si="7"/>
        <v>IOP7MD[4]</v>
      </c>
      <c r="AP61" s="86"/>
    </row>
    <row r="62" spans="1:42" ht="16.149999999999999">
      <c r="A62" s="60">
        <v>57</v>
      </c>
      <c r="B62" s="7">
        <v>57</v>
      </c>
      <c r="C62" s="7">
        <v>47</v>
      </c>
      <c r="D62" s="87">
        <v>38</v>
      </c>
      <c r="E62" s="87">
        <v>30</v>
      </c>
      <c r="F62" s="7">
        <v>57</v>
      </c>
      <c r="G62" s="7">
        <v>47</v>
      </c>
      <c r="H62" s="87">
        <v>38</v>
      </c>
      <c r="I62" s="45" t="s">
        <v>529</v>
      </c>
      <c r="J62" s="45" t="s">
        <v>530</v>
      </c>
      <c r="K62" s="69" t="str">
        <f ca="1">IF('＠MFP (LSI name)'!K62="","",IF(COUNTIF('＠MFP (LSI name)'!K62,"Serial*")+COUNTIF('＠MFP (LSI name)'!K62,"Analog*")&gt;0,'＠MFP (LSI name)'!K62,OFFSET('＠グループ、表示名'!$H$4,MATCH('＠MFP (LSI name)'!K62,'＠グループ、表示名'!$D$4:$D$250,0)-1,0)))</f>
        <v>IRQ05</v>
      </c>
      <c r="L62" s="69" t="str">
        <f ca="1">IF('＠MFP (LSI name)'!L62="","",IF(COUNTIF('＠MFP (LSI name)'!L62,"Serial*")+COUNTIF('＠MFP (LSI name)'!L62,"Analog*")&gt;0,'＠MFP (LSI name)'!L62,OFFSET('＠グループ、表示名'!$H$4,MATCH('＠MFP (LSI name)'!L62,'＠グループ、表示名'!$D$4:$D$250,0)-1,0)))</f>
        <v>IRQ10</v>
      </c>
      <c r="M62" s="69" t="str">
        <f ca="1">IF('＠MFP (LSI name)'!M62="","",IF(COUNTIF('＠MFP (LSI name)'!M62,"Serial*")+COUNTIF('＠MFP (LSI name)'!M62,"Analog*")&gt;0,'＠MFP (LSI name)'!M62,OFFSET('＠グループ、表示名'!$H$4,MATCH('＠MFP (LSI name)'!M62,'＠グループ、表示名'!$D$4:$D$250,0)-1,0)))</f>
        <v/>
      </c>
      <c r="N62" s="69" t="str">
        <f ca="1">IF('＠MFP (LSI name)'!N62="","",IF(COUNTIF('＠MFP (LSI name)'!N62,"Serial*")+COUNTIF('＠MFP (LSI name)'!N62,"Analog*")&gt;0,'＠MFP (LSI name)'!N62,OFFSET('＠グループ、表示名'!$H$4,MATCH('＠MFP (LSI name)'!N62,'＠グループ、表示名'!$D$4:$D$250,0)-1,0)))</f>
        <v/>
      </c>
      <c r="O62" s="69" t="str">
        <f ca="1">IF('＠MFP (LSI name)'!O62="","",IF(COUNTIF('＠MFP (LSI name)'!O62,"Serial*")+COUNTIF('＠MFP (LSI name)'!O62,"Analog*")&gt;0,'＠MFP (LSI name)'!O62,OFFSET('＠グループ、表示名'!$H$4,MATCH('＠MFP (LSI name)'!O62,'＠グループ、表示名'!$D$4:$D$250,0)-1,0)))</f>
        <v/>
      </c>
      <c r="P62" s="69" t="str">
        <f ca="1">IF('＠MFP (LSI name)'!P62="","",IF(COUNTIF('＠MFP (LSI name)'!P62,"Serial*")+COUNTIF('＠MFP (LSI name)'!P62,"Analog*")&gt;0,'＠MFP (LSI name)'!P62,OFFSET('＠グループ、表示名'!$H$4,MATCH('＠MFP (LSI name)'!P62,'＠グループ、表示名'!$D$4:$D$250,0)-1,0)))</f>
        <v/>
      </c>
      <c r="Q62" s="69" t="str">
        <f ca="1">IF('＠MFP (LSI name)'!Q62="","",IF(COUNTIF('＠MFP (LSI name)'!Q62,"Serial*")+COUNTIF('＠MFP (LSI name)'!Q62,"Analog*")&gt;0,'＠MFP (LSI name)'!Q62,OFFSET('＠グループ、表示名'!$H$4,MATCH('＠MFP (LSI name)'!Q62,'＠グループ、表示名'!$D$4:$D$250,0)-1,0)))</f>
        <v/>
      </c>
      <c r="R62" s="69" t="str">
        <f ca="1">IF('＠MFP (LSI name)'!R62="","",IF(COUNTIF('＠MFP (LSI name)'!R62,"Serial*")+COUNTIF('＠MFP (LSI name)'!R62,"Analog*")&gt;0,'＠MFP (LSI name)'!R62,OFFSET('＠グループ、表示名'!$H$4,MATCH('＠MFP (LSI name)'!R62,'＠グループ、表示名'!$D$4:$D$250,0)-1,0)))</f>
        <v/>
      </c>
      <c r="S62" s="69" t="str">
        <f ca="1">IF('＠MFP (LSI name)'!S62="","",IF(COUNTIF('＠MFP (LSI name)'!S62,"Serial*")+COUNTIF('＠MFP (LSI name)'!S62,"Analog*")&gt;0,'＠MFP (LSI name)'!S62,OFFSET('＠グループ、表示名'!$H$4,MATCH('＠MFP (LSI name)'!S62,'＠グループ、表示名'!$D$4:$D$250,0)-1,0)))</f>
        <v/>
      </c>
      <c r="T62" s="69" t="str">
        <f ca="1">IF('＠MFP (LSI name)'!T62="","",IF(COUNTIF('＠MFP (LSI name)'!T62,"Serial*")+COUNTIF('＠MFP (LSI name)'!T62,"Analog*")&gt;0,'＠MFP (LSI name)'!T62,OFFSET('＠グループ、表示名'!$H$4,MATCH('＠MFP (LSI name)'!T62,'＠グループ、表示名'!$D$4:$D$250,0)-1,0)))</f>
        <v/>
      </c>
      <c r="U62" s="69" t="str">
        <f ca="1">IF('＠MFP (LSI name)'!U62="","",IF(COUNTIF('＠MFP (LSI name)'!U62,"Serial*")+COUNTIF('＠MFP (LSI name)'!U62,"Analog*")&gt;0,'＠MFP (LSI name)'!U62,OFFSET('＠グループ、表示名'!$H$4,MATCH('＠MFP (LSI name)'!U62,'＠グループ、表示名'!$D$4:$D$250,0)-1,0)))</f>
        <v/>
      </c>
      <c r="V62" s="18" t="str">
        <f ca="1">IF('＠MFP (LSI name)'!V62="","",IF(COUNTIF('＠MFP (LSI name)'!V62,"Serial*")+COUNTIF('＠MFP (LSI name)'!V62,"Analog*")&gt;0,'＠MFP (LSI name)'!V62,OFFSET('＠グループ、表示名'!$H$4,MATCH('＠MFP (LSI name)'!V62,'＠グループ、表示名'!$D$4:$D$250,0)-1,0)))</f>
        <v/>
      </c>
      <c r="W62" s="18" t="str">
        <f ca="1">IF('＠MFP (LSI name)'!W62="","",IF(COUNTIF('＠MFP (LSI name)'!W62,"Serial*")+COUNTIF('＠MFP (LSI name)'!W62,"Analog*")&gt;0,'＠MFP (LSI name)'!W62,OFFSET('＠グループ、表示名'!$H$4,MATCH('＠MFP (LSI name)'!W62,'＠グループ、表示名'!$D$4:$D$250,0)-1,0)))</f>
        <v/>
      </c>
      <c r="X62" s="18" t="str">
        <f ca="1">IF('＠MFP (LSI name)'!X62="","",IF(COUNTIF('＠MFP (LSI name)'!X62,"Serial*")+COUNTIF('＠MFP (LSI name)'!X62,"Analog*")&gt;0,'＠MFP (LSI name)'!X62,OFFSET('＠グループ、表示名'!$H$4,MATCH('＠MFP (LSI name)'!X62,'＠グループ、表示名'!$D$4:$D$250,0)-1,0)))</f>
        <v/>
      </c>
      <c r="Y62" s="18" t="str">
        <f ca="1">IF('＠MFP (LSI name)'!Y62="","",IF(COUNTIF('＠MFP (LSI name)'!Y62,"Serial*")+COUNTIF('＠MFP (LSI name)'!Y62,"Analog*")&gt;0,'＠MFP (LSI name)'!Y62,OFFSET('＠グループ、表示名'!$H$4,MATCH('＠MFP (LSI name)'!Y62,'＠グループ、表示名'!$D$4:$D$250,0)-1,0)))</f>
        <v/>
      </c>
      <c r="Z62" s="18" t="str">
        <f ca="1">IF('＠MFP (LSI name)'!Z62="","",IF(COUNTIF('＠MFP (LSI name)'!Z62,"Serial*")+COUNTIF('＠MFP (LSI name)'!Z62,"Analog*")&gt;0,'＠MFP (LSI name)'!Z62,OFFSET('＠グループ、表示名'!$H$4,MATCH('＠MFP (LSI name)'!Z62,'＠グループ、表示名'!$D$4:$D$250,0)-1,0)))</f>
        <v/>
      </c>
      <c r="AA62" s="69" t="str">
        <f ca="1">IF('＠MFP (LSI name)'!AA62="","",IF(COUNTIF('＠MFP (LSI name)'!AA62,"Serial*")+COUNTIF('＠MFP (LSI name)'!AA62,"Analog*")&gt;0,'＠MFP (LSI name)'!AA62,OFFSET('＠グループ、表示名'!$H$4,MATCH('＠MFP (LSI name)'!AA62,'＠グループ、表示名'!$D$4:$D$250,0)-1,0)))</f>
        <v/>
      </c>
      <c r="AB62" s="18" t="str">
        <f ca="1">IF('＠MFP (LSI name)'!AB62="","",IF(COUNTIF('＠MFP (LSI name)'!AB62,"Serial*")+COUNTIF('＠MFP (LSI name)'!AB62,"Analog*")&gt;0,'＠MFP (LSI name)'!AB62,OFFSET('＠グループ、表示名'!$H$4,MATCH('＠MFP (LSI name)'!AB62,'＠グループ、表示名'!$D$4:$D$250,0)-1,0)))</f>
        <v/>
      </c>
      <c r="AC62" s="18" t="str">
        <f ca="1">IF('＠MFP (LSI name)'!AC62="","",IF(COUNTIF('＠MFP (LSI name)'!AC62,"Serial*")+COUNTIF('＠MFP (LSI name)'!AC62,"Analog*")&gt;0,'＠MFP (LSI name)'!AC62,OFFSET('＠グループ、表示名'!$H$4,MATCH('＠MFP (LSI name)'!AC62,'＠グループ、表示名'!$D$4:$D$250,0)-1,0)))</f>
        <v/>
      </c>
      <c r="AD62" s="18" t="str">
        <f ca="1">IF('＠MFP (LSI name)'!AD62="","",IF(COUNTIF('＠MFP (LSI name)'!AD62,"Serial*")+COUNTIF('＠MFP (LSI name)'!AD62,"Analog*")&gt;0,'＠MFP (LSI name)'!AD62,OFFSET('＠グループ、表示名'!$H$4,MATCH('＠MFP (LSI name)'!AD62,'＠グループ、表示名'!$D$4:$D$250,0)-1,0)))</f>
        <v/>
      </c>
      <c r="AE62" s="18" t="str">
        <f ca="1">IF('＠MFP (LSI name)'!AE62="","",IF(COUNTIF('＠MFP (LSI name)'!AE62,"Serial*")+COUNTIF('＠MFP (LSI name)'!AE62,"Analog*")&gt;0,'＠MFP (LSI name)'!AE62,OFFSET('＠グループ、表示名'!$H$4,MATCH('＠MFP (LSI name)'!AE62,'＠グループ、表示名'!$D$4:$D$250,0)-1,0)))</f>
        <v/>
      </c>
      <c r="AF62" s="69" t="str">
        <f ca="1">IF('＠MFP (LSI name)'!AF62="","",IF(COUNTIF('＠MFP (LSI name)'!AF62,"Serial*")+COUNTIF('＠MFP (LSI name)'!AF62,"Analog*")&gt;0,'＠MFP (LSI name)'!AF62,OFFSET('＠グループ、表示名'!$H$4,MATCH('＠MFP (LSI name)'!AF62,'＠グループ、表示名'!$D$4:$D$250,0)-1,0)))</f>
        <v/>
      </c>
      <c r="AG62" s="18" t="str">
        <f ca="1">IF('＠MFP (LSI name)'!AG62="","",IF(COUNTIF('＠MFP (LSI name)'!AG62,"Serial*")+COUNTIF('＠MFP (LSI name)'!AG62,"Analog*")&gt;0,'＠MFP (LSI name)'!AG62,OFFSET('＠グループ、表示名'!$H$4,MATCH('＠MFP (LSI name)'!AG62,'＠グループ、表示名'!$D$4:$D$250,0)-1,0)))</f>
        <v/>
      </c>
      <c r="AH62" s="18" t="str">
        <f ca="1">IF('＠MFP (LSI name)'!AH62="","",IF(COUNTIF('＠MFP (LSI name)'!AH62,"Serial*")+COUNTIF('＠MFP (LSI name)'!AH62,"Analog*")&gt;0,'＠MFP (LSI name)'!AH62,OFFSET('＠グループ、表示名'!$H$4,MATCH('＠MFP (LSI name)'!AH62,'＠グループ、表示名'!$D$4:$D$250,0)-1,0)))</f>
        <v/>
      </c>
      <c r="AI62" s="18" t="str">
        <f ca="1">IF('＠MFP (LSI name)'!AI62="","",IF(COUNTIF('＠MFP (LSI name)'!AI62,"Serial*")+COUNTIF('＠MFP (LSI name)'!AI62,"Analog*")&gt;0,'＠MFP (LSI name)'!AI62,OFFSET('＠グループ、表示名'!$H$4,MATCH('＠MFP (LSI name)'!AI62,'＠グループ、表示名'!$D$4:$D$250,0)-1,0)))</f>
        <v/>
      </c>
      <c r="AJ62" s="18" t="str">
        <f ca="1">IF('＠MFP (LSI name)'!AJ62="","",IF(COUNTIF('＠MFP (LSI name)'!AJ62,"Serial*")+COUNTIF('＠MFP (LSI name)'!AJ62,"Analog*")&gt;0,'＠MFP (LSI name)'!AJ62,OFFSET('＠グループ、表示名'!$H$4,MATCH('＠MFP (LSI name)'!AJ62,'＠グループ、表示名'!$D$4:$D$250,0)-1,0)))</f>
        <v/>
      </c>
      <c r="AK62" s="69" t="str">
        <f ca="1">IF('＠MFP (LSI name)'!AK62="","",IF(COUNTIF('＠MFP (LSI name)'!AK62,"Serial*")+COUNTIF('＠MFP (LSI name)'!AK62,"Analog*")&gt;0,'＠MFP (LSI name)'!AK62,OFFSET('＠グループ、表示名'!$H$4,MATCH('＠MFP (LSI name)'!AK62,'＠グループ、表示名'!$D$4:$D$250,0)-1,0)))</f>
        <v/>
      </c>
      <c r="AL62" s="9" t="str">
        <f t="shared" si="4"/>
        <v>IOP7MD[3]</v>
      </c>
      <c r="AM62" s="9" t="str">
        <f t="shared" si="5"/>
        <v>IOP7MD[2]</v>
      </c>
      <c r="AN62" s="9" t="str">
        <f t="shared" si="6"/>
        <v>IOP7MD[1]</v>
      </c>
      <c r="AO62" s="9" t="str">
        <f t="shared" si="7"/>
        <v>IOP7MD[0]</v>
      </c>
      <c r="AP62" s="86"/>
    </row>
    <row r="63" spans="1:42" ht="16.149999999999999">
      <c r="A63" s="60">
        <v>58</v>
      </c>
      <c r="B63" s="7">
        <v>58</v>
      </c>
      <c r="C63" s="7"/>
      <c r="D63" s="87"/>
      <c r="E63" s="87"/>
      <c r="F63" s="7">
        <v>58</v>
      </c>
      <c r="G63" s="7"/>
      <c r="H63" s="87"/>
      <c r="I63" s="45" t="s">
        <v>531</v>
      </c>
      <c r="J63" s="45" t="s">
        <v>532</v>
      </c>
      <c r="K63" s="69" t="str">
        <f ca="1">IF('＠MFP (LSI name)'!K63="","",IF(COUNTIF('＠MFP (LSI name)'!K63,"Serial*")+COUNTIF('＠MFP (LSI name)'!K63,"Analog*")&gt;0,'＠MFP (LSI name)'!K63,OFFSET('＠グループ、表示名'!$H$4,MATCH('＠MFP (LSI name)'!K63,'＠グループ、表示名'!$D$4:$D$250,0)-1,0)))</f>
        <v>TM00A</v>
      </c>
      <c r="L63" s="69" t="str">
        <f ca="1">IF('＠MFP (LSI name)'!L63="","",IF(COUNTIF('＠MFP (LSI name)'!L63,"Serial*")+COUNTIF('＠MFP (LSI name)'!L63,"Analog*")&gt;0,'＠MFP (LSI name)'!L63,OFFSET('＠グループ、表示名'!$H$4,MATCH('＠MFP (LSI name)'!L63,'＠グループ、表示名'!$D$4:$D$250,0)-1,0)))</f>
        <v>TM11A</v>
      </c>
      <c r="M63" s="69" t="str">
        <f ca="1">IF('＠MFP (LSI name)'!M63="","",IF(COUNTIF('＠MFP (LSI name)'!M63,"Serial*")+COUNTIF('＠MFP (LSI name)'!M63,"Analog*")&gt;0,'＠MFP (LSI name)'!M63,OFFSET('＠グループ、表示名'!$H$4,MATCH('＠MFP (LSI name)'!M63,'＠グループ、表示名'!$D$4:$D$250,0)-1,0)))</f>
        <v>GPWM0_GPWM00</v>
      </c>
      <c r="N63" s="69" t="str">
        <f ca="1">IF('＠MFP (LSI name)'!N63="","",IF(COUNTIF('＠MFP (LSI name)'!N63,"Serial*")+COUNTIF('＠MFP (LSI name)'!N63,"Analog*")&gt;0,'＠MFP (LSI name)'!N63,OFFSET('＠グループ、表示名'!$H$4,MATCH('＠MFP (LSI name)'!N63,'＠グループ、表示名'!$D$4:$D$250,0)-1,0)))</f>
        <v/>
      </c>
      <c r="O63" s="69" t="str">
        <f ca="1">IF('＠MFP (LSI name)'!O63="","",IF(COUNTIF('＠MFP (LSI name)'!O63,"Serial*")+COUNTIF('＠MFP (LSI name)'!O63,"Analog*")&gt;0,'＠MFP (LSI name)'!O63,OFFSET('＠グループ、表示名'!$H$4,MATCH('＠MFP (LSI name)'!O63,'＠グループ、表示名'!$D$4:$D$250,0)-1,0)))</f>
        <v/>
      </c>
      <c r="P63" s="69" t="str">
        <f ca="1">IF('＠MFP (LSI name)'!P63="","",IF(COUNTIF('＠MFP (LSI name)'!P63,"Serial*")+COUNTIF('＠MFP (LSI name)'!P63,"Analog*")&gt;0,'＠MFP (LSI name)'!P63,OFFSET('＠グループ、表示名'!$H$4,MATCH('＠MFP (LSI name)'!P63,'＠グループ、表示名'!$D$4:$D$250,0)-1,0)))</f>
        <v/>
      </c>
      <c r="Q63" s="69" t="str">
        <f ca="1">IF('＠MFP (LSI name)'!Q63="","",IF(COUNTIF('＠MFP (LSI name)'!Q63,"Serial*")+COUNTIF('＠MFP (LSI name)'!Q63,"Analog*")&gt;0,'＠MFP (LSI name)'!Q63,OFFSET('＠グループ、表示名'!$H$4,MATCH('＠MFP (LSI name)'!Q63,'＠グループ、表示名'!$D$4:$D$250,0)-1,0)))</f>
        <v/>
      </c>
      <c r="R63" s="69" t="str">
        <f ca="1">IF('＠MFP (LSI name)'!R63="","",IF(COUNTIF('＠MFP (LSI name)'!R63,"Serial*")+COUNTIF('＠MFP (LSI name)'!R63,"Analog*")&gt;0,'＠MFP (LSI name)'!R63,OFFSET('＠グループ、表示名'!$H$4,MATCH('＠MFP (LSI name)'!R63,'＠グループ、表示名'!$D$4:$D$250,0)-1,0)))</f>
        <v/>
      </c>
      <c r="S63" s="69" t="str">
        <f ca="1">IF('＠MFP (LSI name)'!S63="","",IF(COUNTIF('＠MFP (LSI name)'!S63,"Serial*")+COUNTIF('＠MFP (LSI name)'!S63,"Analog*")&gt;0,'＠MFP (LSI name)'!S63,OFFSET('＠グループ、表示名'!$H$4,MATCH('＠MFP (LSI name)'!S63,'＠グループ、表示名'!$D$4:$D$250,0)-1,0)))</f>
        <v/>
      </c>
      <c r="T63" s="69" t="str">
        <f ca="1">IF('＠MFP (LSI name)'!T63="","",IF(COUNTIF('＠MFP (LSI name)'!T63,"Serial*")+COUNTIF('＠MFP (LSI name)'!T63,"Analog*")&gt;0,'＠MFP (LSI name)'!T63,OFFSET('＠グループ、表示名'!$H$4,MATCH('＠MFP (LSI name)'!T63,'＠グループ、表示名'!$D$4:$D$250,0)-1,0)))</f>
        <v/>
      </c>
      <c r="U63" s="69" t="str">
        <f ca="1">IF('＠MFP (LSI name)'!U63="","",IF(COUNTIF('＠MFP (LSI name)'!U63,"Serial*")+COUNTIF('＠MFP (LSI name)'!U63,"Analog*")&gt;0,'＠MFP (LSI name)'!U63,OFFSET('＠グループ、表示名'!$H$4,MATCH('＠MFP (LSI name)'!U63,'＠グループ、表示名'!$D$4:$D$250,0)-1,0)))</f>
        <v/>
      </c>
      <c r="V63" s="18" t="str">
        <f ca="1">IF('＠MFP (LSI name)'!V63="","",IF(COUNTIF('＠MFP (LSI name)'!V63,"Serial*")+COUNTIF('＠MFP (LSI name)'!V63,"Analog*")&gt;0,'＠MFP (LSI name)'!V63,OFFSET('＠グループ、表示名'!$H$4,MATCH('＠MFP (LSI name)'!V63,'＠グループ、表示名'!$D$4:$D$250,0)-1,0)))</f>
        <v/>
      </c>
      <c r="W63" s="18" t="str">
        <f ca="1">IF('＠MFP (LSI name)'!W63="","",IF(COUNTIF('＠MFP (LSI name)'!W63,"Serial*")+COUNTIF('＠MFP (LSI name)'!W63,"Analog*")&gt;0,'＠MFP (LSI name)'!W63,OFFSET('＠グループ、表示名'!$H$4,MATCH('＠MFP (LSI name)'!W63,'＠グループ、表示名'!$D$4:$D$250,0)-1,0)))</f>
        <v/>
      </c>
      <c r="X63" s="18" t="str">
        <f ca="1">IF('＠MFP (LSI name)'!X63="","",IF(COUNTIF('＠MFP (LSI name)'!X63,"Serial*")+COUNTIF('＠MFP (LSI name)'!X63,"Analog*")&gt;0,'＠MFP (LSI name)'!X63,OFFSET('＠グループ、表示名'!$H$4,MATCH('＠MFP (LSI name)'!X63,'＠グループ、表示名'!$D$4:$D$250,0)-1,0)))</f>
        <v/>
      </c>
      <c r="Y63" s="18" t="str">
        <f ca="1">IF('＠MFP (LSI name)'!Y63="","",IF(COUNTIF('＠MFP (LSI name)'!Y63,"Serial*")+COUNTIF('＠MFP (LSI name)'!Y63,"Analog*")&gt;0,'＠MFP (LSI name)'!Y63,OFFSET('＠グループ、表示名'!$H$4,MATCH('＠MFP (LSI name)'!Y63,'＠グループ、表示名'!$D$4:$D$250,0)-1,0)))</f>
        <v/>
      </c>
      <c r="Z63" s="18" t="str">
        <f ca="1">IF('＠MFP (LSI name)'!Z63="","",IF(COUNTIF('＠MFP (LSI name)'!Z63,"Serial*")+COUNTIF('＠MFP (LSI name)'!Z63,"Analog*")&gt;0,'＠MFP (LSI name)'!Z63,OFFSET('＠グループ、表示名'!$H$4,MATCH('＠MFP (LSI name)'!Z63,'＠グループ、表示名'!$D$4:$D$250,0)-1,0)))</f>
        <v/>
      </c>
      <c r="AA63" s="69" t="str">
        <f ca="1">IF('＠MFP (LSI name)'!AA63="","",IF(COUNTIF('＠MFP (LSI name)'!AA63,"Serial*")+COUNTIF('＠MFP (LSI name)'!AA63,"Analog*")&gt;0,'＠MFP (LSI name)'!AA63,OFFSET('＠グループ、表示名'!$H$4,MATCH('＠MFP (LSI name)'!AA63,'＠グループ、表示名'!$D$4:$D$250,0)-1,0)))</f>
        <v/>
      </c>
      <c r="AB63" s="18" t="str">
        <f ca="1">IF('＠MFP (LSI name)'!AB63="","",IF(COUNTIF('＠MFP (LSI name)'!AB63,"Serial*")+COUNTIF('＠MFP (LSI name)'!AB63,"Analog*")&gt;0,'＠MFP (LSI name)'!AB63,OFFSET('＠グループ、表示名'!$H$4,MATCH('＠MFP (LSI name)'!AB63,'＠グループ、表示名'!$D$4:$D$250,0)-1,0)))</f>
        <v/>
      </c>
      <c r="AC63" s="18" t="str">
        <f ca="1">IF('＠MFP (LSI name)'!AC63="","",IF(COUNTIF('＠MFP (LSI name)'!AC63,"Serial*")+COUNTIF('＠MFP (LSI name)'!AC63,"Analog*")&gt;0,'＠MFP (LSI name)'!AC63,OFFSET('＠グループ、表示名'!$H$4,MATCH('＠MFP (LSI name)'!AC63,'＠グループ、表示名'!$D$4:$D$250,0)-1,0)))</f>
        <v/>
      </c>
      <c r="AD63" s="18" t="str">
        <f ca="1">IF('＠MFP (LSI name)'!AD63="","",IF(COUNTIF('＠MFP (LSI name)'!AD63,"Serial*")+COUNTIF('＠MFP (LSI name)'!AD63,"Analog*")&gt;0,'＠MFP (LSI name)'!AD63,OFFSET('＠グループ、表示名'!$H$4,MATCH('＠MFP (LSI name)'!AD63,'＠グループ、表示名'!$D$4:$D$250,0)-1,0)))</f>
        <v/>
      </c>
      <c r="AE63" s="18" t="str">
        <f ca="1">IF('＠MFP (LSI name)'!AE63="","",IF(COUNTIF('＠MFP (LSI name)'!AE63,"Serial*")+COUNTIF('＠MFP (LSI name)'!AE63,"Analog*")&gt;0,'＠MFP (LSI name)'!AE63,OFFSET('＠グループ、表示名'!$H$4,MATCH('＠MFP (LSI name)'!AE63,'＠グループ、表示名'!$D$4:$D$250,0)-1,0)))</f>
        <v/>
      </c>
      <c r="AF63" s="69" t="str">
        <f ca="1">IF('＠MFP (LSI name)'!AF63="","",IF(COUNTIF('＠MFP (LSI name)'!AF63,"Serial*")+COUNTIF('＠MFP (LSI name)'!AF63,"Analog*")&gt;0,'＠MFP (LSI name)'!AF63,OFFSET('＠グループ、表示名'!$H$4,MATCH('＠MFP (LSI name)'!AF63,'＠グループ、表示名'!$D$4:$D$250,0)-1,0)))</f>
        <v/>
      </c>
      <c r="AG63" s="18" t="str">
        <f ca="1">IF('＠MFP (LSI name)'!AG63="","",IF(COUNTIF('＠MFP (LSI name)'!AG63,"Serial*")+COUNTIF('＠MFP (LSI name)'!AG63,"Analog*")&gt;0,'＠MFP (LSI name)'!AG63,OFFSET('＠グループ、表示名'!$H$4,MATCH('＠MFP (LSI name)'!AG63,'＠グループ、表示名'!$D$4:$D$250,0)-1,0)))</f>
        <v/>
      </c>
      <c r="AH63" s="18" t="str">
        <f ca="1">IF('＠MFP (LSI name)'!AH63="","",IF(COUNTIF('＠MFP (LSI name)'!AH63,"Serial*")+COUNTIF('＠MFP (LSI name)'!AH63,"Analog*")&gt;0,'＠MFP (LSI name)'!AH63,OFFSET('＠グループ、表示名'!$H$4,MATCH('＠MFP (LSI name)'!AH63,'＠グループ、表示名'!$D$4:$D$250,0)-1,0)))</f>
        <v/>
      </c>
      <c r="AI63" s="18" t="str">
        <f ca="1">IF('＠MFP (LSI name)'!AI63="","",IF(COUNTIF('＠MFP (LSI name)'!AI63,"Serial*")+COUNTIF('＠MFP (LSI name)'!AI63,"Analog*")&gt;0,'＠MFP (LSI name)'!AI63,OFFSET('＠グループ、表示名'!$H$4,MATCH('＠MFP (LSI name)'!AI63,'＠グループ、表示名'!$D$4:$D$250,0)-1,0)))</f>
        <v/>
      </c>
      <c r="AJ63" s="18" t="str">
        <f ca="1">IF('＠MFP (LSI name)'!AJ63="","",IF(COUNTIF('＠MFP (LSI name)'!AJ63,"Serial*")+COUNTIF('＠MFP (LSI name)'!AJ63,"Analog*")&gt;0,'＠MFP (LSI name)'!AJ63,OFFSET('＠グループ、表示名'!$H$4,MATCH('＠MFP (LSI name)'!AJ63,'＠グループ、表示名'!$D$4:$D$250,0)-1,0)))</f>
        <v/>
      </c>
      <c r="AK63" s="69" t="str">
        <f ca="1">IF('＠MFP (LSI name)'!AK63="","",IF(COUNTIF('＠MFP (LSI name)'!AK63,"Serial*")+COUNTIF('＠MFP (LSI name)'!AK63,"Analog*")&gt;0,'＠MFP (LSI name)'!AK63,OFFSET('＠グループ、表示名'!$H$4,MATCH('＠MFP (LSI name)'!AK63,'＠グループ、表示名'!$D$4:$D$250,0)-1,0)))</f>
        <v/>
      </c>
      <c r="AL63" s="9" t="str">
        <f t="shared" si="4"/>
        <v>IOP3MD[15]</v>
      </c>
      <c r="AM63" s="9" t="str">
        <f t="shared" si="5"/>
        <v>IOP3MD[14]</v>
      </c>
      <c r="AN63" s="9" t="str">
        <f t="shared" si="6"/>
        <v>IOP3MD[13]</v>
      </c>
      <c r="AO63" s="9" t="str">
        <f t="shared" si="7"/>
        <v>IOP3MD[12]</v>
      </c>
      <c r="AP63" s="86"/>
    </row>
    <row r="64" spans="1:42" ht="16.149999999999999">
      <c r="A64" s="60">
        <v>59</v>
      </c>
      <c r="B64" s="7">
        <v>59</v>
      </c>
      <c r="C64" s="7"/>
      <c r="D64" s="87"/>
      <c r="E64" s="87"/>
      <c r="F64" s="7">
        <v>59</v>
      </c>
      <c r="G64" s="7"/>
      <c r="H64" s="87"/>
      <c r="I64" s="45" t="s">
        <v>533</v>
      </c>
      <c r="J64" s="45" t="s">
        <v>534</v>
      </c>
      <c r="K64" s="69" t="str">
        <f ca="1">IF('＠MFP (LSI name)'!K64="","",IF(COUNTIF('＠MFP (LSI name)'!K64,"Serial*")+COUNTIF('＠MFP (LSI name)'!K64,"Analog*")&gt;0,'＠MFP (LSI name)'!K64,OFFSET('＠グループ、表示名'!$H$4,MATCH('＠MFP (LSI name)'!K64,'＠グループ、表示名'!$D$4:$D$250,0)-1,0)))</f>
        <v>TM06A</v>
      </c>
      <c r="L64" s="69" t="str">
        <f ca="1">IF('＠MFP (LSI name)'!L64="","",IF(COUNTIF('＠MFP (LSI name)'!L64,"Serial*")+COUNTIF('＠MFP (LSI name)'!L64,"Analog*")&gt;0,'＠MFP (LSI name)'!L64,OFFSET('＠グループ、表示名'!$H$4,MATCH('＠MFP (LSI name)'!L64,'＠グループ、表示名'!$D$4:$D$250,0)-1,0)))</f>
        <v>TM11B</v>
      </c>
      <c r="M64" s="69" t="str">
        <f ca="1">IF('＠MFP (LSI name)'!M64="","",IF(COUNTIF('＠MFP (LSI name)'!M64,"Serial*")+COUNTIF('＠MFP (LSI name)'!M64,"Analog*")&gt;0,'＠MFP (LSI name)'!M64,OFFSET('＠グループ、表示名'!$H$4,MATCH('＠MFP (LSI name)'!M64,'＠グループ、表示名'!$D$4:$D$250,0)-1,0)))</f>
        <v>GPWM1_GPWM10</v>
      </c>
      <c r="N64" s="69" t="str">
        <f ca="1">IF('＠MFP (LSI name)'!N64="","",IF(COUNTIF('＠MFP (LSI name)'!N64,"Serial*")+COUNTIF('＠MFP (LSI name)'!N64,"Analog*")&gt;0,'＠MFP (LSI name)'!N64,OFFSET('＠グループ、表示名'!$H$4,MATCH('＠MFP (LSI name)'!N64,'＠グループ、表示名'!$D$4:$D$250,0)-1,0)))</f>
        <v/>
      </c>
      <c r="O64" s="69" t="str">
        <f ca="1">IF('＠MFP (LSI name)'!O64="","",IF(COUNTIF('＠MFP (LSI name)'!O64,"Serial*")+COUNTIF('＠MFP (LSI name)'!O64,"Analog*")&gt;0,'＠MFP (LSI name)'!O64,OFFSET('＠グループ、表示名'!$H$4,MATCH('＠MFP (LSI name)'!O64,'＠グループ、表示名'!$D$4:$D$250,0)-1,0)))</f>
        <v/>
      </c>
      <c r="P64" s="69" t="str">
        <f ca="1">IF('＠MFP (LSI name)'!P64="","",IF(COUNTIF('＠MFP (LSI name)'!P64,"Serial*")+COUNTIF('＠MFP (LSI name)'!P64,"Analog*")&gt;0,'＠MFP (LSI name)'!P64,OFFSET('＠グループ、表示名'!$H$4,MATCH('＠MFP (LSI name)'!P64,'＠グループ、表示名'!$D$4:$D$250,0)-1,0)))</f>
        <v/>
      </c>
      <c r="Q64" s="69" t="str">
        <f ca="1">IF('＠MFP (LSI name)'!Q64="","",IF(COUNTIF('＠MFP (LSI name)'!Q64,"Serial*")+COUNTIF('＠MFP (LSI name)'!Q64,"Analog*")&gt;0,'＠MFP (LSI name)'!Q64,OFFSET('＠グループ、表示名'!$H$4,MATCH('＠MFP (LSI name)'!Q64,'＠グループ、表示名'!$D$4:$D$250,0)-1,0)))</f>
        <v/>
      </c>
      <c r="R64" s="69" t="str">
        <f ca="1">IF('＠MFP (LSI name)'!R64="","",IF(COUNTIF('＠MFP (LSI name)'!R64,"Serial*")+COUNTIF('＠MFP (LSI name)'!R64,"Analog*")&gt;0,'＠MFP (LSI name)'!R64,OFFSET('＠グループ、表示名'!$H$4,MATCH('＠MFP (LSI name)'!R64,'＠グループ、表示名'!$D$4:$D$250,0)-1,0)))</f>
        <v/>
      </c>
      <c r="S64" s="69" t="str">
        <f ca="1">IF('＠MFP (LSI name)'!S64="","",IF(COUNTIF('＠MFP (LSI name)'!S64,"Serial*")+COUNTIF('＠MFP (LSI name)'!S64,"Analog*")&gt;0,'＠MFP (LSI name)'!S64,OFFSET('＠グループ、表示名'!$H$4,MATCH('＠MFP (LSI name)'!S64,'＠グループ、表示名'!$D$4:$D$250,0)-1,0)))</f>
        <v/>
      </c>
      <c r="T64" s="69" t="str">
        <f ca="1">IF('＠MFP (LSI name)'!T64="","",IF(COUNTIF('＠MFP (LSI name)'!T64,"Serial*")+COUNTIF('＠MFP (LSI name)'!T64,"Analog*")&gt;0,'＠MFP (LSI name)'!T64,OFFSET('＠グループ、表示名'!$H$4,MATCH('＠MFP (LSI name)'!T64,'＠グループ、表示名'!$D$4:$D$250,0)-1,0)))</f>
        <v/>
      </c>
      <c r="U64" s="69" t="str">
        <f ca="1">IF('＠MFP (LSI name)'!U64="","",IF(COUNTIF('＠MFP (LSI name)'!U64,"Serial*")+COUNTIF('＠MFP (LSI name)'!U64,"Analog*")&gt;0,'＠MFP (LSI name)'!U64,OFFSET('＠グループ、表示名'!$H$4,MATCH('＠MFP (LSI name)'!U64,'＠グループ、表示名'!$D$4:$D$250,0)-1,0)))</f>
        <v/>
      </c>
      <c r="V64" s="18" t="str">
        <f ca="1">IF('＠MFP (LSI name)'!V64="","",IF(COUNTIF('＠MFP (LSI name)'!V64,"Serial*")+COUNTIF('＠MFP (LSI name)'!V64,"Analog*")&gt;0,'＠MFP (LSI name)'!V64,OFFSET('＠グループ、表示名'!$H$4,MATCH('＠MFP (LSI name)'!V64,'＠グループ、表示名'!$D$4:$D$250,0)-1,0)))</f>
        <v/>
      </c>
      <c r="W64" s="18" t="str">
        <f ca="1">IF('＠MFP (LSI name)'!W64="","",IF(COUNTIF('＠MFP (LSI name)'!W64,"Serial*")+COUNTIF('＠MFP (LSI name)'!W64,"Analog*")&gt;0,'＠MFP (LSI name)'!W64,OFFSET('＠グループ、表示名'!$H$4,MATCH('＠MFP (LSI name)'!W64,'＠グループ、表示名'!$D$4:$D$250,0)-1,0)))</f>
        <v/>
      </c>
      <c r="X64" s="18" t="str">
        <f ca="1">IF('＠MFP (LSI name)'!X64="","",IF(COUNTIF('＠MFP (LSI name)'!X64,"Serial*")+COUNTIF('＠MFP (LSI name)'!X64,"Analog*")&gt;0,'＠MFP (LSI name)'!X64,OFFSET('＠グループ、表示名'!$H$4,MATCH('＠MFP (LSI name)'!X64,'＠グループ、表示名'!$D$4:$D$250,0)-1,0)))</f>
        <v/>
      </c>
      <c r="Y64" s="18" t="str">
        <f ca="1">IF('＠MFP (LSI name)'!Y64="","",IF(COUNTIF('＠MFP (LSI name)'!Y64,"Serial*")+COUNTIF('＠MFP (LSI name)'!Y64,"Analog*")&gt;0,'＠MFP (LSI name)'!Y64,OFFSET('＠グループ、表示名'!$H$4,MATCH('＠MFP (LSI name)'!Y64,'＠グループ、表示名'!$D$4:$D$250,0)-1,0)))</f>
        <v/>
      </c>
      <c r="Z64" s="18" t="str">
        <f ca="1">IF('＠MFP (LSI name)'!Z64="","",IF(COUNTIF('＠MFP (LSI name)'!Z64,"Serial*")+COUNTIF('＠MFP (LSI name)'!Z64,"Analog*")&gt;0,'＠MFP (LSI name)'!Z64,OFFSET('＠グループ、表示名'!$H$4,MATCH('＠MFP (LSI name)'!Z64,'＠グループ、表示名'!$D$4:$D$250,0)-1,0)))</f>
        <v/>
      </c>
      <c r="AA64" s="69" t="str">
        <f ca="1">IF('＠MFP (LSI name)'!AA64="","",IF(COUNTIF('＠MFP (LSI name)'!AA64,"Serial*")+COUNTIF('＠MFP (LSI name)'!AA64,"Analog*")&gt;0,'＠MFP (LSI name)'!AA64,OFFSET('＠グループ、表示名'!$H$4,MATCH('＠MFP (LSI name)'!AA64,'＠グループ、表示名'!$D$4:$D$250,0)-1,0)))</f>
        <v/>
      </c>
      <c r="AB64" s="18" t="str">
        <f ca="1">IF('＠MFP (LSI name)'!AB64="","",IF(COUNTIF('＠MFP (LSI name)'!AB64,"Serial*")+COUNTIF('＠MFP (LSI name)'!AB64,"Analog*")&gt;0,'＠MFP (LSI name)'!AB64,OFFSET('＠グループ、表示名'!$H$4,MATCH('＠MFP (LSI name)'!AB64,'＠グループ、表示名'!$D$4:$D$250,0)-1,0)))</f>
        <v/>
      </c>
      <c r="AC64" s="18" t="str">
        <f ca="1">IF('＠MFP (LSI name)'!AC64="","",IF(COUNTIF('＠MFP (LSI name)'!AC64,"Serial*")+COUNTIF('＠MFP (LSI name)'!AC64,"Analog*")&gt;0,'＠MFP (LSI name)'!AC64,OFFSET('＠グループ、表示名'!$H$4,MATCH('＠MFP (LSI name)'!AC64,'＠グループ、表示名'!$D$4:$D$250,0)-1,0)))</f>
        <v/>
      </c>
      <c r="AD64" s="18" t="str">
        <f ca="1">IF('＠MFP (LSI name)'!AD64="","",IF(COUNTIF('＠MFP (LSI name)'!AD64,"Serial*")+COUNTIF('＠MFP (LSI name)'!AD64,"Analog*")&gt;0,'＠MFP (LSI name)'!AD64,OFFSET('＠グループ、表示名'!$H$4,MATCH('＠MFP (LSI name)'!AD64,'＠グループ、表示名'!$D$4:$D$250,0)-1,0)))</f>
        <v/>
      </c>
      <c r="AE64" s="18" t="str">
        <f ca="1">IF('＠MFP (LSI name)'!AE64="","",IF(COUNTIF('＠MFP (LSI name)'!AE64,"Serial*")+COUNTIF('＠MFP (LSI name)'!AE64,"Analog*")&gt;0,'＠MFP (LSI name)'!AE64,OFFSET('＠グループ、表示名'!$H$4,MATCH('＠MFP (LSI name)'!AE64,'＠グループ、表示名'!$D$4:$D$250,0)-1,0)))</f>
        <v/>
      </c>
      <c r="AF64" s="69" t="str">
        <f ca="1">IF('＠MFP (LSI name)'!AF64="","",IF(COUNTIF('＠MFP (LSI name)'!AF64,"Serial*")+COUNTIF('＠MFP (LSI name)'!AF64,"Analog*")&gt;0,'＠MFP (LSI name)'!AF64,OFFSET('＠グループ、表示名'!$H$4,MATCH('＠MFP (LSI name)'!AF64,'＠グループ、表示名'!$D$4:$D$250,0)-1,0)))</f>
        <v/>
      </c>
      <c r="AG64" s="18" t="str">
        <f ca="1">IF('＠MFP (LSI name)'!AG64="","",IF(COUNTIF('＠MFP (LSI name)'!AG64,"Serial*")+COUNTIF('＠MFP (LSI name)'!AG64,"Analog*")&gt;0,'＠MFP (LSI name)'!AG64,OFFSET('＠グループ、表示名'!$H$4,MATCH('＠MFP (LSI name)'!AG64,'＠グループ、表示名'!$D$4:$D$250,0)-1,0)))</f>
        <v/>
      </c>
      <c r="AH64" s="18" t="str">
        <f ca="1">IF('＠MFP (LSI name)'!AH64="","",IF(COUNTIF('＠MFP (LSI name)'!AH64,"Serial*")+COUNTIF('＠MFP (LSI name)'!AH64,"Analog*")&gt;0,'＠MFP (LSI name)'!AH64,OFFSET('＠グループ、表示名'!$H$4,MATCH('＠MFP (LSI name)'!AH64,'＠グループ、表示名'!$D$4:$D$250,0)-1,0)))</f>
        <v/>
      </c>
      <c r="AI64" s="18" t="str">
        <f ca="1">IF('＠MFP (LSI name)'!AI64="","",IF(COUNTIF('＠MFP (LSI name)'!AI64,"Serial*")+COUNTIF('＠MFP (LSI name)'!AI64,"Analog*")&gt;0,'＠MFP (LSI name)'!AI64,OFFSET('＠グループ、表示名'!$H$4,MATCH('＠MFP (LSI name)'!AI64,'＠グループ、表示名'!$D$4:$D$250,0)-1,0)))</f>
        <v/>
      </c>
      <c r="AJ64" s="18" t="str">
        <f ca="1">IF('＠MFP (LSI name)'!AJ64="","",IF(COUNTIF('＠MFP (LSI name)'!AJ64,"Serial*")+COUNTIF('＠MFP (LSI name)'!AJ64,"Analog*")&gt;0,'＠MFP (LSI name)'!AJ64,OFFSET('＠グループ、表示名'!$H$4,MATCH('＠MFP (LSI name)'!AJ64,'＠グループ、表示名'!$D$4:$D$250,0)-1,0)))</f>
        <v/>
      </c>
      <c r="AK64" s="69" t="str">
        <f ca="1">IF('＠MFP (LSI name)'!AK64="","",IF(COUNTIF('＠MFP (LSI name)'!AK64,"Serial*")+COUNTIF('＠MFP (LSI name)'!AK64,"Analog*")&gt;0,'＠MFP (LSI name)'!AK64,OFFSET('＠グループ、表示名'!$H$4,MATCH('＠MFP (LSI name)'!AK64,'＠グループ、表示名'!$D$4:$D$250,0)-1,0)))</f>
        <v/>
      </c>
      <c r="AL64" s="9" t="str">
        <f t="shared" si="4"/>
        <v>IOP3MD[11]</v>
      </c>
      <c r="AM64" s="9" t="str">
        <f t="shared" si="5"/>
        <v>IOP3MD[10]</v>
      </c>
      <c r="AN64" s="9" t="str">
        <f t="shared" si="6"/>
        <v>IOP3MD[9]</v>
      </c>
      <c r="AO64" s="9" t="str">
        <f t="shared" si="7"/>
        <v>IOP3MD[8]</v>
      </c>
      <c r="AP64" s="86"/>
    </row>
    <row r="65" spans="1:42" ht="16.149999999999999">
      <c r="A65" s="60">
        <v>60</v>
      </c>
      <c r="B65" s="7">
        <v>60</v>
      </c>
      <c r="C65" s="7">
        <v>48</v>
      </c>
      <c r="D65" s="87">
        <v>39</v>
      </c>
      <c r="E65" s="87"/>
      <c r="F65" s="7">
        <v>60</v>
      </c>
      <c r="G65" s="7">
        <v>48</v>
      </c>
      <c r="H65" s="87">
        <v>39</v>
      </c>
      <c r="I65" s="45" t="s">
        <v>492</v>
      </c>
      <c r="J65" s="45" t="s">
        <v>492</v>
      </c>
      <c r="K65" s="69" t="str">
        <f ca="1">IF('＠MFP (LSI name)'!K65="","",IF(COUNTIF('＠MFP (LSI name)'!K65,"Serial*")+COUNTIF('＠MFP (LSI name)'!K65,"Analog*")&gt;0,'＠MFP (LSI name)'!K65,OFFSET('＠グループ、表示名'!$H$4,MATCH('＠MFP (LSI name)'!K65,'＠グループ、表示名'!$D$4:$D$250,0)-1,0)))</f>
        <v/>
      </c>
      <c r="L65" s="69" t="str">
        <f ca="1">IF('＠MFP (LSI name)'!L65="","",IF(COUNTIF('＠MFP (LSI name)'!L65,"Serial*")+COUNTIF('＠MFP (LSI name)'!L65,"Analog*")&gt;0,'＠MFP (LSI name)'!L65,OFFSET('＠グループ、表示名'!$H$4,MATCH('＠MFP (LSI name)'!L65,'＠グループ、表示名'!$D$4:$D$250,0)-1,0)))</f>
        <v/>
      </c>
      <c r="M65" s="69" t="str">
        <f ca="1">IF('＠MFP (LSI name)'!M65="","",IF(COUNTIF('＠MFP (LSI name)'!M65,"Serial*")+COUNTIF('＠MFP (LSI name)'!M65,"Analog*")&gt;0,'＠MFP (LSI name)'!M65,OFFSET('＠グループ、表示名'!$H$4,MATCH('＠MFP (LSI name)'!M65,'＠グループ、表示名'!$D$4:$D$250,0)-1,0)))</f>
        <v/>
      </c>
      <c r="N65" s="69" t="str">
        <f ca="1">IF('＠MFP (LSI name)'!N65="","",IF(COUNTIF('＠MFP (LSI name)'!N65,"Serial*")+COUNTIF('＠MFP (LSI name)'!N65,"Analog*")&gt;0,'＠MFP (LSI name)'!N65,OFFSET('＠グループ、表示名'!$H$4,MATCH('＠MFP (LSI name)'!N65,'＠グループ、表示名'!$D$4:$D$250,0)-1,0)))</f>
        <v/>
      </c>
      <c r="O65" s="69" t="str">
        <f ca="1">IF('＠MFP (LSI name)'!O65="","",IF(COUNTIF('＠MFP (LSI name)'!O65,"Serial*")+COUNTIF('＠MFP (LSI name)'!O65,"Analog*")&gt;0,'＠MFP (LSI name)'!O65,OFFSET('＠グループ、表示名'!$H$4,MATCH('＠MFP (LSI name)'!O65,'＠グループ、表示名'!$D$4:$D$250,0)-1,0)))</f>
        <v/>
      </c>
      <c r="P65" s="69" t="str">
        <f ca="1">IF('＠MFP (LSI name)'!P65="","",IF(COUNTIF('＠MFP (LSI name)'!P65,"Serial*")+COUNTIF('＠MFP (LSI name)'!P65,"Analog*")&gt;0,'＠MFP (LSI name)'!P65,OFFSET('＠グループ、表示名'!$H$4,MATCH('＠MFP (LSI name)'!P65,'＠グループ、表示名'!$D$4:$D$250,0)-1,0)))</f>
        <v/>
      </c>
      <c r="Q65" s="69" t="str">
        <f ca="1">IF('＠MFP (LSI name)'!Q65="","",IF(COUNTIF('＠MFP (LSI name)'!Q65,"Serial*")+COUNTIF('＠MFP (LSI name)'!Q65,"Analog*")&gt;0,'＠MFP (LSI name)'!Q65,OFFSET('＠グループ、表示名'!$H$4,MATCH('＠MFP (LSI name)'!Q65,'＠グループ、表示名'!$D$4:$D$250,0)-1,0)))</f>
        <v/>
      </c>
      <c r="R65" s="69" t="str">
        <f ca="1">IF('＠MFP (LSI name)'!R65="","",IF(COUNTIF('＠MFP (LSI name)'!R65,"Serial*")+COUNTIF('＠MFP (LSI name)'!R65,"Analog*")&gt;0,'＠MFP (LSI name)'!R65,OFFSET('＠グループ、表示名'!$H$4,MATCH('＠MFP (LSI name)'!R65,'＠グループ、表示名'!$D$4:$D$250,0)-1,0)))</f>
        <v/>
      </c>
      <c r="S65" s="69" t="str">
        <f ca="1">IF('＠MFP (LSI name)'!S65="","",IF(COUNTIF('＠MFP (LSI name)'!S65,"Serial*")+COUNTIF('＠MFP (LSI name)'!S65,"Analog*")&gt;0,'＠MFP (LSI name)'!S65,OFFSET('＠グループ、表示名'!$H$4,MATCH('＠MFP (LSI name)'!S65,'＠グループ、表示名'!$D$4:$D$250,0)-1,0)))</f>
        <v/>
      </c>
      <c r="T65" s="69" t="str">
        <f ca="1">IF('＠MFP (LSI name)'!T65="","",IF(COUNTIF('＠MFP (LSI name)'!T65,"Serial*")+COUNTIF('＠MFP (LSI name)'!T65,"Analog*")&gt;0,'＠MFP (LSI name)'!T65,OFFSET('＠グループ、表示名'!$H$4,MATCH('＠MFP (LSI name)'!T65,'＠グループ、表示名'!$D$4:$D$250,0)-1,0)))</f>
        <v/>
      </c>
      <c r="U65" s="69" t="str">
        <f ca="1">IF('＠MFP (LSI name)'!U65="","",IF(COUNTIF('＠MFP (LSI name)'!U65,"Serial*")+COUNTIF('＠MFP (LSI name)'!U65,"Analog*")&gt;0,'＠MFP (LSI name)'!U65,OFFSET('＠グループ、表示名'!$H$4,MATCH('＠MFP (LSI name)'!U65,'＠グループ、表示名'!$D$4:$D$250,0)-1,0)))</f>
        <v/>
      </c>
      <c r="V65" s="18" t="str">
        <f ca="1">IF('＠MFP (LSI name)'!V65="","",IF(COUNTIF('＠MFP (LSI name)'!V65,"Serial*")+COUNTIF('＠MFP (LSI name)'!V65,"Analog*")&gt;0,'＠MFP (LSI name)'!V65,OFFSET('＠グループ、表示名'!$H$4,MATCH('＠MFP (LSI name)'!V65,'＠グループ、表示名'!$D$4:$D$250,0)-1,0)))</f>
        <v/>
      </c>
      <c r="W65" s="18" t="str">
        <f ca="1">IF('＠MFP (LSI name)'!W65="","",IF(COUNTIF('＠MFP (LSI name)'!W65,"Serial*")+COUNTIF('＠MFP (LSI name)'!W65,"Analog*")&gt;0,'＠MFP (LSI name)'!W65,OFFSET('＠グループ、表示名'!$H$4,MATCH('＠MFP (LSI name)'!W65,'＠グループ、表示名'!$D$4:$D$250,0)-1,0)))</f>
        <v/>
      </c>
      <c r="X65" s="18" t="str">
        <f ca="1">IF('＠MFP (LSI name)'!X65="","",IF(COUNTIF('＠MFP (LSI name)'!X65,"Serial*")+COUNTIF('＠MFP (LSI name)'!X65,"Analog*")&gt;0,'＠MFP (LSI name)'!X65,OFFSET('＠グループ、表示名'!$H$4,MATCH('＠MFP (LSI name)'!X65,'＠グループ、表示名'!$D$4:$D$250,0)-1,0)))</f>
        <v/>
      </c>
      <c r="Y65" s="18" t="str">
        <f ca="1">IF('＠MFP (LSI name)'!Y65="","",IF(COUNTIF('＠MFP (LSI name)'!Y65,"Serial*")+COUNTIF('＠MFP (LSI name)'!Y65,"Analog*")&gt;0,'＠MFP (LSI name)'!Y65,OFFSET('＠グループ、表示名'!$H$4,MATCH('＠MFP (LSI name)'!Y65,'＠グループ、表示名'!$D$4:$D$250,0)-1,0)))</f>
        <v/>
      </c>
      <c r="Z65" s="18" t="str">
        <f ca="1">IF('＠MFP (LSI name)'!Z65="","",IF(COUNTIF('＠MFP (LSI name)'!Z65,"Serial*")+COUNTIF('＠MFP (LSI name)'!Z65,"Analog*")&gt;0,'＠MFP (LSI name)'!Z65,OFFSET('＠グループ、表示名'!$H$4,MATCH('＠MFP (LSI name)'!Z65,'＠グループ、表示名'!$D$4:$D$250,0)-1,0)))</f>
        <v/>
      </c>
      <c r="AA65" s="69" t="str">
        <f ca="1">IF('＠MFP (LSI name)'!AA65="","",IF(COUNTIF('＠MFP (LSI name)'!AA65,"Serial*")+COUNTIF('＠MFP (LSI name)'!AA65,"Analog*")&gt;0,'＠MFP (LSI name)'!AA65,OFFSET('＠グループ、表示名'!$H$4,MATCH('＠MFP (LSI name)'!AA65,'＠グループ、表示名'!$D$4:$D$250,0)-1,0)))</f>
        <v/>
      </c>
      <c r="AB65" s="18" t="str">
        <f ca="1">IF('＠MFP (LSI name)'!AB65="","",IF(COUNTIF('＠MFP (LSI name)'!AB65,"Serial*")+COUNTIF('＠MFP (LSI name)'!AB65,"Analog*")&gt;0,'＠MFP (LSI name)'!AB65,OFFSET('＠グループ、表示名'!$H$4,MATCH('＠MFP (LSI name)'!AB65,'＠グループ、表示名'!$D$4:$D$250,0)-1,0)))</f>
        <v/>
      </c>
      <c r="AC65" s="18" t="str">
        <f ca="1">IF('＠MFP (LSI name)'!AC65="","",IF(COUNTIF('＠MFP (LSI name)'!AC65,"Serial*")+COUNTIF('＠MFP (LSI name)'!AC65,"Analog*")&gt;0,'＠MFP (LSI name)'!AC65,OFFSET('＠グループ、表示名'!$H$4,MATCH('＠MFP (LSI name)'!AC65,'＠グループ、表示名'!$D$4:$D$250,0)-1,0)))</f>
        <v/>
      </c>
      <c r="AD65" s="18" t="str">
        <f ca="1">IF('＠MFP (LSI name)'!AD65="","",IF(COUNTIF('＠MFP (LSI name)'!AD65,"Serial*")+COUNTIF('＠MFP (LSI name)'!AD65,"Analog*")&gt;0,'＠MFP (LSI name)'!AD65,OFFSET('＠グループ、表示名'!$H$4,MATCH('＠MFP (LSI name)'!AD65,'＠グループ、表示名'!$D$4:$D$250,0)-1,0)))</f>
        <v/>
      </c>
      <c r="AE65" s="18" t="str">
        <f ca="1">IF('＠MFP (LSI name)'!AE65="","",IF(COUNTIF('＠MFP (LSI name)'!AE65,"Serial*")+COUNTIF('＠MFP (LSI name)'!AE65,"Analog*")&gt;0,'＠MFP (LSI name)'!AE65,OFFSET('＠グループ、表示名'!$H$4,MATCH('＠MFP (LSI name)'!AE65,'＠グループ、表示名'!$D$4:$D$250,0)-1,0)))</f>
        <v/>
      </c>
      <c r="AF65" s="69" t="str">
        <f ca="1">IF('＠MFP (LSI name)'!AF65="","",IF(COUNTIF('＠MFP (LSI name)'!AF65,"Serial*")+COUNTIF('＠MFP (LSI name)'!AF65,"Analog*")&gt;0,'＠MFP (LSI name)'!AF65,OFFSET('＠グループ、表示名'!$H$4,MATCH('＠MFP (LSI name)'!AF65,'＠グループ、表示名'!$D$4:$D$250,0)-1,0)))</f>
        <v/>
      </c>
      <c r="AG65" s="18" t="str">
        <f ca="1">IF('＠MFP (LSI name)'!AG65="","",IF(COUNTIF('＠MFP (LSI name)'!AG65,"Serial*")+COUNTIF('＠MFP (LSI name)'!AG65,"Analog*")&gt;0,'＠MFP (LSI name)'!AG65,OFFSET('＠グループ、表示名'!$H$4,MATCH('＠MFP (LSI name)'!AG65,'＠グループ、表示名'!$D$4:$D$250,0)-1,0)))</f>
        <v/>
      </c>
      <c r="AH65" s="18" t="str">
        <f ca="1">IF('＠MFP (LSI name)'!AH65="","",IF(COUNTIF('＠MFP (LSI name)'!AH65,"Serial*")+COUNTIF('＠MFP (LSI name)'!AH65,"Analog*")&gt;0,'＠MFP (LSI name)'!AH65,OFFSET('＠グループ、表示名'!$H$4,MATCH('＠MFP (LSI name)'!AH65,'＠グループ、表示名'!$D$4:$D$250,0)-1,0)))</f>
        <v/>
      </c>
      <c r="AI65" s="18" t="str">
        <f ca="1">IF('＠MFP (LSI name)'!AI65="","",IF(COUNTIF('＠MFP (LSI name)'!AI65,"Serial*")+COUNTIF('＠MFP (LSI name)'!AI65,"Analog*")&gt;0,'＠MFP (LSI name)'!AI65,OFFSET('＠グループ、表示名'!$H$4,MATCH('＠MFP (LSI name)'!AI65,'＠グループ、表示名'!$D$4:$D$250,0)-1,0)))</f>
        <v/>
      </c>
      <c r="AJ65" s="18" t="str">
        <f ca="1">IF('＠MFP (LSI name)'!AJ65="","",IF(COUNTIF('＠MFP (LSI name)'!AJ65,"Serial*")+COUNTIF('＠MFP (LSI name)'!AJ65,"Analog*")&gt;0,'＠MFP (LSI name)'!AJ65,OFFSET('＠グループ、表示名'!$H$4,MATCH('＠MFP (LSI name)'!AJ65,'＠グループ、表示名'!$D$4:$D$250,0)-1,0)))</f>
        <v/>
      </c>
      <c r="AK65" s="69" t="str">
        <f ca="1">IF('＠MFP (LSI name)'!AK65="","",IF(COUNTIF('＠MFP (LSI name)'!AK65,"Serial*")+COUNTIF('＠MFP (LSI name)'!AK65,"Analog*")&gt;0,'＠MFP (LSI name)'!AK65,OFFSET('＠グループ、表示名'!$H$4,MATCH('＠MFP (LSI name)'!AK65,'＠グループ、表示名'!$D$4:$D$250,0)-1,0)))</f>
        <v/>
      </c>
      <c r="AL65" s="9" t="str">
        <f t="shared" si="4"/>
        <v/>
      </c>
      <c r="AM65" s="9" t="str">
        <f t="shared" si="5"/>
        <v/>
      </c>
      <c r="AN65" s="9" t="str">
        <f t="shared" si="6"/>
        <v/>
      </c>
      <c r="AO65" s="9" t="str">
        <f t="shared" si="7"/>
        <v/>
      </c>
      <c r="AP65" s="86"/>
    </row>
    <row r="66" spans="1:42" ht="16.149999999999999">
      <c r="A66" s="60">
        <v>61</v>
      </c>
      <c r="B66" s="7">
        <v>61</v>
      </c>
      <c r="C66" s="7">
        <v>49</v>
      </c>
      <c r="D66" s="87">
        <v>40</v>
      </c>
      <c r="E66" s="87"/>
      <c r="F66" s="7">
        <v>61</v>
      </c>
      <c r="G66" s="7">
        <v>49</v>
      </c>
      <c r="H66" s="87">
        <v>40</v>
      </c>
      <c r="I66" s="45" t="s">
        <v>535</v>
      </c>
      <c r="J66" s="45" t="s">
        <v>536</v>
      </c>
      <c r="K66" s="69" t="str">
        <f ca="1">IF('＠MFP (LSI name)'!K66="","",IF(COUNTIF('＠MFP (LSI name)'!K66,"Serial*")+COUNTIF('＠MFP (LSI name)'!K66,"Analog*")&gt;0,'＠MFP (LSI name)'!K66,OFFSET('＠グループ、表示名'!$H$4,MATCH('＠MFP (LSI name)'!K66,'＠グループ、表示名'!$D$4:$D$250,0)-1,0)))</f>
        <v>IRQ06</v>
      </c>
      <c r="L66" s="69" t="str">
        <f ca="1">IF('＠MFP (LSI name)'!L66="","",IF(COUNTIF('＠MFP (LSI name)'!L66,"Serial*")+COUNTIF('＠MFP (LSI name)'!L66,"Analog*")&gt;0,'＠MFP (LSI name)'!L66,OFFSET('＠グループ、表示名'!$H$4,MATCH('＠MFP (LSI name)'!L66,'＠グループ、表示名'!$D$4:$D$250,0)-1,0)))</f>
        <v>IRQ36</v>
      </c>
      <c r="M66" s="69" t="str">
        <f ca="1">IF('＠MFP (LSI name)'!M66="","",IF(COUNTIF('＠MFP (LSI name)'!M66,"Serial*")+COUNTIF('＠MFP (LSI name)'!M66,"Analog*")&gt;0,'＠MFP (LSI name)'!M66,OFFSET('＠グループ、表示名'!$H$4,MATCH('＠MFP (LSI name)'!M66,'＠グループ、表示名'!$D$4:$D$250,0)-1,0)))</f>
        <v>TM10A</v>
      </c>
      <c r="N66" s="69" t="str">
        <f ca="1">IF('＠MFP (LSI name)'!N66="","",IF(COUNTIF('＠MFP (LSI name)'!N66,"Serial*")+COUNTIF('＠MFP (LSI name)'!N66,"Analog*")&gt;0,'＠MFP (LSI name)'!N66,OFFSET('＠グループ、表示名'!$H$4,MATCH('＠MFP (LSI name)'!N66,'＠グループ、表示名'!$D$4:$D$250,0)-1,0)))</f>
        <v>TM12A</v>
      </c>
      <c r="O66" s="69" t="str">
        <f ca="1">IF('＠MFP (LSI name)'!O66="","",IF(COUNTIF('＠MFP (LSI name)'!O66,"Serial*")+COUNTIF('＠MFP (LSI name)'!O66,"Analog*")&gt;0,'＠MFP (LSI name)'!O66,OFFSET('＠グループ、表示名'!$H$4,MATCH('＠MFP (LSI name)'!O66,'＠グループ、表示名'!$D$4:$D$250,0)-1,0)))</f>
        <v>DBG_TRCCLK</v>
      </c>
      <c r="P66" s="69" t="str">
        <f ca="1">IF('＠MFP (LSI name)'!P66="","",IF(COUNTIF('＠MFP (LSI name)'!P66,"Serial*")+COUNTIF('＠MFP (LSI name)'!P66,"Analog*")&gt;0,'＠MFP (LSI name)'!P66,OFFSET('＠グループ、表示名'!$H$4,MATCH('＠MFP (LSI name)'!P66,'＠グループ、表示名'!$D$4:$D$250,0)-1,0)))</f>
        <v/>
      </c>
      <c r="Q66" s="69" t="str">
        <f ca="1">IF('＠MFP (LSI name)'!Q66="","",IF(COUNTIF('＠MFP (LSI name)'!Q66,"Serial*")+COUNTIF('＠MFP (LSI name)'!Q66,"Analog*")&gt;0,'＠MFP (LSI name)'!Q66,OFFSET('＠グループ、表示名'!$H$4,MATCH('＠MFP (LSI name)'!Q66,'＠グループ、表示名'!$D$4:$D$250,0)-1,0)))</f>
        <v/>
      </c>
      <c r="R66" s="69" t="str">
        <f ca="1">IF('＠MFP (LSI name)'!R66="","",IF(COUNTIF('＠MFP (LSI name)'!R66,"Serial*")+COUNTIF('＠MFP (LSI name)'!R66,"Analog*")&gt;0,'＠MFP (LSI name)'!R66,OFFSET('＠グループ、表示名'!$H$4,MATCH('＠MFP (LSI name)'!R66,'＠グループ、表示名'!$D$4:$D$250,0)-1,0)))</f>
        <v/>
      </c>
      <c r="S66" s="69" t="str">
        <f ca="1">IF('＠MFP (LSI name)'!S66="","",IF(COUNTIF('＠MFP (LSI name)'!S66,"Serial*")+COUNTIF('＠MFP (LSI name)'!S66,"Analog*")&gt;0,'＠MFP (LSI name)'!S66,OFFSET('＠グループ、表示名'!$H$4,MATCH('＠MFP (LSI name)'!S66,'＠グループ、表示名'!$D$4:$D$250,0)-1,0)))</f>
        <v/>
      </c>
      <c r="T66" s="69" t="str">
        <f ca="1">IF('＠MFP (LSI name)'!T66="","",IF(COUNTIF('＠MFP (LSI name)'!T66,"Serial*")+COUNTIF('＠MFP (LSI name)'!T66,"Analog*")&gt;0,'＠MFP (LSI name)'!T66,OFFSET('＠グループ、表示名'!$H$4,MATCH('＠MFP (LSI name)'!T66,'＠グループ、表示名'!$D$4:$D$250,0)-1,0)))</f>
        <v/>
      </c>
      <c r="U66" s="69" t="str">
        <f ca="1">IF('＠MFP (LSI name)'!U66="","",IF(COUNTIF('＠MFP (LSI name)'!U66,"Serial*")+COUNTIF('＠MFP (LSI name)'!U66,"Analog*")&gt;0,'＠MFP (LSI name)'!U66,OFFSET('＠グループ、表示名'!$H$4,MATCH('＠MFP (LSI name)'!U66,'＠グループ、表示名'!$D$4:$D$250,0)-1,0)))</f>
        <v/>
      </c>
      <c r="V66" s="18" t="str">
        <f ca="1">IF('＠MFP (LSI name)'!V66="","",IF(COUNTIF('＠MFP (LSI name)'!V66,"Serial*")+COUNTIF('＠MFP (LSI name)'!V66,"Analog*")&gt;0,'＠MFP (LSI name)'!V66,OFFSET('＠グループ、表示名'!$H$4,MATCH('＠MFP (LSI name)'!V66,'＠グループ、表示名'!$D$4:$D$250,0)-1,0)))</f>
        <v/>
      </c>
      <c r="W66" s="18" t="str">
        <f ca="1">IF('＠MFP (LSI name)'!W66="","",IF(COUNTIF('＠MFP (LSI name)'!W66,"Serial*")+COUNTIF('＠MFP (LSI name)'!W66,"Analog*")&gt;0,'＠MFP (LSI name)'!W66,OFFSET('＠グループ、表示名'!$H$4,MATCH('＠MFP (LSI name)'!W66,'＠グループ、表示名'!$D$4:$D$250,0)-1,0)))</f>
        <v/>
      </c>
      <c r="X66" s="18" t="str">
        <f ca="1">IF('＠MFP (LSI name)'!X66="","",IF(COUNTIF('＠MFP (LSI name)'!X66,"Serial*")+COUNTIF('＠MFP (LSI name)'!X66,"Analog*")&gt;0,'＠MFP (LSI name)'!X66,OFFSET('＠グループ、表示名'!$H$4,MATCH('＠MFP (LSI name)'!X66,'＠グループ、表示名'!$D$4:$D$250,0)-1,0)))</f>
        <v/>
      </c>
      <c r="Y66" s="18" t="str">
        <f ca="1">IF('＠MFP (LSI name)'!Y66="","",IF(COUNTIF('＠MFP (LSI name)'!Y66,"Serial*")+COUNTIF('＠MFP (LSI name)'!Y66,"Analog*")&gt;0,'＠MFP (LSI name)'!Y66,OFFSET('＠グループ、表示名'!$H$4,MATCH('＠MFP (LSI name)'!Y66,'＠グループ、表示名'!$D$4:$D$250,0)-1,0)))</f>
        <v/>
      </c>
      <c r="Z66" s="18" t="str">
        <f ca="1">IF('＠MFP (LSI name)'!Z66="","",IF(COUNTIF('＠MFP (LSI name)'!Z66,"Serial*")+COUNTIF('＠MFP (LSI name)'!Z66,"Analog*")&gt;0,'＠MFP (LSI name)'!Z66,OFFSET('＠グループ、表示名'!$H$4,MATCH('＠MFP (LSI name)'!Z66,'＠グループ、表示名'!$D$4:$D$250,0)-1,0)))</f>
        <v/>
      </c>
      <c r="AA66" s="69" t="str">
        <f ca="1">IF('＠MFP (LSI name)'!AA66="","",IF(COUNTIF('＠MFP (LSI name)'!AA66,"Serial*")+COUNTIF('＠MFP (LSI name)'!AA66,"Analog*")&gt;0,'＠MFP (LSI name)'!AA66,OFFSET('＠グループ、表示名'!$H$4,MATCH('＠MFP (LSI name)'!AA66,'＠グループ、表示名'!$D$4:$D$250,0)-1,0)))</f>
        <v/>
      </c>
      <c r="AB66" s="18" t="str">
        <f ca="1">IF('＠MFP (LSI name)'!AB66="","",IF(COUNTIF('＠MFP (LSI name)'!AB66,"Serial*")+COUNTIF('＠MFP (LSI name)'!AB66,"Analog*")&gt;0,'＠MFP (LSI name)'!AB66,OFFSET('＠グループ、表示名'!$H$4,MATCH('＠MFP (LSI name)'!AB66,'＠グループ、表示名'!$D$4:$D$250,0)-1,0)))</f>
        <v/>
      </c>
      <c r="AC66" s="18" t="str">
        <f ca="1">IF('＠MFP (LSI name)'!AC66="","",IF(COUNTIF('＠MFP (LSI name)'!AC66,"Serial*")+COUNTIF('＠MFP (LSI name)'!AC66,"Analog*")&gt;0,'＠MFP (LSI name)'!AC66,OFFSET('＠グループ、表示名'!$H$4,MATCH('＠MFP (LSI name)'!AC66,'＠グループ、表示名'!$D$4:$D$250,0)-1,0)))</f>
        <v/>
      </c>
      <c r="AD66" s="18" t="str">
        <f ca="1">IF('＠MFP (LSI name)'!AD66="","",IF(COUNTIF('＠MFP (LSI name)'!AD66,"Serial*")+COUNTIF('＠MFP (LSI name)'!AD66,"Analog*")&gt;0,'＠MFP (LSI name)'!AD66,OFFSET('＠グループ、表示名'!$H$4,MATCH('＠MFP (LSI name)'!AD66,'＠グループ、表示名'!$D$4:$D$250,0)-1,0)))</f>
        <v/>
      </c>
      <c r="AE66" s="18" t="str">
        <f ca="1">IF('＠MFP (LSI name)'!AE66="","",IF(COUNTIF('＠MFP (LSI name)'!AE66,"Serial*")+COUNTIF('＠MFP (LSI name)'!AE66,"Analog*")&gt;0,'＠MFP (LSI name)'!AE66,OFFSET('＠グループ、表示名'!$H$4,MATCH('＠MFP (LSI name)'!AE66,'＠グループ、表示名'!$D$4:$D$250,0)-1,0)))</f>
        <v/>
      </c>
      <c r="AF66" s="69" t="str">
        <f ca="1">IF('＠MFP (LSI name)'!AF66="","",IF(COUNTIF('＠MFP (LSI name)'!AF66,"Serial*")+COUNTIF('＠MFP (LSI name)'!AF66,"Analog*")&gt;0,'＠MFP (LSI name)'!AF66,OFFSET('＠グループ、表示名'!$H$4,MATCH('＠MFP (LSI name)'!AF66,'＠グループ、表示名'!$D$4:$D$250,0)-1,0)))</f>
        <v/>
      </c>
      <c r="AG66" s="18" t="str">
        <f ca="1">IF('＠MFP (LSI name)'!AG66="","",IF(COUNTIF('＠MFP (LSI name)'!AG66,"Serial*")+COUNTIF('＠MFP (LSI name)'!AG66,"Analog*")&gt;0,'＠MFP (LSI name)'!AG66,OFFSET('＠グループ、表示名'!$H$4,MATCH('＠MFP (LSI name)'!AG66,'＠グループ、表示名'!$D$4:$D$250,0)-1,0)))</f>
        <v/>
      </c>
      <c r="AH66" s="18" t="str">
        <f ca="1">IF('＠MFP (LSI name)'!AH66="","",IF(COUNTIF('＠MFP (LSI name)'!AH66,"Serial*")+COUNTIF('＠MFP (LSI name)'!AH66,"Analog*")&gt;0,'＠MFP (LSI name)'!AH66,OFFSET('＠グループ、表示名'!$H$4,MATCH('＠MFP (LSI name)'!AH66,'＠グループ、表示名'!$D$4:$D$250,0)-1,0)))</f>
        <v/>
      </c>
      <c r="AI66" s="18" t="str">
        <f ca="1">IF('＠MFP (LSI name)'!AI66="","",IF(COUNTIF('＠MFP (LSI name)'!AI66,"Serial*")+COUNTIF('＠MFP (LSI name)'!AI66,"Analog*")&gt;0,'＠MFP (LSI name)'!AI66,OFFSET('＠グループ、表示名'!$H$4,MATCH('＠MFP (LSI name)'!AI66,'＠グループ、表示名'!$D$4:$D$250,0)-1,0)))</f>
        <v/>
      </c>
      <c r="AJ66" s="18" t="str">
        <f ca="1">IF('＠MFP (LSI name)'!AJ66="","",IF(COUNTIF('＠MFP (LSI name)'!AJ66,"Serial*")+COUNTIF('＠MFP (LSI name)'!AJ66,"Analog*")&gt;0,'＠MFP (LSI name)'!AJ66,OFFSET('＠グループ、表示名'!$H$4,MATCH('＠MFP (LSI name)'!AJ66,'＠グループ、表示名'!$D$4:$D$250,0)-1,0)))</f>
        <v/>
      </c>
      <c r="AK66" s="69" t="str">
        <f ca="1">IF('＠MFP (LSI name)'!AK66="","",IF(COUNTIF('＠MFP (LSI name)'!AK66,"Serial*")+COUNTIF('＠MFP (LSI name)'!AK66,"Analog*")&gt;0,'＠MFP (LSI name)'!AK66,OFFSET('＠グループ、表示名'!$H$4,MATCH('＠MFP (LSI name)'!AK66,'＠グループ、表示名'!$D$4:$D$250,0)-1,0)))</f>
        <v/>
      </c>
      <c r="AL66" s="9" t="str">
        <f t="shared" si="4"/>
        <v>IOP3MD[7]</v>
      </c>
      <c r="AM66" s="9" t="str">
        <f t="shared" si="5"/>
        <v>IOP3MD[6]</v>
      </c>
      <c r="AN66" s="9" t="str">
        <f t="shared" si="6"/>
        <v>IOP3MD[5]</v>
      </c>
      <c r="AO66" s="9" t="str">
        <f t="shared" si="7"/>
        <v>IOP3MD[4]</v>
      </c>
      <c r="AP66" s="86"/>
    </row>
    <row r="67" spans="1:42" ht="16.149999999999999">
      <c r="A67" s="60">
        <v>62</v>
      </c>
      <c r="B67" s="7">
        <v>62</v>
      </c>
      <c r="C67" s="7">
        <v>50</v>
      </c>
      <c r="D67" s="87">
        <v>41</v>
      </c>
      <c r="E67" s="87"/>
      <c r="F67" s="7">
        <v>62</v>
      </c>
      <c r="G67" s="7">
        <v>50</v>
      </c>
      <c r="H67" s="87">
        <v>41</v>
      </c>
      <c r="I67" s="45" t="s">
        <v>108</v>
      </c>
      <c r="J67" s="45" t="s">
        <v>109</v>
      </c>
      <c r="K67" s="69" t="str">
        <f ca="1">IF('＠MFP (LSI name)'!K67="","",IF(COUNTIF('＠MFP (LSI name)'!K67,"Serial*")+COUNTIF('＠MFP (LSI name)'!K67,"Analog*")&gt;0,'＠MFP (LSI name)'!K67,OFFSET('＠グループ、表示名'!$H$4,MATCH('＠MFP (LSI name)'!K67,'＠グループ、表示名'!$D$4:$D$250,0)-1,0)))</f>
        <v/>
      </c>
      <c r="L67" s="69" t="str">
        <f ca="1">IF('＠MFP (LSI name)'!L67="","",IF(COUNTIF('＠MFP (LSI name)'!L67,"Serial*")+COUNTIF('＠MFP (LSI name)'!L67,"Analog*")&gt;0,'＠MFP (LSI name)'!L67,OFFSET('＠グループ、表示名'!$H$4,MATCH('＠MFP (LSI name)'!L67,'＠グループ、表示名'!$D$4:$D$250,0)-1,0)))</f>
        <v/>
      </c>
      <c r="M67" s="69" t="str">
        <f ca="1">IF('＠MFP (LSI name)'!M67="","",IF(COUNTIF('＠MFP (LSI name)'!M67,"Serial*")+COUNTIF('＠MFP (LSI name)'!M67,"Analog*")&gt;0,'＠MFP (LSI name)'!M67,OFFSET('＠グループ、表示名'!$H$4,MATCH('＠MFP (LSI name)'!M67,'＠グループ、表示名'!$D$4:$D$250,0)-1,0)))</f>
        <v/>
      </c>
      <c r="N67" s="69" t="str">
        <f ca="1">IF('＠MFP (LSI name)'!N67="","",IF(COUNTIF('＠MFP (LSI name)'!N67,"Serial*")+COUNTIF('＠MFP (LSI name)'!N67,"Analog*")&gt;0,'＠MFP (LSI name)'!N67,OFFSET('＠グループ、表示名'!$H$4,MATCH('＠MFP (LSI name)'!N67,'＠グループ、表示名'!$D$4:$D$250,0)-1,0)))</f>
        <v/>
      </c>
      <c r="O67" s="69" t="str">
        <f ca="1">IF('＠MFP (LSI name)'!O67="","",IF(COUNTIF('＠MFP (LSI name)'!O67,"Serial*")+COUNTIF('＠MFP (LSI name)'!O67,"Analog*")&gt;0,'＠MFP (LSI name)'!O67,OFFSET('＠グループ、表示名'!$H$4,MATCH('＠MFP (LSI name)'!O67,'＠グループ、表示名'!$D$4:$D$250,0)-1,0)))</f>
        <v/>
      </c>
      <c r="P67" s="69" t="str">
        <f ca="1">IF('＠MFP (LSI name)'!P67="","",IF(COUNTIF('＠MFP (LSI name)'!P67,"Serial*")+COUNTIF('＠MFP (LSI name)'!P67,"Analog*")&gt;0,'＠MFP (LSI name)'!P67,OFFSET('＠グループ、表示名'!$H$4,MATCH('＠MFP (LSI name)'!P67,'＠グループ、表示名'!$D$4:$D$250,0)-1,0)))</f>
        <v/>
      </c>
      <c r="Q67" s="69" t="str">
        <f ca="1">IF('＠MFP (LSI name)'!Q67="","",IF(COUNTIF('＠MFP (LSI name)'!Q67,"Serial*")+COUNTIF('＠MFP (LSI name)'!Q67,"Analog*")&gt;0,'＠MFP (LSI name)'!Q67,OFFSET('＠グループ、表示名'!$H$4,MATCH('＠MFP (LSI name)'!Q67,'＠グループ、表示名'!$D$4:$D$250,0)-1,0)))</f>
        <v/>
      </c>
      <c r="R67" s="69" t="str">
        <f ca="1">IF('＠MFP (LSI name)'!R67="","",IF(COUNTIF('＠MFP (LSI name)'!R67,"Serial*")+COUNTIF('＠MFP (LSI name)'!R67,"Analog*")&gt;0,'＠MFP (LSI name)'!R67,OFFSET('＠グループ、表示名'!$H$4,MATCH('＠MFP (LSI name)'!R67,'＠グループ、表示名'!$D$4:$D$250,0)-1,0)))</f>
        <v/>
      </c>
      <c r="S67" s="69" t="str">
        <f ca="1">IF('＠MFP (LSI name)'!S67="","",IF(COUNTIF('＠MFP (LSI name)'!S67,"Serial*")+COUNTIF('＠MFP (LSI name)'!S67,"Analog*")&gt;0,'＠MFP (LSI name)'!S67,OFFSET('＠グループ、表示名'!$H$4,MATCH('＠MFP (LSI name)'!S67,'＠グループ、表示名'!$D$4:$D$250,0)-1,0)))</f>
        <v/>
      </c>
      <c r="T67" s="69" t="str">
        <f ca="1">IF('＠MFP (LSI name)'!T67="","",IF(COUNTIF('＠MFP (LSI name)'!T67,"Serial*")+COUNTIF('＠MFP (LSI name)'!T67,"Analog*")&gt;0,'＠MFP (LSI name)'!T67,OFFSET('＠グループ、表示名'!$H$4,MATCH('＠MFP (LSI name)'!T67,'＠グループ、表示名'!$D$4:$D$250,0)-1,0)))</f>
        <v/>
      </c>
      <c r="U67" s="69" t="str">
        <f ca="1">IF('＠MFP (LSI name)'!U67="","",IF(COUNTIF('＠MFP (LSI name)'!U67,"Serial*")+COUNTIF('＠MFP (LSI name)'!U67,"Analog*")&gt;0,'＠MFP (LSI name)'!U67,OFFSET('＠グループ、表示名'!$H$4,MATCH('＠MFP (LSI name)'!U67,'＠グループ、表示名'!$D$4:$D$250,0)-1,0)))</f>
        <v/>
      </c>
      <c r="V67" s="18" t="str">
        <f ca="1">IF('＠MFP (LSI name)'!V67="","",IF(COUNTIF('＠MFP (LSI name)'!V67,"Serial*")+COUNTIF('＠MFP (LSI name)'!V67,"Analog*")&gt;0,'＠MFP (LSI name)'!V67,OFFSET('＠グループ、表示名'!$H$4,MATCH('＠MFP (LSI name)'!V67,'＠グループ、表示名'!$D$4:$D$250,0)-1,0)))</f>
        <v/>
      </c>
      <c r="W67" s="18" t="str">
        <f ca="1">IF('＠MFP (LSI name)'!W67="","",IF(COUNTIF('＠MFP (LSI name)'!W67,"Serial*")+COUNTIF('＠MFP (LSI name)'!W67,"Analog*")&gt;0,'＠MFP (LSI name)'!W67,OFFSET('＠グループ、表示名'!$H$4,MATCH('＠MFP (LSI name)'!W67,'＠グループ、表示名'!$D$4:$D$250,0)-1,0)))</f>
        <v/>
      </c>
      <c r="X67" s="18" t="str">
        <f ca="1">IF('＠MFP (LSI name)'!X67="","",IF(COUNTIF('＠MFP (LSI name)'!X67,"Serial*")+COUNTIF('＠MFP (LSI name)'!X67,"Analog*")&gt;0,'＠MFP (LSI name)'!X67,OFFSET('＠グループ、表示名'!$H$4,MATCH('＠MFP (LSI name)'!X67,'＠グループ、表示名'!$D$4:$D$250,0)-1,0)))</f>
        <v/>
      </c>
      <c r="Y67" s="18" t="str">
        <f ca="1">IF('＠MFP (LSI name)'!Y67="","",IF(COUNTIF('＠MFP (LSI name)'!Y67,"Serial*")+COUNTIF('＠MFP (LSI name)'!Y67,"Analog*")&gt;0,'＠MFP (LSI name)'!Y67,OFFSET('＠グループ、表示名'!$H$4,MATCH('＠MFP (LSI name)'!Y67,'＠グループ、表示名'!$D$4:$D$250,0)-1,0)))</f>
        <v/>
      </c>
      <c r="Z67" s="18" t="str">
        <f ca="1">IF('＠MFP (LSI name)'!Z67="","",IF(COUNTIF('＠MFP (LSI name)'!Z67,"Serial*")+COUNTIF('＠MFP (LSI name)'!Z67,"Analog*")&gt;0,'＠MFP (LSI name)'!Z67,OFFSET('＠グループ、表示名'!$H$4,MATCH('＠MFP (LSI name)'!Z67,'＠グループ、表示名'!$D$4:$D$250,0)-1,0)))</f>
        <v/>
      </c>
      <c r="AA67" s="69" t="str">
        <f ca="1">IF('＠MFP (LSI name)'!AA67="","",IF(COUNTIF('＠MFP (LSI name)'!AA67,"Serial*")+COUNTIF('＠MFP (LSI name)'!AA67,"Analog*")&gt;0,'＠MFP (LSI name)'!AA67,OFFSET('＠グループ、表示名'!$H$4,MATCH('＠MFP (LSI name)'!AA67,'＠グループ、表示名'!$D$4:$D$250,0)-1,0)))</f>
        <v/>
      </c>
      <c r="AB67" s="18" t="str">
        <f ca="1">IF('＠MFP (LSI name)'!AB67="","",IF(COUNTIF('＠MFP (LSI name)'!AB67,"Serial*")+COUNTIF('＠MFP (LSI name)'!AB67,"Analog*")&gt;0,'＠MFP (LSI name)'!AB67,OFFSET('＠グループ、表示名'!$H$4,MATCH('＠MFP (LSI name)'!AB67,'＠グループ、表示名'!$D$4:$D$250,0)-1,0)))</f>
        <v/>
      </c>
      <c r="AC67" s="18" t="str">
        <f ca="1">IF('＠MFP (LSI name)'!AC67="","",IF(COUNTIF('＠MFP (LSI name)'!AC67,"Serial*")+COUNTIF('＠MFP (LSI name)'!AC67,"Analog*")&gt;0,'＠MFP (LSI name)'!AC67,OFFSET('＠グループ、表示名'!$H$4,MATCH('＠MFP (LSI name)'!AC67,'＠グループ、表示名'!$D$4:$D$250,0)-1,0)))</f>
        <v/>
      </c>
      <c r="AD67" s="18" t="str">
        <f ca="1">IF('＠MFP (LSI name)'!AD67="","",IF(COUNTIF('＠MFP (LSI name)'!AD67,"Serial*")+COUNTIF('＠MFP (LSI name)'!AD67,"Analog*")&gt;0,'＠MFP (LSI name)'!AD67,OFFSET('＠グループ、表示名'!$H$4,MATCH('＠MFP (LSI name)'!AD67,'＠グループ、表示名'!$D$4:$D$250,0)-1,0)))</f>
        <v/>
      </c>
      <c r="AE67" s="18" t="str">
        <f ca="1">IF('＠MFP (LSI name)'!AE67="","",IF(COUNTIF('＠MFP (LSI name)'!AE67,"Serial*")+COUNTIF('＠MFP (LSI name)'!AE67,"Analog*")&gt;0,'＠MFP (LSI name)'!AE67,OFFSET('＠グループ、表示名'!$H$4,MATCH('＠MFP (LSI name)'!AE67,'＠グループ、表示名'!$D$4:$D$250,0)-1,0)))</f>
        <v/>
      </c>
      <c r="AF67" s="69" t="str">
        <f ca="1">IF('＠MFP (LSI name)'!AF67="","",IF(COUNTIF('＠MFP (LSI name)'!AF67,"Serial*")+COUNTIF('＠MFP (LSI name)'!AF67,"Analog*")&gt;0,'＠MFP (LSI name)'!AF67,OFFSET('＠グループ、表示名'!$H$4,MATCH('＠MFP (LSI name)'!AF67,'＠グループ、表示名'!$D$4:$D$250,0)-1,0)))</f>
        <v/>
      </c>
      <c r="AG67" s="18" t="str">
        <f ca="1">IF('＠MFP (LSI name)'!AG67="","",IF(COUNTIF('＠MFP (LSI name)'!AG67,"Serial*")+COUNTIF('＠MFP (LSI name)'!AG67,"Analog*")&gt;0,'＠MFP (LSI name)'!AG67,OFFSET('＠グループ、表示名'!$H$4,MATCH('＠MFP (LSI name)'!AG67,'＠グループ、表示名'!$D$4:$D$250,0)-1,0)))</f>
        <v/>
      </c>
      <c r="AH67" s="18" t="str">
        <f ca="1">IF('＠MFP (LSI name)'!AH67="","",IF(COUNTIF('＠MFP (LSI name)'!AH67,"Serial*")+COUNTIF('＠MFP (LSI name)'!AH67,"Analog*")&gt;0,'＠MFP (LSI name)'!AH67,OFFSET('＠グループ、表示名'!$H$4,MATCH('＠MFP (LSI name)'!AH67,'＠グループ、表示名'!$D$4:$D$250,0)-1,0)))</f>
        <v/>
      </c>
      <c r="AI67" s="18" t="str">
        <f ca="1">IF('＠MFP (LSI name)'!AI67="","",IF(COUNTIF('＠MFP (LSI name)'!AI67,"Serial*")+COUNTIF('＠MFP (LSI name)'!AI67,"Analog*")&gt;0,'＠MFP (LSI name)'!AI67,OFFSET('＠グループ、表示名'!$H$4,MATCH('＠MFP (LSI name)'!AI67,'＠グループ、表示名'!$D$4:$D$250,0)-1,0)))</f>
        <v/>
      </c>
      <c r="AJ67" s="18" t="str">
        <f ca="1">IF('＠MFP (LSI name)'!AJ67="","",IF(COUNTIF('＠MFP (LSI name)'!AJ67,"Serial*")+COUNTIF('＠MFP (LSI name)'!AJ67,"Analog*")&gt;0,'＠MFP (LSI name)'!AJ67,OFFSET('＠グループ、表示名'!$H$4,MATCH('＠MFP (LSI name)'!AJ67,'＠グループ、表示名'!$D$4:$D$250,0)-1,0)))</f>
        <v/>
      </c>
      <c r="AK67" s="69" t="str">
        <f ca="1">IF('＠MFP (LSI name)'!AK67="","",IF(COUNTIF('＠MFP (LSI name)'!AK67,"Serial*")+COUNTIF('＠MFP (LSI name)'!AK67,"Analog*")&gt;0,'＠MFP (LSI name)'!AK67,OFFSET('＠グループ、表示名'!$H$4,MATCH('＠MFP (LSI name)'!AK67,'＠グループ、表示名'!$D$4:$D$250,0)-1,0)))</f>
        <v/>
      </c>
      <c r="AL67" s="9" t="str">
        <f t="shared" si="4"/>
        <v/>
      </c>
      <c r="AM67" s="9" t="str">
        <f t="shared" si="5"/>
        <v/>
      </c>
      <c r="AN67" s="9" t="str">
        <f t="shared" si="6"/>
        <v/>
      </c>
      <c r="AO67" s="9" t="str">
        <f t="shared" si="7"/>
        <v/>
      </c>
      <c r="AP67" s="86"/>
    </row>
    <row r="68" spans="1:42" ht="16.149999999999999">
      <c r="A68" s="60">
        <v>63</v>
      </c>
      <c r="B68" s="7">
        <v>63</v>
      </c>
      <c r="C68" s="7">
        <v>51</v>
      </c>
      <c r="D68" s="87">
        <v>42</v>
      </c>
      <c r="E68" s="87">
        <v>31</v>
      </c>
      <c r="F68" s="7">
        <v>63</v>
      </c>
      <c r="G68" s="7">
        <v>51</v>
      </c>
      <c r="H68" s="87">
        <v>42</v>
      </c>
      <c r="I68" s="45" t="s">
        <v>537</v>
      </c>
      <c r="J68" s="45" t="s">
        <v>538</v>
      </c>
      <c r="K68" s="69" t="str">
        <f ca="1">IF('＠MFP (LSI name)'!K68="","",IF(COUNTIF('＠MFP (LSI name)'!K68,"Serial*")+COUNTIF('＠MFP (LSI name)'!K68,"Analog*")&gt;0,'＠MFP (LSI name)'!K68,OFFSET('＠グループ、表示名'!$H$4,MATCH('＠MFP (LSI name)'!K68,'＠グループ、表示名'!$D$4:$D$250,0)-1,0)))</f>
        <v>IRQ07</v>
      </c>
      <c r="L68" s="69" t="str">
        <f ca="1">IF('＠MFP (LSI name)'!L68="","",IF(COUNTIF('＠MFP (LSI name)'!L68,"Serial*")+COUNTIF('＠MFP (LSI name)'!L68,"Analog*")&gt;0,'＠MFP (LSI name)'!L68,OFFSET('＠グループ、表示名'!$H$4,MATCH('＠MFP (LSI name)'!L68,'＠グループ、表示名'!$D$4:$D$250,0)-1,0)))</f>
        <v>TM06B</v>
      </c>
      <c r="M68" s="69" t="str">
        <f ca="1">IF('＠MFP (LSI name)'!M68="","",IF(COUNTIF('＠MFP (LSI name)'!M68,"Serial*")+COUNTIF('＠MFP (LSI name)'!M68,"Analog*")&gt;0,'＠MFP (LSI name)'!M68,OFFSET('＠グループ、表示名'!$H$4,MATCH('＠MFP (LSI name)'!M68,'＠グループ、表示名'!$D$4:$D$250,0)-1,0)))</f>
        <v>TM10B</v>
      </c>
      <c r="N68" s="69" t="str">
        <f ca="1">IF('＠MFP (LSI name)'!N68="","",IF(COUNTIF('＠MFP (LSI name)'!N68,"Serial*")+COUNTIF('＠MFP (LSI name)'!N68,"Analog*")&gt;0,'＠MFP (LSI name)'!N68,OFFSET('＠グループ、表示名'!$H$4,MATCH('＠MFP (LSI name)'!N68,'＠グループ、表示名'!$D$4:$D$250,0)-1,0)))</f>
        <v>TM12B</v>
      </c>
      <c r="O68" s="69" t="str">
        <f ca="1">IF('＠MFP (LSI name)'!O68="","",IF(COUNTIF('＠MFP (LSI name)'!O68,"Serial*")+COUNTIF('＠MFP (LSI name)'!O68,"Analog*")&gt;0,'＠MFP (LSI name)'!O68,OFFSET('＠グループ、表示名'!$H$4,MATCH('＠MFP (LSI name)'!O68,'＠グループ、表示名'!$D$4:$D$250,0)-1,0)))</f>
        <v>SIF3_SBCS3</v>
      </c>
      <c r="P68" s="69" t="str">
        <f ca="1">IF('＠MFP (LSI name)'!P68="","",IF(COUNTIF('＠MFP (LSI name)'!P68,"Serial*")+COUNTIF('＠MFP (LSI name)'!P68,"Analog*")&gt;0,'＠MFP (LSI name)'!P68,OFFSET('＠グループ、表示名'!$H$4,MATCH('＠MFP (LSI name)'!P68,'＠グループ、表示名'!$D$4:$D$250,0)-1,0)))</f>
        <v>GPWM0_GPWMST0</v>
      </c>
      <c r="Q68" s="69" t="str">
        <f ca="1">IF('＠MFP (LSI name)'!Q68="","",IF(COUNTIF('＠MFP (LSI name)'!Q68,"Serial*")+COUNTIF('＠MFP (LSI name)'!Q68,"Analog*")&gt;0,'＠MFP (LSI name)'!Q68,OFFSET('＠グループ、表示名'!$H$4,MATCH('＠MFP (LSI name)'!Q68,'＠グループ、表示名'!$D$4:$D$250,0)-1,0)))</f>
        <v>GPWM3_GPWMST3</v>
      </c>
      <c r="R68" s="69" t="str">
        <f ca="1">IF('＠MFP (LSI name)'!R68="","",IF(COUNTIF('＠MFP (LSI name)'!R68,"Serial*")+COUNTIF('＠MFP (LSI name)'!R68,"Analog*")&gt;0,'＠MFP (LSI name)'!R68,OFFSET('＠グループ、表示名'!$H$4,MATCH('＠MFP (LSI name)'!R68,'＠グループ、表示名'!$D$4:$D$250,0)-1,0)))</f>
        <v>CMP1_CMPOT10</v>
      </c>
      <c r="S68" s="69" t="str">
        <f ca="1">IF('＠MFP (LSI name)'!S68="","",IF(COUNTIF('＠MFP (LSI name)'!S68,"Serial*")+COUNTIF('＠MFP (LSI name)'!S68,"Analog*")&gt;0,'＠MFP (LSI name)'!S68,OFFSET('＠グループ、表示名'!$H$4,MATCH('＠MFP (LSI name)'!S68,'＠グループ、表示名'!$D$4:$D$250,0)-1,0)))</f>
        <v>CMP1_CMPOT11</v>
      </c>
      <c r="T68" s="69" t="str">
        <f ca="1">IF('＠MFP (LSI name)'!T68="","",IF(COUNTIF('＠MFP (LSI name)'!T68,"Serial*")+COUNTIF('＠MFP (LSI name)'!T68,"Analog*")&gt;0,'＠MFP (LSI name)'!T68,OFFSET('＠グループ、表示名'!$H$4,MATCH('＠MFP (LSI name)'!T68,'＠グループ、表示名'!$D$4:$D$250,0)-1,0)))</f>
        <v>DBG_TRCSWO</v>
      </c>
      <c r="U68" s="69" t="str">
        <f ca="1">IF('＠MFP (LSI name)'!U68="","",IF(COUNTIF('＠MFP (LSI name)'!U68,"Serial*")+COUNTIF('＠MFP (LSI name)'!U68,"Analog*")&gt;0,'＠MFP (LSI name)'!U68,OFFSET('＠グループ、表示名'!$H$4,MATCH('＠MFP (LSI name)'!U68,'＠グループ、表示名'!$D$4:$D$250,0)-1,0)))</f>
        <v/>
      </c>
      <c r="V68" s="18" t="str">
        <f ca="1">IF('＠MFP (LSI name)'!V68="","",IF(COUNTIF('＠MFP (LSI name)'!V68,"Serial*")+COUNTIF('＠MFP (LSI name)'!V68,"Analog*")&gt;0,'＠MFP (LSI name)'!V68,OFFSET('＠グループ、表示名'!$H$4,MATCH('＠MFP (LSI name)'!V68,'＠グループ、表示名'!$D$4:$D$250,0)-1,0)))</f>
        <v/>
      </c>
      <c r="W68" s="18" t="str">
        <f ca="1">IF('＠MFP (LSI name)'!W68="","",IF(COUNTIF('＠MFP (LSI name)'!W68,"Serial*")+COUNTIF('＠MFP (LSI name)'!W68,"Analog*")&gt;0,'＠MFP (LSI name)'!W68,OFFSET('＠グループ、表示名'!$H$4,MATCH('＠MFP (LSI name)'!W68,'＠グループ、表示名'!$D$4:$D$250,0)-1,0)))</f>
        <v/>
      </c>
      <c r="X68" s="18" t="str">
        <f ca="1">IF('＠MFP (LSI name)'!X68="","",IF(COUNTIF('＠MFP (LSI name)'!X68,"Serial*")+COUNTIF('＠MFP (LSI name)'!X68,"Analog*")&gt;0,'＠MFP (LSI name)'!X68,OFFSET('＠グループ、表示名'!$H$4,MATCH('＠MFP (LSI name)'!X68,'＠グループ、表示名'!$D$4:$D$250,0)-1,0)))</f>
        <v/>
      </c>
      <c r="Y68" s="18" t="str">
        <f ca="1">IF('＠MFP (LSI name)'!Y68="","",IF(COUNTIF('＠MFP (LSI name)'!Y68,"Serial*")+COUNTIF('＠MFP (LSI name)'!Y68,"Analog*")&gt;0,'＠MFP (LSI name)'!Y68,OFFSET('＠グループ、表示名'!$H$4,MATCH('＠MFP (LSI name)'!Y68,'＠グループ、表示名'!$D$4:$D$250,0)-1,0)))</f>
        <v/>
      </c>
      <c r="Z68" s="18" t="str">
        <f ca="1">IF('＠MFP (LSI name)'!Z68="","",IF(COUNTIF('＠MFP (LSI name)'!Z68,"Serial*")+COUNTIF('＠MFP (LSI name)'!Z68,"Analog*")&gt;0,'＠MFP (LSI name)'!Z68,OFFSET('＠グループ、表示名'!$H$4,MATCH('＠MFP (LSI name)'!Z68,'＠グループ、表示名'!$D$4:$D$250,0)-1,0)))</f>
        <v/>
      </c>
      <c r="AA68" s="69" t="str">
        <f ca="1">IF('＠MFP (LSI name)'!AA68="","",IF(COUNTIF('＠MFP (LSI name)'!AA68,"Serial*")+COUNTIF('＠MFP (LSI name)'!AA68,"Analog*")&gt;0,'＠MFP (LSI name)'!AA68,OFFSET('＠グループ、表示名'!$H$4,MATCH('＠MFP (LSI name)'!AA68,'＠グループ、表示名'!$D$4:$D$250,0)-1,0)))</f>
        <v/>
      </c>
      <c r="AB68" s="18" t="str">
        <f ca="1">IF('＠MFP (LSI name)'!AB68="","",IF(COUNTIF('＠MFP (LSI name)'!AB68,"Serial*")+COUNTIF('＠MFP (LSI name)'!AB68,"Analog*")&gt;0,'＠MFP (LSI name)'!AB68,OFFSET('＠グループ、表示名'!$H$4,MATCH('＠MFP (LSI name)'!AB68,'＠グループ、表示名'!$D$4:$D$250,0)-1,0)))</f>
        <v/>
      </c>
      <c r="AC68" s="18" t="str">
        <f ca="1">IF('＠MFP (LSI name)'!AC68="","",IF(COUNTIF('＠MFP (LSI name)'!AC68,"Serial*")+COUNTIF('＠MFP (LSI name)'!AC68,"Analog*")&gt;0,'＠MFP (LSI name)'!AC68,OFFSET('＠グループ、表示名'!$H$4,MATCH('＠MFP (LSI name)'!AC68,'＠グループ、表示名'!$D$4:$D$250,0)-1,0)))</f>
        <v/>
      </c>
      <c r="AD68" s="18" t="str">
        <f ca="1">IF('＠MFP (LSI name)'!AD68="","",IF(COUNTIF('＠MFP (LSI name)'!AD68,"Serial*")+COUNTIF('＠MFP (LSI name)'!AD68,"Analog*")&gt;0,'＠MFP (LSI name)'!AD68,OFFSET('＠グループ、表示名'!$H$4,MATCH('＠MFP (LSI name)'!AD68,'＠グループ、表示名'!$D$4:$D$250,0)-1,0)))</f>
        <v/>
      </c>
      <c r="AE68" s="18" t="str">
        <f ca="1">IF('＠MFP (LSI name)'!AE68="","",IF(COUNTIF('＠MFP (LSI name)'!AE68,"Serial*")+COUNTIF('＠MFP (LSI name)'!AE68,"Analog*")&gt;0,'＠MFP (LSI name)'!AE68,OFFSET('＠グループ、表示名'!$H$4,MATCH('＠MFP (LSI name)'!AE68,'＠グループ、表示名'!$D$4:$D$250,0)-1,0)))</f>
        <v/>
      </c>
      <c r="AF68" s="69" t="str">
        <f ca="1">IF('＠MFP (LSI name)'!AF68="","",IF(COUNTIF('＠MFP (LSI name)'!AF68,"Serial*")+COUNTIF('＠MFP (LSI name)'!AF68,"Analog*")&gt;0,'＠MFP (LSI name)'!AF68,OFFSET('＠グループ、表示名'!$H$4,MATCH('＠MFP (LSI name)'!AF68,'＠グループ、表示名'!$D$4:$D$250,0)-1,0)))</f>
        <v/>
      </c>
      <c r="AG68" s="18" t="str">
        <f ca="1">IF('＠MFP (LSI name)'!AG68="","",IF(COUNTIF('＠MFP (LSI name)'!AG68,"Serial*")+COUNTIF('＠MFP (LSI name)'!AG68,"Analog*")&gt;0,'＠MFP (LSI name)'!AG68,OFFSET('＠グループ、表示名'!$H$4,MATCH('＠MFP (LSI name)'!AG68,'＠グループ、表示名'!$D$4:$D$250,0)-1,0)))</f>
        <v/>
      </c>
      <c r="AH68" s="18" t="str">
        <f ca="1">IF('＠MFP (LSI name)'!AH68="","",IF(COUNTIF('＠MFP (LSI name)'!AH68,"Serial*")+COUNTIF('＠MFP (LSI name)'!AH68,"Analog*")&gt;0,'＠MFP (LSI name)'!AH68,OFFSET('＠グループ、表示名'!$H$4,MATCH('＠MFP (LSI name)'!AH68,'＠グループ、表示名'!$D$4:$D$250,0)-1,0)))</f>
        <v/>
      </c>
      <c r="AI68" s="18" t="str">
        <f ca="1">IF('＠MFP (LSI name)'!AI68="","",IF(COUNTIF('＠MFP (LSI name)'!AI68,"Serial*")+COUNTIF('＠MFP (LSI name)'!AI68,"Analog*")&gt;0,'＠MFP (LSI name)'!AI68,OFFSET('＠グループ、表示名'!$H$4,MATCH('＠MFP (LSI name)'!AI68,'＠グループ、表示名'!$D$4:$D$250,0)-1,0)))</f>
        <v/>
      </c>
      <c r="AJ68" s="18" t="str">
        <f ca="1">IF('＠MFP (LSI name)'!AJ68="","",IF(COUNTIF('＠MFP (LSI name)'!AJ68,"Serial*")+COUNTIF('＠MFP (LSI name)'!AJ68,"Analog*")&gt;0,'＠MFP (LSI name)'!AJ68,OFFSET('＠グループ、表示名'!$H$4,MATCH('＠MFP (LSI name)'!AJ68,'＠グループ、表示名'!$D$4:$D$250,0)-1,0)))</f>
        <v/>
      </c>
      <c r="AK68" s="69" t="str">
        <f ca="1">IF('＠MFP (LSI name)'!AK68="","",IF(COUNTIF('＠MFP (LSI name)'!AK68,"Serial*")+COUNTIF('＠MFP (LSI name)'!AK68,"Analog*")&gt;0,'＠MFP (LSI name)'!AK68,OFFSET('＠グループ、表示名'!$H$4,MATCH('＠MFP (LSI name)'!AK68,'＠グループ、表示名'!$D$4:$D$250,0)-1,0)))</f>
        <v/>
      </c>
      <c r="AL68" s="9" t="str">
        <f t="shared" si="4"/>
        <v>IOP3MD[3]</v>
      </c>
      <c r="AM68" s="9" t="str">
        <f t="shared" si="5"/>
        <v>IOP3MD[2]</v>
      </c>
      <c r="AN68" s="9" t="str">
        <f t="shared" si="6"/>
        <v>IOP3MD[1]</v>
      </c>
      <c r="AO68" s="9" t="str">
        <f t="shared" si="7"/>
        <v>IOP3MD[0]</v>
      </c>
      <c r="AP68" s="86"/>
    </row>
    <row r="69" spans="1:42" ht="16.149999999999999">
      <c r="A69" s="60">
        <v>64</v>
      </c>
      <c r="B69" s="7">
        <v>64</v>
      </c>
      <c r="C69" s="7">
        <v>52</v>
      </c>
      <c r="D69" s="87">
        <v>43</v>
      </c>
      <c r="E69" s="87"/>
      <c r="F69" s="7">
        <v>64</v>
      </c>
      <c r="G69" s="7">
        <v>52</v>
      </c>
      <c r="H69" s="87">
        <v>43</v>
      </c>
      <c r="I69" s="45" t="s">
        <v>539</v>
      </c>
      <c r="J69" s="45" t="s">
        <v>540</v>
      </c>
      <c r="K69" s="69" t="str">
        <f ca="1">IF('＠MFP (LSI name)'!K69="","",IF(COUNTIF('＠MFP (LSI name)'!K69,"Serial*")+COUNTIF('＠MFP (LSI name)'!K69,"Analog*")&gt;0,'＠MFP (LSI name)'!K69,OFFSET('＠グループ、表示名'!$H$4,MATCH('＠MFP (LSI name)'!K69,'＠グループ、表示名'!$D$4:$D$250,0)-1,0)))</f>
        <v>TM02B</v>
      </c>
      <c r="L69" s="69" t="str">
        <f ca="1">IF('＠MFP (LSI name)'!L69="","",IF(COUNTIF('＠MFP (LSI name)'!L69,"Serial*")+COUNTIF('＠MFP (LSI name)'!L69,"Analog*")&gt;0,'＠MFP (LSI name)'!L69,OFFSET('＠グループ、表示名'!$H$4,MATCH('＠MFP (LSI name)'!L69,'＠グループ、表示名'!$D$4:$D$250,0)-1,0)))</f>
        <v>TM06A</v>
      </c>
      <c r="M69" s="18" t="str">
        <f ca="1">IF('＠MFP (LSI name)'!M69="","",IF(COUNTIF('＠MFP (LSI name)'!M69,"Serial*")+COUNTIF('＠MFP (LSI name)'!M69,"Analog*")&gt;0,'＠MFP (LSI name)'!M69,OFFSET('＠グループ、表示名'!$H$4,MATCH('＠MFP (LSI name)'!M69,'＠グループ、表示名'!$D$4:$D$250,0)-1,0)))</f>
        <v>SIF3_SBT3</v>
      </c>
      <c r="N69" s="69" t="str">
        <f ca="1">IF('＠MFP (LSI name)'!N69="","",IF(COUNTIF('＠MFP (LSI name)'!N69,"Serial*")+COUNTIF('＠MFP (LSI name)'!N69,"Analog*")&gt;0,'＠MFP (LSI name)'!N69,OFFSET('＠グループ、表示名'!$H$4,MATCH('＠MFP (LSI name)'!N69,'＠グループ、表示名'!$D$4:$D$250,0)-1,0)))</f>
        <v>GPWM1_GPWMST1</v>
      </c>
      <c r="O69" s="69" t="str">
        <f ca="1">IF('＠MFP (LSI name)'!O69="","",IF(COUNTIF('＠MFP (LSI name)'!O69,"Serial*")+COUNTIF('＠MFP (LSI name)'!O69,"Analog*")&gt;0,'＠MFP (LSI name)'!O69,OFFSET('＠グループ、表示名'!$H$4,MATCH('＠MFP (LSI name)'!O69,'＠グループ、表示名'!$D$4:$D$250,0)-1,0)))</f>
        <v>GPWM4_GPWMST4</v>
      </c>
      <c r="P69" s="69" t="str">
        <f ca="1">IF('＠MFP (LSI name)'!P69="","",IF(COUNTIF('＠MFP (LSI name)'!P69,"Serial*")+COUNTIF('＠MFP (LSI name)'!P69,"Analog*")&gt;0,'＠MFP (LSI name)'!P69,OFFSET('＠グループ、表示名'!$H$4,MATCH('＠MFP (LSI name)'!P69,'＠グループ、表示名'!$D$4:$D$250,0)-1,0)))</f>
        <v>CMP0_CMPOT00</v>
      </c>
      <c r="Q69" s="69" t="str">
        <f ca="1">IF('＠MFP (LSI name)'!Q69="","",IF(COUNTIF('＠MFP (LSI name)'!Q69,"Serial*")+COUNTIF('＠MFP (LSI name)'!Q69,"Analog*")&gt;0,'＠MFP (LSI name)'!Q69,OFFSET('＠グループ、表示名'!$H$4,MATCH('＠MFP (LSI name)'!Q69,'＠グループ、表示名'!$D$4:$D$250,0)-1,0)))</f>
        <v>CMP0_CMPOT01</v>
      </c>
      <c r="R69" s="69" t="str">
        <f ca="1">IF('＠MFP (LSI name)'!R69="","",IF(COUNTIF('＠MFP (LSI name)'!R69,"Serial*")+COUNTIF('＠MFP (LSI name)'!R69,"Analog*")&gt;0,'＠MFP (LSI name)'!R69,OFFSET('＠グループ、表示名'!$H$4,MATCH('＠MFP (LSI name)'!R69,'＠グループ、表示名'!$D$4:$D$250,0)-1,0)))</f>
        <v>DAC_DAOT0</v>
      </c>
      <c r="S69" s="117" t="str">
        <f ca="1">IF('＠MFP (LSI name)'!S69="","",IF(COUNTIF('＠MFP (LSI name)'!S69,"Serial*")+COUNTIF('＠MFP (LSI name)'!S69,"Analog*")&gt;0,'＠MFP (LSI name)'!S69,OFFSET('＠グループ、表示名'!$H$4,MATCH('＠MFP (LSI name)'!S69,'＠グループ、表示名'!$D$4:$D$250,0)-1,0)))</f>
        <v>DBG_TRCD0</v>
      </c>
      <c r="T69" s="69" t="str">
        <f ca="1">IF('＠MFP (LSI name)'!T69="","",IF(COUNTIF('＠MFP (LSI name)'!T69,"Serial*")+COUNTIF('＠MFP (LSI name)'!T69,"Analog*")&gt;0,'＠MFP (LSI name)'!T69,OFFSET('＠グループ、表示名'!$H$4,MATCH('＠MFP (LSI name)'!T69,'＠グループ、表示名'!$D$4:$D$250,0)-1,0)))</f>
        <v/>
      </c>
      <c r="U69" s="69" t="str">
        <f ca="1">IF('＠MFP (LSI name)'!U69="","",IF(COUNTIF('＠MFP (LSI name)'!U69,"Serial*")+COUNTIF('＠MFP (LSI name)'!U69,"Analog*")&gt;0,'＠MFP (LSI name)'!U69,OFFSET('＠グループ、表示名'!$H$4,MATCH('＠MFP (LSI name)'!U69,'＠グループ、表示名'!$D$4:$D$250,0)-1,0)))</f>
        <v/>
      </c>
      <c r="V69" s="18" t="str">
        <f ca="1">IF('＠MFP (LSI name)'!V69="","",IF(COUNTIF('＠MFP (LSI name)'!V69,"Serial*")+COUNTIF('＠MFP (LSI name)'!V69,"Analog*")&gt;0,'＠MFP (LSI name)'!V69,OFFSET('＠グループ、表示名'!$H$4,MATCH('＠MFP (LSI name)'!V69,'＠グループ、表示名'!$D$4:$D$250,0)-1,0)))</f>
        <v/>
      </c>
      <c r="W69" s="18" t="str">
        <f ca="1">IF('＠MFP (LSI name)'!W69="","",IF(COUNTIF('＠MFP (LSI name)'!W69,"Serial*")+COUNTIF('＠MFP (LSI name)'!W69,"Analog*")&gt;0,'＠MFP (LSI name)'!W69,OFFSET('＠グループ、表示名'!$H$4,MATCH('＠MFP (LSI name)'!W69,'＠グループ、表示名'!$D$4:$D$250,0)-1,0)))</f>
        <v/>
      </c>
      <c r="X69" s="18" t="str">
        <f ca="1">IF('＠MFP (LSI name)'!X69="","",IF(COUNTIF('＠MFP (LSI name)'!X69,"Serial*")+COUNTIF('＠MFP (LSI name)'!X69,"Analog*")&gt;0,'＠MFP (LSI name)'!X69,OFFSET('＠グループ、表示名'!$H$4,MATCH('＠MFP (LSI name)'!X69,'＠グループ、表示名'!$D$4:$D$250,0)-1,0)))</f>
        <v/>
      </c>
      <c r="Y69" s="18" t="str">
        <f ca="1">IF('＠MFP (LSI name)'!Y69="","",IF(COUNTIF('＠MFP (LSI name)'!Y69,"Serial*")+COUNTIF('＠MFP (LSI name)'!Y69,"Analog*")&gt;0,'＠MFP (LSI name)'!Y69,OFFSET('＠グループ、表示名'!$H$4,MATCH('＠MFP (LSI name)'!Y69,'＠グループ、表示名'!$D$4:$D$250,0)-1,0)))</f>
        <v/>
      </c>
      <c r="Z69" s="18" t="str">
        <f ca="1">IF('＠MFP (LSI name)'!Z69="","",IF(COUNTIF('＠MFP (LSI name)'!Z69,"Serial*")+COUNTIF('＠MFP (LSI name)'!Z69,"Analog*")&gt;0,'＠MFP (LSI name)'!Z69,OFFSET('＠グループ、表示名'!$H$4,MATCH('＠MFP (LSI name)'!Z69,'＠グループ、表示名'!$D$4:$D$250,0)-1,0)))</f>
        <v/>
      </c>
      <c r="AA69" s="69" t="str">
        <f ca="1">IF('＠MFP (LSI name)'!AA69="","",IF(COUNTIF('＠MFP (LSI name)'!AA69,"Serial*")+COUNTIF('＠MFP (LSI name)'!AA69,"Analog*")&gt;0,'＠MFP (LSI name)'!AA69,OFFSET('＠グループ、表示名'!$H$4,MATCH('＠MFP (LSI name)'!AA69,'＠グループ、表示名'!$D$4:$D$250,0)-1,0)))</f>
        <v/>
      </c>
      <c r="AB69" s="18" t="str">
        <f ca="1">IF('＠MFP (LSI name)'!AB69="","",IF(COUNTIF('＠MFP (LSI name)'!AB69,"Serial*")+COUNTIF('＠MFP (LSI name)'!AB69,"Analog*")&gt;0,'＠MFP (LSI name)'!AB69,OFFSET('＠グループ、表示名'!$H$4,MATCH('＠MFP (LSI name)'!AB69,'＠グループ、表示名'!$D$4:$D$250,0)-1,0)))</f>
        <v/>
      </c>
      <c r="AC69" s="18" t="str">
        <f ca="1">IF('＠MFP (LSI name)'!AC69="","",IF(COUNTIF('＠MFP (LSI name)'!AC69,"Serial*")+COUNTIF('＠MFP (LSI name)'!AC69,"Analog*")&gt;0,'＠MFP (LSI name)'!AC69,OFFSET('＠グループ、表示名'!$H$4,MATCH('＠MFP (LSI name)'!AC69,'＠グループ、表示名'!$D$4:$D$250,0)-1,0)))</f>
        <v/>
      </c>
      <c r="AD69" s="18" t="str">
        <f ca="1">IF('＠MFP (LSI name)'!AD69="","",IF(COUNTIF('＠MFP (LSI name)'!AD69,"Serial*")+COUNTIF('＠MFP (LSI name)'!AD69,"Analog*")&gt;0,'＠MFP (LSI name)'!AD69,OFFSET('＠グループ、表示名'!$H$4,MATCH('＠MFP (LSI name)'!AD69,'＠グループ、表示名'!$D$4:$D$250,0)-1,0)))</f>
        <v/>
      </c>
      <c r="AE69" s="18" t="str">
        <f ca="1">IF('＠MFP (LSI name)'!AE69="","",IF(COUNTIF('＠MFP (LSI name)'!AE69,"Serial*")+COUNTIF('＠MFP (LSI name)'!AE69,"Analog*")&gt;0,'＠MFP (LSI name)'!AE69,OFFSET('＠グループ、表示名'!$H$4,MATCH('＠MFP (LSI name)'!AE69,'＠グループ、表示名'!$D$4:$D$250,0)-1,0)))</f>
        <v/>
      </c>
      <c r="AF69" s="69" t="str">
        <f ca="1">IF('＠MFP (LSI name)'!AF69="","",IF(COUNTIF('＠MFP (LSI name)'!AF69,"Serial*")+COUNTIF('＠MFP (LSI name)'!AF69,"Analog*")&gt;0,'＠MFP (LSI name)'!AF69,OFFSET('＠グループ、表示名'!$H$4,MATCH('＠MFP (LSI name)'!AF69,'＠グループ、表示名'!$D$4:$D$250,0)-1,0)))</f>
        <v/>
      </c>
      <c r="AG69" s="18" t="str">
        <f ca="1">IF('＠MFP (LSI name)'!AG69="","",IF(COUNTIF('＠MFP (LSI name)'!AG69,"Serial*")+COUNTIF('＠MFP (LSI name)'!AG69,"Analog*")&gt;0,'＠MFP (LSI name)'!AG69,OFFSET('＠グループ、表示名'!$H$4,MATCH('＠MFP (LSI name)'!AG69,'＠グループ、表示名'!$D$4:$D$250,0)-1,0)))</f>
        <v/>
      </c>
      <c r="AH69" s="18" t="str">
        <f ca="1">IF('＠MFP (LSI name)'!AH69="","",IF(COUNTIF('＠MFP (LSI name)'!AH69,"Serial*")+COUNTIF('＠MFP (LSI name)'!AH69,"Analog*")&gt;0,'＠MFP (LSI name)'!AH69,OFFSET('＠グループ、表示名'!$H$4,MATCH('＠MFP (LSI name)'!AH69,'＠グループ、表示名'!$D$4:$D$250,0)-1,0)))</f>
        <v/>
      </c>
      <c r="AI69" s="18" t="str">
        <f ca="1">IF('＠MFP (LSI name)'!AI69="","",IF(COUNTIF('＠MFP (LSI name)'!AI69,"Serial*")+COUNTIF('＠MFP (LSI name)'!AI69,"Analog*")&gt;0,'＠MFP (LSI name)'!AI69,OFFSET('＠グループ、表示名'!$H$4,MATCH('＠MFP (LSI name)'!AI69,'＠グループ、表示名'!$D$4:$D$250,0)-1,0)))</f>
        <v/>
      </c>
      <c r="AJ69" s="18" t="str">
        <f ca="1">IF('＠MFP (LSI name)'!AJ69="","",IF(COUNTIF('＠MFP (LSI name)'!AJ69,"Serial*")+COUNTIF('＠MFP (LSI name)'!AJ69,"Analog*")&gt;0,'＠MFP (LSI name)'!AJ69,OFFSET('＠グループ、表示名'!$H$4,MATCH('＠MFP (LSI name)'!AJ69,'＠グループ、表示名'!$D$4:$D$250,0)-1,0)))</f>
        <v/>
      </c>
      <c r="AK69" s="69" t="str">
        <f ca="1">IF('＠MFP (LSI name)'!AK69="","",IF(COUNTIF('＠MFP (LSI name)'!AK69,"Serial*")+COUNTIF('＠MFP (LSI name)'!AK69,"Analog*")&gt;0,'＠MFP (LSI name)'!AK69,OFFSET('＠グループ、表示名'!$H$4,MATCH('＠MFP (LSI name)'!AK69,'＠グループ、表示名'!$D$4:$D$250,0)-1,0)))</f>
        <v/>
      </c>
      <c r="AL69" s="9" t="str">
        <f t="shared" si="4"/>
        <v>IOP2MD[19]</v>
      </c>
      <c r="AM69" s="9" t="str">
        <f t="shared" si="5"/>
        <v>IOP2MD[18]</v>
      </c>
      <c r="AN69" s="9" t="str">
        <f t="shared" si="6"/>
        <v>IOP2MD[17]</v>
      </c>
      <c r="AO69" s="9" t="str">
        <f t="shared" si="7"/>
        <v>IOP2MD[16]</v>
      </c>
      <c r="AP69" s="86"/>
    </row>
    <row r="70" spans="1:42" ht="16.149999999999999">
      <c r="A70" s="60" t="s">
        <v>541</v>
      </c>
      <c r="B70" s="7"/>
      <c r="C70" s="7"/>
      <c r="D70" s="87"/>
      <c r="E70" s="87">
        <v>32</v>
      </c>
      <c r="F70" s="7"/>
      <c r="G70" s="7"/>
      <c r="H70" s="87"/>
      <c r="I70" s="45" t="s">
        <v>539</v>
      </c>
      <c r="J70" s="45" t="s">
        <v>540</v>
      </c>
      <c r="K70" s="69" t="str">
        <f ca="1">IF('＠MFP (LSI name)'!K70="","",IF(COUNTIF('＠MFP (LSI name)'!K70,"Serial*")+COUNTIF('＠MFP (LSI name)'!K70,"Analog*")&gt;0,'＠MFP (LSI name)'!K70,OFFSET('＠グループ、表示名'!$H$4,MATCH('＠MFP (LSI name)'!K70,'＠グループ、表示名'!$D$4:$D$250,0)-1,0)))</f>
        <v>TM02B</v>
      </c>
      <c r="L70" s="69" t="str">
        <f ca="1">IF('＠MFP (LSI name)'!L70="","",IF(COUNTIF('＠MFP (LSI name)'!L70,"Serial*")+COUNTIF('＠MFP (LSI name)'!L70,"Analog*")&gt;0,'＠MFP (LSI name)'!L70,OFFSET('＠グループ、表示名'!$H$4,MATCH('＠MFP (LSI name)'!L70,'＠グループ、表示名'!$D$4:$D$250,0)-1,0)))</f>
        <v>TM06A</v>
      </c>
      <c r="M70" s="18" t="str">
        <f ca="1">IF('＠MFP (LSI name)'!M70="","",IF(COUNTIF('＠MFP (LSI name)'!M70,"Serial*")+COUNTIF('＠MFP (LSI name)'!M70,"Analog*")&gt;0,'＠MFP (LSI name)'!M70,OFFSET('＠グループ、表示名'!$H$4,MATCH('＠MFP (LSI name)'!M70,'＠グループ、表示名'!$D$4:$D$250,0)-1,0)))</f>
        <v>SIF3_SBT3</v>
      </c>
      <c r="N70" s="69" t="str">
        <f ca="1">IF('＠MFP (LSI name)'!N70="","",IF(COUNTIF('＠MFP (LSI name)'!N70,"Serial*")+COUNTIF('＠MFP (LSI name)'!N70,"Analog*")&gt;0,'＠MFP (LSI name)'!N70,OFFSET('＠グループ、表示名'!$H$4,MATCH('＠MFP (LSI name)'!N70,'＠グループ、表示名'!$D$4:$D$250,0)-1,0)))</f>
        <v>GPWM1_GPWMST1</v>
      </c>
      <c r="O70" s="69" t="str">
        <f ca="1">IF('＠MFP (LSI name)'!O70="","",IF(COUNTIF('＠MFP (LSI name)'!O70,"Serial*")+COUNTIF('＠MFP (LSI name)'!O70,"Analog*")&gt;0,'＠MFP (LSI name)'!O70,OFFSET('＠グループ、表示名'!$H$4,MATCH('＠MFP (LSI name)'!O70,'＠グループ、表示名'!$D$4:$D$250,0)-1,0)))</f>
        <v>GPWM4_GPWMST4</v>
      </c>
      <c r="P70" s="69" t="str">
        <f ca="1">IF('＠MFP (LSI name)'!P70="","",IF(COUNTIF('＠MFP (LSI name)'!P70,"Serial*")+COUNTIF('＠MFP (LSI name)'!P70,"Analog*")&gt;0,'＠MFP (LSI name)'!P70,OFFSET('＠グループ、表示名'!$H$4,MATCH('＠MFP (LSI name)'!P70,'＠グループ、表示名'!$D$4:$D$250,0)-1,0)))</f>
        <v>CMP0_CMPOT00</v>
      </c>
      <c r="Q70" s="69" t="str">
        <f ca="1">IF('＠MFP (LSI name)'!Q70="","",IF(COUNTIF('＠MFP (LSI name)'!Q70,"Serial*")+COUNTIF('＠MFP (LSI name)'!Q70,"Analog*")&gt;0,'＠MFP (LSI name)'!Q70,OFFSET('＠グループ、表示名'!$H$4,MATCH('＠MFP (LSI name)'!Q70,'＠グループ、表示名'!$D$4:$D$250,0)-1,0)))</f>
        <v>CMP0_CMPOT01</v>
      </c>
      <c r="R70" s="69" t="str">
        <f ca="1">IF('＠MFP (LSI name)'!R70="","",IF(COUNTIF('＠MFP (LSI name)'!R70,"Serial*")+COUNTIF('＠MFP (LSI name)'!R70,"Analog*")&gt;0,'＠MFP (LSI name)'!R70,OFFSET('＠グループ、表示名'!$H$4,MATCH('＠MFP (LSI name)'!R70,'＠グループ、表示名'!$D$4:$D$250,0)-1,0)))</f>
        <v>DAC_DAOT0</v>
      </c>
      <c r="S70" s="69" t="str">
        <f ca="1">IF('＠MFP (LSI name)'!S70="","",IF(COUNTIF('＠MFP (LSI name)'!S70,"Serial*")+COUNTIF('＠MFP (LSI name)'!S70,"Analog*")&gt;0,'＠MFP (LSI name)'!S70,OFFSET('＠グループ、表示名'!$H$4,MATCH('＠MFP (LSI name)'!S70,'＠グループ、表示名'!$D$4:$D$250,0)-1,0)))</f>
        <v/>
      </c>
      <c r="T70" s="69" t="str">
        <f ca="1">IF('＠MFP (LSI name)'!T70="","",IF(COUNTIF('＠MFP (LSI name)'!T70,"Serial*")+COUNTIF('＠MFP (LSI name)'!T70,"Analog*")&gt;0,'＠MFP (LSI name)'!T70,OFFSET('＠グループ、表示名'!$H$4,MATCH('＠MFP (LSI name)'!T70,'＠グループ、表示名'!$D$4:$D$250,0)-1,0)))</f>
        <v/>
      </c>
      <c r="U70" s="69" t="str">
        <f ca="1">IF('＠MFP (LSI name)'!U70="","",IF(COUNTIF('＠MFP (LSI name)'!U70,"Serial*")+COUNTIF('＠MFP (LSI name)'!U70,"Analog*")&gt;0,'＠MFP (LSI name)'!U70,OFFSET('＠グループ、表示名'!$H$4,MATCH('＠MFP (LSI name)'!U70,'＠グループ、表示名'!$D$4:$D$250,0)-1,0)))</f>
        <v/>
      </c>
      <c r="V70" s="18" t="str">
        <f ca="1">IF('＠MFP (LSI name)'!V70="","",IF(COUNTIF('＠MFP (LSI name)'!V70,"Serial*")+COUNTIF('＠MFP (LSI name)'!V70,"Analog*")&gt;0,'＠MFP (LSI name)'!V70,OFFSET('＠グループ、表示名'!$H$4,MATCH('＠MFP (LSI name)'!V70,'＠グループ、表示名'!$D$4:$D$250,0)-1,0)))</f>
        <v/>
      </c>
      <c r="W70" s="18" t="str">
        <f ca="1">IF('＠MFP (LSI name)'!W70="","",IF(COUNTIF('＠MFP (LSI name)'!W70,"Serial*")+COUNTIF('＠MFP (LSI name)'!W70,"Analog*")&gt;0,'＠MFP (LSI name)'!W70,OFFSET('＠グループ、表示名'!$H$4,MATCH('＠MFP (LSI name)'!W70,'＠グループ、表示名'!$D$4:$D$250,0)-1,0)))</f>
        <v/>
      </c>
      <c r="X70" s="18" t="str">
        <f ca="1">IF('＠MFP (LSI name)'!X70="","",IF(COUNTIF('＠MFP (LSI name)'!X70,"Serial*")+COUNTIF('＠MFP (LSI name)'!X70,"Analog*")&gt;0,'＠MFP (LSI name)'!X70,OFFSET('＠グループ、表示名'!$H$4,MATCH('＠MFP (LSI name)'!X70,'＠グループ、表示名'!$D$4:$D$250,0)-1,0)))</f>
        <v/>
      </c>
      <c r="Y70" s="18" t="str">
        <f ca="1">IF('＠MFP (LSI name)'!Y70="","",IF(COUNTIF('＠MFP (LSI name)'!Y70,"Serial*")+COUNTIF('＠MFP (LSI name)'!Y70,"Analog*")&gt;0,'＠MFP (LSI name)'!Y70,OFFSET('＠グループ、表示名'!$H$4,MATCH('＠MFP (LSI name)'!Y70,'＠グループ、表示名'!$D$4:$D$250,0)-1,0)))</f>
        <v/>
      </c>
      <c r="Z70" s="18" t="str">
        <f ca="1">IF('＠MFP (LSI name)'!Z70="","",IF(COUNTIF('＠MFP (LSI name)'!Z70,"Serial*")+COUNTIF('＠MFP (LSI name)'!Z70,"Analog*")&gt;0,'＠MFP (LSI name)'!Z70,OFFSET('＠グループ、表示名'!$H$4,MATCH('＠MFP (LSI name)'!Z70,'＠グループ、表示名'!$D$4:$D$250,0)-1,0)))</f>
        <v/>
      </c>
      <c r="AA70" s="69" t="str">
        <f ca="1">IF('＠MFP (LSI name)'!AA70="","",IF(COUNTIF('＠MFP (LSI name)'!AA70,"Serial*")+COUNTIF('＠MFP (LSI name)'!AA70,"Analog*")&gt;0,'＠MFP (LSI name)'!AA70,OFFSET('＠グループ、表示名'!$H$4,MATCH('＠MFP (LSI name)'!AA70,'＠グループ、表示名'!$D$4:$D$250,0)-1,0)))</f>
        <v/>
      </c>
      <c r="AB70" s="18" t="str">
        <f ca="1">IF('＠MFP (LSI name)'!AB70="","",IF(COUNTIF('＠MFP (LSI name)'!AB70,"Serial*")+COUNTIF('＠MFP (LSI name)'!AB70,"Analog*")&gt;0,'＠MFP (LSI name)'!AB70,OFFSET('＠グループ、表示名'!$H$4,MATCH('＠MFP (LSI name)'!AB70,'＠グループ、表示名'!$D$4:$D$250,0)-1,0)))</f>
        <v/>
      </c>
      <c r="AC70" s="18" t="str">
        <f ca="1">IF('＠MFP (LSI name)'!AC70="","",IF(COUNTIF('＠MFP (LSI name)'!AC70,"Serial*")+COUNTIF('＠MFP (LSI name)'!AC70,"Analog*")&gt;0,'＠MFP (LSI name)'!AC70,OFFSET('＠グループ、表示名'!$H$4,MATCH('＠MFP (LSI name)'!AC70,'＠グループ、表示名'!$D$4:$D$250,0)-1,0)))</f>
        <v/>
      </c>
      <c r="AD70" s="18" t="str">
        <f ca="1">IF('＠MFP (LSI name)'!AD70="","",IF(COUNTIF('＠MFP (LSI name)'!AD70,"Serial*")+COUNTIF('＠MFP (LSI name)'!AD70,"Analog*")&gt;0,'＠MFP (LSI name)'!AD70,OFFSET('＠グループ、表示名'!$H$4,MATCH('＠MFP (LSI name)'!AD70,'＠グループ、表示名'!$D$4:$D$250,0)-1,0)))</f>
        <v/>
      </c>
      <c r="AE70" s="18" t="str">
        <f ca="1">IF('＠MFP (LSI name)'!AE70="","",IF(COUNTIF('＠MFP (LSI name)'!AE70,"Serial*")+COUNTIF('＠MFP (LSI name)'!AE70,"Analog*")&gt;0,'＠MFP (LSI name)'!AE70,OFFSET('＠グループ、表示名'!$H$4,MATCH('＠MFP (LSI name)'!AE70,'＠グループ、表示名'!$D$4:$D$250,0)-1,0)))</f>
        <v/>
      </c>
      <c r="AF70" s="69" t="str">
        <f ca="1">IF('＠MFP (LSI name)'!AF70="","",IF(COUNTIF('＠MFP (LSI name)'!AF70,"Serial*")+COUNTIF('＠MFP (LSI name)'!AF70,"Analog*")&gt;0,'＠MFP (LSI name)'!AF70,OFFSET('＠グループ、表示名'!$H$4,MATCH('＠MFP (LSI name)'!AF70,'＠グループ、表示名'!$D$4:$D$250,0)-1,0)))</f>
        <v/>
      </c>
      <c r="AG70" s="18" t="str">
        <f ca="1">IF('＠MFP (LSI name)'!AG70="","",IF(COUNTIF('＠MFP (LSI name)'!AG70,"Serial*")+COUNTIF('＠MFP (LSI name)'!AG70,"Analog*")&gt;0,'＠MFP (LSI name)'!AG70,OFFSET('＠グループ、表示名'!$H$4,MATCH('＠MFP (LSI name)'!AG70,'＠グループ、表示名'!$D$4:$D$250,0)-1,0)))</f>
        <v/>
      </c>
      <c r="AH70" s="18" t="str">
        <f ca="1">IF('＠MFP (LSI name)'!AH70="","",IF(COUNTIF('＠MFP (LSI name)'!AH70,"Serial*")+COUNTIF('＠MFP (LSI name)'!AH70,"Analog*")&gt;0,'＠MFP (LSI name)'!AH70,OFFSET('＠グループ、表示名'!$H$4,MATCH('＠MFP (LSI name)'!AH70,'＠グループ、表示名'!$D$4:$D$250,0)-1,0)))</f>
        <v/>
      </c>
      <c r="AI70" s="18" t="str">
        <f ca="1">IF('＠MFP (LSI name)'!AI70="","",IF(COUNTIF('＠MFP (LSI name)'!AI70,"Serial*")+COUNTIF('＠MFP (LSI name)'!AI70,"Analog*")&gt;0,'＠MFP (LSI name)'!AI70,OFFSET('＠グループ、表示名'!$H$4,MATCH('＠MFP (LSI name)'!AI70,'＠グループ、表示名'!$D$4:$D$250,0)-1,0)))</f>
        <v/>
      </c>
      <c r="AJ70" s="18" t="str">
        <f ca="1">IF('＠MFP (LSI name)'!AJ70="","",IF(COUNTIF('＠MFP (LSI name)'!AJ70,"Serial*")+COUNTIF('＠MFP (LSI name)'!AJ70,"Analog*")&gt;0,'＠MFP (LSI name)'!AJ70,OFFSET('＠グループ、表示名'!$H$4,MATCH('＠MFP (LSI name)'!AJ70,'＠グループ、表示名'!$D$4:$D$250,0)-1,0)))</f>
        <v/>
      </c>
      <c r="AK70" s="69" t="str">
        <f ca="1">IF('＠MFP (LSI name)'!AK70="","",IF(COUNTIF('＠MFP (LSI name)'!AK70,"Serial*")+COUNTIF('＠MFP (LSI name)'!AK70,"Analog*")&gt;0,'＠MFP (LSI name)'!AK70,OFFSET('＠グループ、表示名'!$H$4,MATCH('＠MFP (LSI name)'!AK70,'＠グループ、表示名'!$D$4:$D$250,0)-1,0)))</f>
        <v/>
      </c>
      <c r="AL70" s="9" t="str">
        <f t="shared" si="4"/>
        <v>IOP2MD[19]</v>
      </c>
      <c r="AM70" s="9" t="str">
        <f t="shared" si="5"/>
        <v>IOP2MD[18]</v>
      </c>
      <c r="AN70" s="9" t="str">
        <f t="shared" si="6"/>
        <v>IOP2MD[17]</v>
      </c>
      <c r="AO70" s="9" t="str">
        <f t="shared" si="7"/>
        <v>IOP2MD[16]</v>
      </c>
      <c r="AP70" s="86"/>
    </row>
    <row r="71" spans="1:42" ht="16.149999999999999">
      <c r="A71" s="60">
        <v>65</v>
      </c>
      <c r="B71" s="7">
        <v>65</v>
      </c>
      <c r="C71" s="7">
        <v>53</v>
      </c>
      <c r="D71" s="87">
        <v>44</v>
      </c>
      <c r="E71" s="87"/>
      <c r="F71" s="7">
        <v>65</v>
      </c>
      <c r="G71" s="7">
        <v>53</v>
      </c>
      <c r="H71" s="87">
        <v>44</v>
      </c>
      <c r="I71" s="45" t="s">
        <v>542</v>
      </c>
      <c r="J71" s="45" t="s">
        <v>543</v>
      </c>
      <c r="K71" s="69" t="str">
        <f ca="1">IF('＠MFP (LSI name)'!K71="","",IF(COUNTIF('＠MFP (LSI name)'!K71,"Serial*")+COUNTIF('＠MFP (LSI name)'!K71,"Analog*")&gt;0,'＠MFP (LSI name)'!K71,OFFSET('＠グループ、表示名'!$H$4,MATCH('＠MFP (LSI name)'!K71,'＠グループ、表示名'!$D$4:$D$250,0)-1,0)))</f>
        <v>TM02A</v>
      </c>
      <c r="L71" s="69" t="str">
        <f ca="1">IF('＠MFP (LSI name)'!L71="","",IF(COUNTIF('＠MFP (LSI name)'!L71,"Serial*")+COUNTIF('＠MFP (LSI name)'!L71,"Analog*")&gt;0,'＠MFP (LSI name)'!L71,OFFSET('＠グループ、表示名'!$H$4,MATCH('＠MFP (LSI name)'!L71,'＠グループ、表示名'!$D$4:$D$250,0)-1,0)))</f>
        <v>TM07A</v>
      </c>
      <c r="M71" s="18" t="str">
        <f ca="1">IF('＠MFP (LSI name)'!M71="","",IF(COUNTIF('＠MFP (LSI name)'!M71,"Serial*")+COUNTIF('＠MFP (LSI name)'!M71,"Analog*")&gt;0,'＠MFP (LSI name)'!M71,OFFSET('＠グループ、表示名'!$H$4,MATCH('＠MFP (LSI name)'!M71,'＠グループ、表示名'!$D$4:$D$250,0)-1,0)))</f>
        <v>SIF3_SBI3</v>
      </c>
      <c r="N71" s="18" t="str">
        <f ca="1">IF('＠MFP (LSI name)'!N71="","",IF(COUNTIF('＠MFP (LSI name)'!N71,"Serial*")+COUNTIF('＠MFP (LSI name)'!N71,"Analog*")&gt;0,'＠MFP (LSI name)'!N71,OFFSET('＠グループ、表示名'!$H$4,MATCH('＠MFP (LSI name)'!N71,'＠グループ、表示名'!$D$4:$D$250,0)-1,0)))</f>
        <v>SIF3_SBO3</v>
      </c>
      <c r="O71" s="69" t="str">
        <f ca="1">IF('＠MFP (LSI name)'!O71="","",IF(COUNTIF('＠MFP (LSI name)'!O71,"Serial*")+COUNTIF('＠MFP (LSI name)'!O71,"Analog*")&gt;0,'＠MFP (LSI name)'!O71,OFFSET('＠グループ、表示名'!$H$4,MATCH('＠MFP (LSI name)'!O71,'＠グループ、表示名'!$D$4:$D$250,0)-1,0)))</f>
        <v>GPWM2_GPWMST2</v>
      </c>
      <c r="P71" s="69" t="str">
        <f ca="1">IF('＠MFP (LSI name)'!P71="","",IF(COUNTIF('＠MFP (LSI name)'!P71,"Serial*")+COUNTIF('＠MFP (LSI name)'!P71,"Analog*")&gt;0,'＠MFP (LSI name)'!P71,OFFSET('＠グループ、表示名'!$H$4,MATCH('＠MFP (LSI name)'!P71,'＠グループ、表示名'!$D$4:$D$250,0)-1,0)))</f>
        <v>GPWM5_GPWMST5</v>
      </c>
      <c r="Q71" s="69" t="str">
        <f ca="1">IF('＠MFP (LSI name)'!Q71="","",IF(COUNTIF('＠MFP (LSI name)'!Q71,"Serial*")+COUNTIF('＠MFP (LSI name)'!Q71,"Analog*")&gt;0,'＠MFP (LSI name)'!Q71,OFFSET('＠グループ、表示名'!$H$4,MATCH('＠MFP (LSI name)'!Q71,'＠グループ、表示名'!$D$4:$D$250,0)-1,0)))</f>
        <v>CMP1_CMPOT10</v>
      </c>
      <c r="R71" s="69" t="str">
        <f ca="1">IF('＠MFP (LSI name)'!R71="","",IF(COUNTIF('＠MFP (LSI name)'!R71,"Serial*")+COUNTIF('＠MFP (LSI name)'!R71,"Analog*")&gt;0,'＠MFP (LSI name)'!R71,OFFSET('＠グループ、表示名'!$H$4,MATCH('＠MFP (LSI name)'!R71,'＠グループ、表示名'!$D$4:$D$250,0)-1,0)))</f>
        <v>CMP1_CMPOT11</v>
      </c>
      <c r="S71" s="69" t="str">
        <f ca="1">IF('＠MFP (LSI name)'!S71="","",IF(COUNTIF('＠MFP (LSI name)'!S71,"Serial*")+COUNTIF('＠MFP (LSI name)'!S71,"Analog*")&gt;0,'＠MFP (LSI name)'!S71,OFFSET('＠グループ、表示名'!$H$4,MATCH('＠MFP (LSI name)'!S71,'＠グループ、表示名'!$D$4:$D$250,0)-1,0)))</f>
        <v>CKMREF</v>
      </c>
      <c r="T71" s="117" t="str">
        <f ca="1">IF('＠MFP (LSI name)'!T71="","",IF(COUNTIF('＠MFP (LSI name)'!T71,"Serial*")+COUNTIF('＠MFP (LSI name)'!T71,"Analog*")&gt;0,'＠MFP (LSI name)'!T71,OFFSET('＠グループ、表示名'!$H$4,MATCH('＠MFP (LSI name)'!T71,'＠グループ、表示名'!$D$4:$D$250,0)-1,0)))</f>
        <v>DBG_TRCD1</v>
      </c>
      <c r="U71" s="69" t="str">
        <f ca="1">IF('＠MFP (LSI name)'!U71="","",IF(COUNTIF('＠MFP (LSI name)'!U71,"Serial*")+COUNTIF('＠MFP (LSI name)'!U71,"Analog*")&gt;0,'＠MFP (LSI name)'!U71,OFFSET('＠グループ、表示名'!$H$4,MATCH('＠MFP (LSI name)'!U71,'＠グループ、表示名'!$D$4:$D$250,0)-1,0)))</f>
        <v/>
      </c>
      <c r="V71" s="18" t="str">
        <f ca="1">IF('＠MFP (LSI name)'!V71="","",IF(COUNTIF('＠MFP (LSI name)'!V71,"Serial*")+COUNTIF('＠MFP (LSI name)'!V71,"Analog*")&gt;0,'＠MFP (LSI name)'!V71,OFFSET('＠グループ、表示名'!$H$4,MATCH('＠MFP (LSI name)'!V71,'＠グループ、表示名'!$D$4:$D$250,0)-1,0)))</f>
        <v/>
      </c>
      <c r="W71" s="18" t="str">
        <f ca="1">IF('＠MFP (LSI name)'!W71="","",IF(COUNTIF('＠MFP (LSI name)'!W71,"Serial*")+COUNTIF('＠MFP (LSI name)'!W71,"Analog*")&gt;0,'＠MFP (LSI name)'!W71,OFFSET('＠グループ、表示名'!$H$4,MATCH('＠MFP (LSI name)'!W71,'＠グループ、表示名'!$D$4:$D$250,0)-1,0)))</f>
        <v/>
      </c>
      <c r="X71" s="18" t="str">
        <f ca="1">IF('＠MFP (LSI name)'!X71="","",IF(COUNTIF('＠MFP (LSI name)'!X71,"Serial*")+COUNTIF('＠MFP (LSI name)'!X71,"Analog*")&gt;0,'＠MFP (LSI name)'!X71,OFFSET('＠グループ、表示名'!$H$4,MATCH('＠MFP (LSI name)'!X71,'＠グループ、表示名'!$D$4:$D$250,0)-1,0)))</f>
        <v/>
      </c>
      <c r="Y71" s="18" t="str">
        <f ca="1">IF('＠MFP (LSI name)'!Y71="","",IF(COUNTIF('＠MFP (LSI name)'!Y71,"Serial*")+COUNTIF('＠MFP (LSI name)'!Y71,"Analog*")&gt;0,'＠MFP (LSI name)'!Y71,OFFSET('＠グループ、表示名'!$H$4,MATCH('＠MFP (LSI name)'!Y71,'＠グループ、表示名'!$D$4:$D$250,0)-1,0)))</f>
        <v/>
      </c>
      <c r="Z71" s="18" t="str">
        <f ca="1">IF('＠MFP (LSI name)'!Z71="","",IF(COUNTIF('＠MFP (LSI name)'!Z71,"Serial*")+COUNTIF('＠MFP (LSI name)'!Z71,"Analog*")&gt;0,'＠MFP (LSI name)'!Z71,OFFSET('＠グループ、表示名'!$H$4,MATCH('＠MFP (LSI name)'!Z71,'＠グループ、表示名'!$D$4:$D$250,0)-1,0)))</f>
        <v/>
      </c>
      <c r="AA71" s="69" t="str">
        <f ca="1">IF('＠MFP (LSI name)'!AA71="","",IF(COUNTIF('＠MFP (LSI name)'!AA71,"Serial*")+COUNTIF('＠MFP (LSI name)'!AA71,"Analog*")&gt;0,'＠MFP (LSI name)'!AA71,OFFSET('＠グループ、表示名'!$H$4,MATCH('＠MFP (LSI name)'!AA71,'＠グループ、表示名'!$D$4:$D$250,0)-1,0)))</f>
        <v/>
      </c>
      <c r="AB71" s="18" t="str">
        <f ca="1">IF('＠MFP (LSI name)'!AB71="","",IF(COUNTIF('＠MFP (LSI name)'!AB71,"Serial*")+COUNTIF('＠MFP (LSI name)'!AB71,"Analog*")&gt;0,'＠MFP (LSI name)'!AB71,OFFSET('＠グループ、表示名'!$H$4,MATCH('＠MFP (LSI name)'!AB71,'＠グループ、表示名'!$D$4:$D$250,0)-1,0)))</f>
        <v/>
      </c>
      <c r="AC71" s="18" t="str">
        <f ca="1">IF('＠MFP (LSI name)'!AC71="","",IF(COUNTIF('＠MFP (LSI name)'!AC71,"Serial*")+COUNTIF('＠MFP (LSI name)'!AC71,"Analog*")&gt;0,'＠MFP (LSI name)'!AC71,OFFSET('＠グループ、表示名'!$H$4,MATCH('＠MFP (LSI name)'!AC71,'＠グループ、表示名'!$D$4:$D$250,0)-1,0)))</f>
        <v/>
      </c>
      <c r="AD71" s="18" t="str">
        <f ca="1">IF('＠MFP (LSI name)'!AD71="","",IF(COUNTIF('＠MFP (LSI name)'!AD71,"Serial*")+COUNTIF('＠MFP (LSI name)'!AD71,"Analog*")&gt;0,'＠MFP (LSI name)'!AD71,OFFSET('＠グループ、表示名'!$H$4,MATCH('＠MFP (LSI name)'!AD71,'＠グループ、表示名'!$D$4:$D$250,0)-1,0)))</f>
        <v/>
      </c>
      <c r="AE71" s="18" t="str">
        <f ca="1">IF('＠MFP (LSI name)'!AE71="","",IF(COUNTIF('＠MFP (LSI name)'!AE71,"Serial*")+COUNTIF('＠MFP (LSI name)'!AE71,"Analog*")&gt;0,'＠MFP (LSI name)'!AE71,OFFSET('＠グループ、表示名'!$H$4,MATCH('＠MFP (LSI name)'!AE71,'＠グループ、表示名'!$D$4:$D$250,0)-1,0)))</f>
        <v/>
      </c>
      <c r="AF71" s="69" t="str">
        <f ca="1">IF('＠MFP (LSI name)'!AF71="","",IF(COUNTIF('＠MFP (LSI name)'!AF71,"Serial*")+COUNTIF('＠MFP (LSI name)'!AF71,"Analog*")&gt;0,'＠MFP (LSI name)'!AF71,OFFSET('＠グループ、表示名'!$H$4,MATCH('＠MFP (LSI name)'!AF71,'＠グループ、表示名'!$D$4:$D$250,0)-1,0)))</f>
        <v/>
      </c>
      <c r="AG71" s="18" t="str">
        <f ca="1">IF('＠MFP (LSI name)'!AG71="","",IF(COUNTIF('＠MFP (LSI name)'!AG71,"Serial*")+COUNTIF('＠MFP (LSI name)'!AG71,"Analog*")&gt;0,'＠MFP (LSI name)'!AG71,OFFSET('＠グループ、表示名'!$H$4,MATCH('＠MFP (LSI name)'!AG71,'＠グループ、表示名'!$D$4:$D$250,0)-1,0)))</f>
        <v/>
      </c>
      <c r="AH71" s="18" t="str">
        <f ca="1">IF('＠MFP (LSI name)'!AH71="","",IF(COUNTIF('＠MFP (LSI name)'!AH71,"Serial*")+COUNTIF('＠MFP (LSI name)'!AH71,"Analog*")&gt;0,'＠MFP (LSI name)'!AH71,OFFSET('＠グループ、表示名'!$H$4,MATCH('＠MFP (LSI name)'!AH71,'＠グループ、表示名'!$D$4:$D$250,0)-1,0)))</f>
        <v/>
      </c>
      <c r="AI71" s="18" t="str">
        <f ca="1">IF('＠MFP (LSI name)'!AI71="","",IF(COUNTIF('＠MFP (LSI name)'!AI71,"Serial*")+COUNTIF('＠MFP (LSI name)'!AI71,"Analog*")&gt;0,'＠MFP (LSI name)'!AI71,OFFSET('＠グループ、表示名'!$H$4,MATCH('＠MFP (LSI name)'!AI71,'＠グループ、表示名'!$D$4:$D$250,0)-1,0)))</f>
        <v/>
      </c>
      <c r="AJ71" s="18" t="str">
        <f ca="1">IF('＠MFP (LSI name)'!AJ71="","",IF(COUNTIF('＠MFP (LSI name)'!AJ71,"Serial*")+COUNTIF('＠MFP (LSI name)'!AJ71,"Analog*")&gt;0,'＠MFP (LSI name)'!AJ71,OFFSET('＠グループ、表示名'!$H$4,MATCH('＠MFP (LSI name)'!AJ71,'＠グループ、表示名'!$D$4:$D$250,0)-1,0)))</f>
        <v/>
      </c>
      <c r="AK71" s="69" t="str">
        <f ca="1">IF('＠MFP (LSI name)'!AK71="","",IF(COUNTIF('＠MFP (LSI name)'!AK71,"Serial*")+COUNTIF('＠MFP (LSI name)'!AK71,"Analog*")&gt;0,'＠MFP (LSI name)'!AK71,OFFSET('＠グループ、表示名'!$H$4,MATCH('＠MFP (LSI name)'!AK71,'＠グループ、表示名'!$D$4:$D$250,0)-1,0)))</f>
        <v/>
      </c>
      <c r="AL71" s="9" t="str">
        <f t="shared" si="4"/>
        <v>IOP2MD[15]</v>
      </c>
      <c r="AM71" s="9" t="str">
        <f t="shared" si="5"/>
        <v>IOP2MD[14]</v>
      </c>
      <c r="AN71" s="9" t="str">
        <f t="shared" si="6"/>
        <v>IOP2MD[13]</v>
      </c>
      <c r="AO71" s="9" t="str">
        <f t="shared" si="7"/>
        <v>IOP2MD[12]</v>
      </c>
      <c r="AP71" s="86"/>
    </row>
    <row r="72" spans="1:42" ht="16.149999999999999">
      <c r="A72" s="60" t="s">
        <v>544</v>
      </c>
      <c r="B72" s="7"/>
      <c r="C72" s="7"/>
      <c r="D72" s="87"/>
      <c r="E72" s="87">
        <v>33</v>
      </c>
      <c r="F72" s="7"/>
      <c r="G72" s="7"/>
      <c r="H72" s="87"/>
      <c r="I72" s="45" t="s">
        <v>542</v>
      </c>
      <c r="J72" s="45" t="s">
        <v>543</v>
      </c>
      <c r="K72" s="69" t="str">
        <f ca="1">IF('＠MFP (LSI name)'!K72="","",IF(COUNTIF('＠MFP (LSI name)'!K72,"Serial*")+COUNTIF('＠MFP (LSI name)'!K72,"Analog*")&gt;0,'＠MFP (LSI name)'!K72,OFFSET('＠グループ、表示名'!$H$4,MATCH('＠MFP (LSI name)'!K72,'＠グループ、表示名'!$D$4:$D$250,0)-1,0)))</f>
        <v>TM02A</v>
      </c>
      <c r="L72" s="69" t="str">
        <f ca="1">IF('＠MFP (LSI name)'!L72="","",IF(COUNTIF('＠MFP (LSI name)'!L72,"Serial*")+COUNTIF('＠MFP (LSI name)'!L72,"Analog*")&gt;0,'＠MFP (LSI name)'!L72,OFFSET('＠グループ、表示名'!$H$4,MATCH('＠MFP (LSI name)'!L72,'＠グループ、表示名'!$D$4:$D$250,0)-1,0)))</f>
        <v>TM07A</v>
      </c>
      <c r="M72" s="18" t="str">
        <f ca="1">IF('＠MFP (LSI name)'!M72="","",IF(COUNTIF('＠MFP (LSI name)'!M72,"Serial*")+COUNTIF('＠MFP (LSI name)'!M72,"Analog*")&gt;0,'＠MFP (LSI name)'!M72,OFFSET('＠グループ、表示名'!$H$4,MATCH('＠MFP (LSI name)'!M72,'＠グループ、表示名'!$D$4:$D$250,0)-1,0)))</f>
        <v>SIF3_SBI3</v>
      </c>
      <c r="N72" s="18" t="str">
        <f ca="1">IF('＠MFP (LSI name)'!N72="","",IF(COUNTIF('＠MFP (LSI name)'!N72,"Serial*")+COUNTIF('＠MFP (LSI name)'!N72,"Analog*")&gt;0,'＠MFP (LSI name)'!N72,OFFSET('＠グループ、表示名'!$H$4,MATCH('＠MFP (LSI name)'!N72,'＠グループ、表示名'!$D$4:$D$250,0)-1,0)))</f>
        <v>SIF3_SBO3</v>
      </c>
      <c r="O72" s="69" t="str">
        <f ca="1">IF('＠MFP (LSI name)'!O72="","",IF(COUNTIF('＠MFP (LSI name)'!O72,"Serial*")+COUNTIF('＠MFP (LSI name)'!O72,"Analog*")&gt;0,'＠MFP (LSI name)'!O72,OFFSET('＠グループ、表示名'!$H$4,MATCH('＠MFP (LSI name)'!O72,'＠グループ、表示名'!$D$4:$D$250,0)-1,0)))</f>
        <v>GPWM2_GPWMST2</v>
      </c>
      <c r="P72" s="69" t="str">
        <f ca="1">IF('＠MFP (LSI name)'!P72="","",IF(COUNTIF('＠MFP (LSI name)'!P72,"Serial*")+COUNTIF('＠MFP (LSI name)'!P72,"Analog*")&gt;0,'＠MFP (LSI name)'!P72,OFFSET('＠グループ、表示名'!$H$4,MATCH('＠MFP (LSI name)'!P72,'＠グループ、表示名'!$D$4:$D$250,0)-1,0)))</f>
        <v>GPWM5_GPWMST5</v>
      </c>
      <c r="Q72" s="69" t="str">
        <f ca="1">IF('＠MFP (LSI name)'!Q72="","",IF(COUNTIF('＠MFP (LSI name)'!Q72,"Serial*")+COUNTIF('＠MFP (LSI name)'!Q72,"Analog*")&gt;0,'＠MFP (LSI name)'!Q72,OFFSET('＠グループ、表示名'!$H$4,MATCH('＠MFP (LSI name)'!Q72,'＠グループ、表示名'!$D$4:$D$250,0)-1,0)))</f>
        <v>CMP1_CMPOT10</v>
      </c>
      <c r="R72" s="69" t="str">
        <f ca="1">IF('＠MFP (LSI name)'!R72="","",IF(COUNTIF('＠MFP (LSI name)'!R72,"Serial*")+COUNTIF('＠MFP (LSI name)'!R72,"Analog*")&gt;0,'＠MFP (LSI name)'!R72,OFFSET('＠グループ、表示名'!$H$4,MATCH('＠MFP (LSI name)'!R72,'＠グループ、表示名'!$D$4:$D$250,0)-1,0)))</f>
        <v>CMP1_CMPOT11</v>
      </c>
      <c r="S72" s="69" t="str">
        <f ca="1">IF('＠MFP (LSI name)'!S72="","",IF(COUNTIF('＠MFP (LSI name)'!S72,"Serial*")+COUNTIF('＠MFP (LSI name)'!S72,"Analog*")&gt;0,'＠MFP (LSI name)'!S72,OFFSET('＠グループ、表示名'!$H$4,MATCH('＠MFP (LSI name)'!S72,'＠グループ、表示名'!$D$4:$D$250,0)-1,0)))</f>
        <v>CKMREF</v>
      </c>
      <c r="T72" s="69" t="str">
        <f ca="1">IF('＠MFP (LSI name)'!T72="","",IF(COUNTIF('＠MFP (LSI name)'!T72,"Serial*")+COUNTIF('＠MFP (LSI name)'!T72,"Analog*")&gt;0,'＠MFP (LSI name)'!T72,OFFSET('＠グループ、表示名'!$H$4,MATCH('＠MFP (LSI name)'!T72,'＠グループ、表示名'!$D$4:$D$250,0)-1,0)))</f>
        <v/>
      </c>
      <c r="U72" s="69" t="str">
        <f ca="1">IF('＠MFP (LSI name)'!U72="","",IF(COUNTIF('＠MFP (LSI name)'!U72,"Serial*")+COUNTIF('＠MFP (LSI name)'!U72,"Analog*")&gt;0,'＠MFP (LSI name)'!U72,OFFSET('＠グループ、表示名'!$H$4,MATCH('＠MFP (LSI name)'!U72,'＠グループ、表示名'!$D$4:$D$250,0)-1,0)))</f>
        <v/>
      </c>
      <c r="V72" s="18" t="str">
        <f ca="1">IF('＠MFP (LSI name)'!V72="","",IF(COUNTIF('＠MFP (LSI name)'!V72,"Serial*")+COUNTIF('＠MFP (LSI name)'!V72,"Analog*")&gt;0,'＠MFP (LSI name)'!V72,OFFSET('＠グループ、表示名'!$H$4,MATCH('＠MFP (LSI name)'!V72,'＠グループ、表示名'!$D$4:$D$250,0)-1,0)))</f>
        <v/>
      </c>
      <c r="W72" s="18" t="str">
        <f ca="1">IF('＠MFP (LSI name)'!W72="","",IF(COUNTIF('＠MFP (LSI name)'!W72,"Serial*")+COUNTIF('＠MFP (LSI name)'!W72,"Analog*")&gt;0,'＠MFP (LSI name)'!W72,OFFSET('＠グループ、表示名'!$H$4,MATCH('＠MFP (LSI name)'!W72,'＠グループ、表示名'!$D$4:$D$250,0)-1,0)))</f>
        <v/>
      </c>
      <c r="X72" s="18" t="str">
        <f ca="1">IF('＠MFP (LSI name)'!X72="","",IF(COUNTIF('＠MFP (LSI name)'!X72,"Serial*")+COUNTIF('＠MFP (LSI name)'!X72,"Analog*")&gt;0,'＠MFP (LSI name)'!X72,OFFSET('＠グループ、表示名'!$H$4,MATCH('＠MFP (LSI name)'!X72,'＠グループ、表示名'!$D$4:$D$250,0)-1,0)))</f>
        <v/>
      </c>
      <c r="Y72" s="18" t="str">
        <f ca="1">IF('＠MFP (LSI name)'!Y72="","",IF(COUNTIF('＠MFP (LSI name)'!Y72,"Serial*")+COUNTIF('＠MFP (LSI name)'!Y72,"Analog*")&gt;0,'＠MFP (LSI name)'!Y72,OFFSET('＠グループ、表示名'!$H$4,MATCH('＠MFP (LSI name)'!Y72,'＠グループ、表示名'!$D$4:$D$250,0)-1,0)))</f>
        <v/>
      </c>
      <c r="Z72" s="18" t="str">
        <f ca="1">IF('＠MFP (LSI name)'!Z72="","",IF(COUNTIF('＠MFP (LSI name)'!Z72,"Serial*")+COUNTIF('＠MFP (LSI name)'!Z72,"Analog*")&gt;0,'＠MFP (LSI name)'!Z72,OFFSET('＠グループ、表示名'!$H$4,MATCH('＠MFP (LSI name)'!Z72,'＠グループ、表示名'!$D$4:$D$250,0)-1,0)))</f>
        <v/>
      </c>
      <c r="AA72" s="69" t="str">
        <f ca="1">IF('＠MFP (LSI name)'!AA72="","",IF(COUNTIF('＠MFP (LSI name)'!AA72,"Serial*")+COUNTIF('＠MFP (LSI name)'!AA72,"Analog*")&gt;0,'＠MFP (LSI name)'!AA72,OFFSET('＠グループ、表示名'!$H$4,MATCH('＠MFP (LSI name)'!AA72,'＠グループ、表示名'!$D$4:$D$250,0)-1,0)))</f>
        <v/>
      </c>
      <c r="AB72" s="18" t="str">
        <f ca="1">IF('＠MFP (LSI name)'!AB72="","",IF(COUNTIF('＠MFP (LSI name)'!AB72,"Serial*")+COUNTIF('＠MFP (LSI name)'!AB72,"Analog*")&gt;0,'＠MFP (LSI name)'!AB72,OFFSET('＠グループ、表示名'!$H$4,MATCH('＠MFP (LSI name)'!AB72,'＠グループ、表示名'!$D$4:$D$250,0)-1,0)))</f>
        <v/>
      </c>
      <c r="AC72" s="18" t="str">
        <f ca="1">IF('＠MFP (LSI name)'!AC72="","",IF(COUNTIF('＠MFP (LSI name)'!AC72,"Serial*")+COUNTIF('＠MFP (LSI name)'!AC72,"Analog*")&gt;0,'＠MFP (LSI name)'!AC72,OFFSET('＠グループ、表示名'!$H$4,MATCH('＠MFP (LSI name)'!AC72,'＠グループ、表示名'!$D$4:$D$250,0)-1,0)))</f>
        <v/>
      </c>
      <c r="AD72" s="18" t="str">
        <f ca="1">IF('＠MFP (LSI name)'!AD72="","",IF(COUNTIF('＠MFP (LSI name)'!AD72,"Serial*")+COUNTIF('＠MFP (LSI name)'!AD72,"Analog*")&gt;0,'＠MFP (LSI name)'!AD72,OFFSET('＠グループ、表示名'!$H$4,MATCH('＠MFP (LSI name)'!AD72,'＠グループ、表示名'!$D$4:$D$250,0)-1,0)))</f>
        <v/>
      </c>
      <c r="AE72" s="18" t="str">
        <f ca="1">IF('＠MFP (LSI name)'!AE72="","",IF(COUNTIF('＠MFP (LSI name)'!AE72,"Serial*")+COUNTIF('＠MFP (LSI name)'!AE72,"Analog*")&gt;0,'＠MFP (LSI name)'!AE72,OFFSET('＠グループ、表示名'!$H$4,MATCH('＠MFP (LSI name)'!AE72,'＠グループ、表示名'!$D$4:$D$250,0)-1,0)))</f>
        <v/>
      </c>
      <c r="AF72" s="69" t="str">
        <f ca="1">IF('＠MFP (LSI name)'!AF72="","",IF(COUNTIF('＠MFP (LSI name)'!AF72,"Serial*")+COUNTIF('＠MFP (LSI name)'!AF72,"Analog*")&gt;0,'＠MFP (LSI name)'!AF72,OFFSET('＠グループ、表示名'!$H$4,MATCH('＠MFP (LSI name)'!AF72,'＠グループ、表示名'!$D$4:$D$250,0)-1,0)))</f>
        <v/>
      </c>
      <c r="AG72" s="18" t="str">
        <f ca="1">IF('＠MFP (LSI name)'!AG72="","",IF(COUNTIF('＠MFP (LSI name)'!AG72,"Serial*")+COUNTIF('＠MFP (LSI name)'!AG72,"Analog*")&gt;0,'＠MFP (LSI name)'!AG72,OFFSET('＠グループ、表示名'!$H$4,MATCH('＠MFP (LSI name)'!AG72,'＠グループ、表示名'!$D$4:$D$250,0)-1,0)))</f>
        <v/>
      </c>
      <c r="AH72" s="18" t="str">
        <f ca="1">IF('＠MFP (LSI name)'!AH72="","",IF(COUNTIF('＠MFP (LSI name)'!AH72,"Serial*")+COUNTIF('＠MFP (LSI name)'!AH72,"Analog*")&gt;0,'＠MFP (LSI name)'!AH72,OFFSET('＠グループ、表示名'!$H$4,MATCH('＠MFP (LSI name)'!AH72,'＠グループ、表示名'!$D$4:$D$250,0)-1,0)))</f>
        <v/>
      </c>
      <c r="AI72" s="18" t="str">
        <f ca="1">IF('＠MFP (LSI name)'!AI72="","",IF(COUNTIF('＠MFP (LSI name)'!AI72,"Serial*")+COUNTIF('＠MFP (LSI name)'!AI72,"Analog*")&gt;0,'＠MFP (LSI name)'!AI72,OFFSET('＠グループ、表示名'!$H$4,MATCH('＠MFP (LSI name)'!AI72,'＠グループ、表示名'!$D$4:$D$250,0)-1,0)))</f>
        <v/>
      </c>
      <c r="AJ72" s="18" t="str">
        <f ca="1">IF('＠MFP (LSI name)'!AJ72="","",IF(COUNTIF('＠MFP (LSI name)'!AJ72,"Serial*")+COUNTIF('＠MFP (LSI name)'!AJ72,"Analog*")&gt;0,'＠MFP (LSI name)'!AJ72,OFFSET('＠グループ、表示名'!$H$4,MATCH('＠MFP (LSI name)'!AJ72,'＠グループ、表示名'!$D$4:$D$250,0)-1,0)))</f>
        <v/>
      </c>
      <c r="AK72" s="69" t="str">
        <f ca="1">IF('＠MFP (LSI name)'!AK72="","",IF(COUNTIF('＠MFP (LSI name)'!AK72,"Serial*")+COUNTIF('＠MFP (LSI name)'!AK72,"Analog*")&gt;0,'＠MFP (LSI name)'!AK72,OFFSET('＠グループ、表示名'!$H$4,MATCH('＠MFP (LSI name)'!AK72,'＠グループ、表示名'!$D$4:$D$250,0)-1,0)))</f>
        <v/>
      </c>
      <c r="AL72" s="9" t="str">
        <f t="shared" si="4"/>
        <v>IOP2MD[15]</v>
      </c>
      <c r="AM72" s="9" t="str">
        <f t="shared" si="5"/>
        <v>IOP2MD[14]</v>
      </c>
      <c r="AN72" s="9" t="str">
        <f t="shared" si="6"/>
        <v>IOP2MD[13]</v>
      </c>
      <c r="AO72" s="9" t="str">
        <f t="shared" si="7"/>
        <v>IOP2MD[12]</v>
      </c>
      <c r="AP72" s="86"/>
    </row>
    <row r="73" spans="1:42" ht="16.149999999999999">
      <c r="A73" s="60">
        <v>66</v>
      </c>
      <c r="B73" s="7">
        <v>66</v>
      </c>
      <c r="C73" s="7">
        <v>54</v>
      </c>
      <c r="D73" s="87">
        <v>45</v>
      </c>
      <c r="E73" s="87"/>
      <c r="F73" s="7">
        <v>66</v>
      </c>
      <c r="G73" s="7">
        <v>54</v>
      </c>
      <c r="H73" s="87">
        <v>45</v>
      </c>
      <c r="I73" s="45" t="s">
        <v>545</v>
      </c>
      <c r="J73" s="45" t="s">
        <v>546</v>
      </c>
      <c r="K73" s="69" t="str">
        <f ca="1">IF('＠MFP (LSI name)'!K73="","",IF(COUNTIF('＠MFP (LSI name)'!K73,"Serial*")+COUNTIF('＠MFP (LSI name)'!K73,"Analog*")&gt;0,'＠MFP (LSI name)'!K73,OFFSET('＠グループ、表示名'!$H$4,MATCH('＠MFP (LSI name)'!K73,'＠グループ、表示名'!$D$4:$D$250,0)-1,0)))</f>
        <v>IRQ22</v>
      </c>
      <c r="L73" s="69" t="str">
        <f ca="1">IF('＠MFP (LSI name)'!L73="","",IF(COUNTIF('＠MFP (LSI name)'!L73,"Serial*")+COUNTIF('＠MFP (LSI name)'!L73,"Analog*")&gt;0,'＠MFP (LSI name)'!L73,OFFSET('＠グループ、表示名'!$H$4,MATCH('＠MFP (LSI name)'!L73,'＠グループ、表示名'!$D$4:$D$250,0)-1,0)))</f>
        <v>IRQ32</v>
      </c>
      <c r="M73" s="69" t="str">
        <f ca="1">IF('＠MFP (LSI name)'!M73="","",IF(COUNTIF('＠MFP (LSI name)'!M73,"Serial*")+COUNTIF('＠MFP (LSI name)'!M73,"Analog*")&gt;0,'＠MFP (LSI name)'!M73,OFFSET('＠グループ、表示名'!$H$4,MATCH('＠MFP (LSI name)'!M73,'＠グループ、表示名'!$D$4:$D$250,0)-1,0)))</f>
        <v>TM04A</v>
      </c>
      <c r="N73" s="69" t="str">
        <f ca="1">IF('＠MFP (LSI name)'!N73="","",IF(COUNTIF('＠MFP (LSI name)'!N73,"Serial*")+COUNTIF('＠MFP (LSI name)'!N73,"Analog*")&gt;0,'＠MFP (LSI name)'!N73,OFFSET('＠グループ、表示名'!$H$4,MATCH('＠MFP (LSI name)'!N73,'＠グループ、表示名'!$D$4:$D$250,0)-1,0)))</f>
        <v>TM13A</v>
      </c>
      <c r="O73" s="69" t="str">
        <f ca="1">IF('＠MFP (LSI name)'!O73="","",IF(COUNTIF('＠MFP (LSI name)'!O73,"Serial*")+COUNTIF('＠MFP (LSI name)'!O73,"Analog*")&gt;0,'＠MFP (LSI name)'!O73,OFFSET('＠グループ、表示名'!$H$4,MATCH('＠MFP (LSI name)'!O73,'＠グループ、表示名'!$D$4:$D$250,0)-1,0)))</f>
        <v>SIF3_SBI3</v>
      </c>
      <c r="P73" s="18" t="str">
        <f ca="1">IF('＠MFP (LSI name)'!P73="","",IF(COUNTIF('＠MFP (LSI name)'!P73,"Serial*")+COUNTIF('＠MFP (LSI name)'!P73,"Analog*")&gt;0,'＠MFP (LSI name)'!P73,OFFSET('＠グループ、表示名'!$H$4,MATCH('＠MFP (LSI name)'!P73,'＠グループ、表示名'!$D$4:$D$250,0)-1,0)))</f>
        <v>SIF3_SBO3</v>
      </c>
      <c r="Q73" s="69" t="str">
        <f ca="1">IF('＠MFP (LSI name)'!Q73="","",IF(COUNTIF('＠MFP (LSI name)'!Q73,"Serial*")+COUNTIF('＠MFP (LSI name)'!Q73,"Analog*")&gt;0,'＠MFP (LSI name)'!Q73,OFFSET('＠グループ、表示名'!$H$4,MATCH('＠MFP (LSI name)'!Q73,'＠グループ、表示名'!$D$4:$D$250,0)-1,0)))</f>
        <v>CMP0_CMPOT00</v>
      </c>
      <c r="R73" s="69" t="str">
        <f ca="1">IF('＠MFP (LSI name)'!R73="","",IF(COUNTIF('＠MFP (LSI name)'!R73,"Serial*")+COUNTIF('＠MFP (LSI name)'!R73,"Analog*")&gt;0,'＠MFP (LSI name)'!R73,OFFSET('＠グループ、表示名'!$H$4,MATCH('＠MFP (LSI name)'!R73,'＠グループ、表示名'!$D$4:$D$250,0)-1,0)))</f>
        <v>CMP0_CMPOT01</v>
      </c>
      <c r="S73" s="117" t="str">
        <f ca="1">IF('＠MFP (LSI name)'!S73="","",IF(COUNTIF('＠MFP (LSI name)'!S73,"Serial*")+COUNTIF('＠MFP (LSI name)'!S73,"Analog*")&gt;0,'＠MFP (LSI name)'!S73,OFFSET('＠グループ、表示名'!$H$4,MATCH('＠MFP (LSI name)'!S73,'＠グループ、表示名'!$D$4:$D$250,0)-1,0)))</f>
        <v>DBG_TRCD2</v>
      </c>
      <c r="T73" s="69" t="str">
        <f ca="1">IF('＠MFP (LSI name)'!T73="","",IF(COUNTIF('＠MFP (LSI name)'!T73,"Serial*")+COUNTIF('＠MFP (LSI name)'!T73,"Analog*")&gt;0,'＠MFP (LSI name)'!T73,OFFSET('＠グループ、表示名'!$H$4,MATCH('＠MFP (LSI name)'!T73,'＠グループ、表示名'!$D$4:$D$250,0)-1,0)))</f>
        <v/>
      </c>
      <c r="U73" s="69" t="str">
        <f ca="1">IF('＠MFP (LSI name)'!U73="","",IF(COUNTIF('＠MFP (LSI name)'!U73,"Serial*")+COUNTIF('＠MFP (LSI name)'!U73,"Analog*")&gt;0,'＠MFP (LSI name)'!U73,OFFSET('＠グループ、表示名'!$H$4,MATCH('＠MFP (LSI name)'!U73,'＠グループ、表示名'!$D$4:$D$250,0)-1,0)))</f>
        <v/>
      </c>
      <c r="V73" s="18" t="str">
        <f ca="1">IF('＠MFP (LSI name)'!V73="","",IF(COUNTIF('＠MFP (LSI name)'!V73,"Serial*")+COUNTIF('＠MFP (LSI name)'!V73,"Analog*")&gt;0,'＠MFP (LSI name)'!V73,OFFSET('＠グループ、表示名'!$H$4,MATCH('＠MFP (LSI name)'!V73,'＠グループ、表示名'!$D$4:$D$250,0)-1,0)))</f>
        <v/>
      </c>
      <c r="W73" s="18" t="str">
        <f ca="1">IF('＠MFP (LSI name)'!W73="","",IF(COUNTIF('＠MFP (LSI name)'!W73,"Serial*")+COUNTIF('＠MFP (LSI name)'!W73,"Analog*")&gt;0,'＠MFP (LSI name)'!W73,OFFSET('＠グループ、表示名'!$H$4,MATCH('＠MFP (LSI name)'!W73,'＠グループ、表示名'!$D$4:$D$250,0)-1,0)))</f>
        <v/>
      </c>
      <c r="X73" s="18" t="str">
        <f ca="1">IF('＠MFP (LSI name)'!X73="","",IF(COUNTIF('＠MFP (LSI name)'!X73,"Serial*")+COUNTIF('＠MFP (LSI name)'!X73,"Analog*")&gt;0,'＠MFP (LSI name)'!X73,OFFSET('＠グループ、表示名'!$H$4,MATCH('＠MFP (LSI name)'!X73,'＠グループ、表示名'!$D$4:$D$250,0)-1,0)))</f>
        <v/>
      </c>
      <c r="Y73" s="18" t="str">
        <f ca="1">IF('＠MFP (LSI name)'!Y73="","",IF(COUNTIF('＠MFP (LSI name)'!Y73,"Serial*")+COUNTIF('＠MFP (LSI name)'!Y73,"Analog*")&gt;0,'＠MFP (LSI name)'!Y73,OFFSET('＠グループ、表示名'!$H$4,MATCH('＠MFP (LSI name)'!Y73,'＠グループ、表示名'!$D$4:$D$250,0)-1,0)))</f>
        <v/>
      </c>
      <c r="Z73" s="18" t="str">
        <f ca="1">IF('＠MFP (LSI name)'!Z73="","",IF(COUNTIF('＠MFP (LSI name)'!Z73,"Serial*")+COUNTIF('＠MFP (LSI name)'!Z73,"Analog*")&gt;0,'＠MFP (LSI name)'!Z73,OFFSET('＠グループ、表示名'!$H$4,MATCH('＠MFP (LSI name)'!Z73,'＠グループ、表示名'!$D$4:$D$250,0)-1,0)))</f>
        <v/>
      </c>
      <c r="AA73" s="69" t="str">
        <f ca="1">IF('＠MFP (LSI name)'!AA73="","",IF(COUNTIF('＠MFP (LSI name)'!AA73,"Serial*")+COUNTIF('＠MFP (LSI name)'!AA73,"Analog*")&gt;0,'＠MFP (LSI name)'!AA73,OFFSET('＠グループ、表示名'!$H$4,MATCH('＠MFP (LSI name)'!AA73,'＠グループ、表示名'!$D$4:$D$250,0)-1,0)))</f>
        <v/>
      </c>
      <c r="AB73" s="18" t="str">
        <f ca="1">IF('＠MFP (LSI name)'!AB73="","",IF(COUNTIF('＠MFP (LSI name)'!AB73,"Serial*")+COUNTIF('＠MFP (LSI name)'!AB73,"Analog*")&gt;0,'＠MFP (LSI name)'!AB73,OFFSET('＠グループ、表示名'!$H$4,MATCH('＠MFP (LSI name)'!AB73,'＠グループ、表示名'!$D$4:$D$250,0)-1,0)))</f>
        <v/>
      </c>
      <c r="AC73" s="18" t="str">
        <f ca="1">IF('＠MFP (LSI name)'!AC73="","",IF(COUNTIF('＠MFP (LSI name)'!AC73,"Serial*")+COUNTIF('＠MFP (LSI name)'!AC73,"Analog*")&gt;0,'＠MFP (LSI name)'!AC73,OFFSET('＠グループ、表示名'!$H$4,MATCH('＠MFP (LSI name)'!AC73,'＠グループ、表示名'!$D$4:$D$250,0)-1,0)))</f>
        <v/>
      </c>
      <c r="AD73" s="18" t="str">
        <f ca="1">IF('＠MFP (LSI name)'!AD73="","",IF(COUNTIF('＠MFP (LSI name)'!AD73,"Serial*")+COUNTIF('＠MFP (LSI name)'!AD73,"Analog*")&gt;0,'＠MFP (LSI name)'!AD73,OFFSET('＠グループ、表示名'!$H$4,MATCH('＠MFP (LSI name)'!AD73,'＠グループ、表示名'!$D$4:$D$250,0)-1,0)))</f>
        <v/>
      </c>
      <c r="AE73" s="18" t="str">
        <f ca="1">IF('＠MFP (LSI name)'!AE73="","",IF(COUNTIF('＠MFP (LSI name)'!AE73,"Serial*")+COUNTIF('＠MFP (LSI name)'!AE73,"Analog*")&gt;0,'＠MFP (LSI name)'!AE73,OFFSET('＠グループ、表示名'!$H$4,MATCH('＠MFP (LSI name)'!AE73,'＠グループ、表示名'!$D$4:$D$250,0)-1,0)))</f>
        <v/>
      </c>
      <c r="AF73" s="69" t="str">
        <f ca="1">IF('＠MFP (LSI name)'!AF73="","",IF(COUNTIF('＠MFP (LSI name)'!AF73,"Serial*")+COUNTIF('＠MFP (LSI name)'!AF73,"Analog*")&gt;0,'＠MFP (LSI name)'!AF73,OFFSET('＠グループ、表示名'!$H$4,MATCH('＠MFP (LSI name)'!AF73,'＠グループ、表示名'!$D$4:$D$250,0)-1,0)))</f>
        <v/>
      </c>
      <c r="AG73" s="18" t="str">
        <f ca="1">IF('＠MFP (LSI name)'!AG73="","",IF(COUNTIF('＠MFP (LSI name)'!AG73,"Serial*")+COUNTIF('＠MFP (LSI name)'!AG73,"Analog*")&gt;0,'＠MFP (LSI name)'!AG73,OFFSET('＠グループ、表示名'!$H$4,MATCH('＠MFP (LSI name)'!AG73,'＠グループ、表示名'!$D$4:$D$250,0)-1,0)))</f>
        <v/>
      </c>
      <c r="AH73" s="18" t="str">
        <f ca="1">IF('＠MFP (LSI name)'!AH73="","",IF(COUNTIF('＠MFP (LSI name)'!AH73,"Serial*")+COUNTIF('＠MFP (LSI name)'!AH73,"Analog*")&gt;0,'＠MFP (LSI name)'!AH73,OFFSET('＠グループ、表示名'!$H$4,MATCH('＠MFP (LSI name)'!AH73,'＠グループ、表示名'!$D$4:$D$250,0)-1,0)))</f>
        <v/>
      </c>
      <c r="AI73" s="18" t="str">
        <f ca="1">IF('＠MFP (LSI name)'!AI73="","",IF(COUNTIF('＠MFP (LSI name)'!AI73,"Serial*")+COUNTIF('＠MFP (LSI name)'!AI73,"Analog*")&gt;0,'＠MFP (LSI name)'!AI73,OFFSET('＠グループ、表示名'!$H$4,MATCH('＠MFP (LSI name)'!AI73,'＠グループ、表示名'!$D$4:$D$250,0)-1,0)))</f>
        <v/>
      </c>
      <c r="AJ73" s="18" t="str">
        <f ca="1">IF('＠MFP (LSI name)'!AJ73="","",IF(COUNTIF('＠MFP (LSI name)'!AJ73,"Serial*")+COUNTIF('＠MFP (LSI name)'!AJ73,"Analog*")&gt;0,'＠MFP (LSI name)'!AJ73,OFFSET('＠グループ、表示名'!$H$4,MATCH('＠MFP (LSI name)'!AJ73,'＠グループ、表示名'!$D$4:$D$250,0)-1,0)))</f>
        <v/>
      </c>
      <c r="AK73" s="69" t="str">
        <f ca="1">IF('＠MFP (LSI name)'!AK73="","",IF(COUNTIF('＠MFP (LSI name)'!AK73,"Serial*")+COUNTIF('＠MFP (LSI name)'!AK73,"Analog*")&gt;0,'＠MFP (LSI name)'!AK73,OFFSET('＠グループ、表示名'!$H$4,MATCH('＠MFP (LSI name)'!AK73,'＠グループ、表示名'!$D$4:$D$250,0)-1,0)))</f>
        <v/>
      </c>
      <c r="AL73" s="9" t="str">
        <f t="shared" si="4"/>
        <v>IOP2MD[11]</v>
      </c>
      <c r="AM73" s="9" t="str">
        <f t="shared" si="5"/>
        <v>IOP2MD[10]</v>
      </c>
      <c r="AN73" s="9" t="str">
        <f t="shared" si="6"/>
        <v>IOP2MD[9]</v>
      </c>
      <c r="AO73" s="9" t="str">
        <f t="shared" si="7"/>
        <v>IOP2MD[8]</v>
      </c>
      <c r="AP73" s="86"/>
    </row>
    <row r="74" spans="1:42" ht="16.149999999999999">
      <c r="A74" s="60" t="s">
        <v>547</v>
      </c>
      <c r="B74" s="7"/>
      <c r="C74" s="7"/>
      <c r="D74" s="87"/>
      <c r="E74" s="87">
        <v>34</v>
      </c>
      <c r="F74" s="7"/>
      <c r="G74" s="7"/>
      <c r="H74" s="87"/>
      <c r="I74" s="45" t="s">
        <v>545</v>
      </c>
      <c r="J74" s="45" t="s">
        <v>546</v>
      </c>
      <c r="K74" s="69" t="str">
        <f ca="1">IF('＠MFP (LSI name)'!K74="","",IF(COUNTIF('＠MFP (LSI name)'!K74,"Serial*")+COUNTIF('＠MFP (LSI name)'!K74,"Analog*")&gt;0,'＠MFP (LSI name)'!K74,OFFSET('＠グループ、表示名'!$H$4,MATCH('＠MFP (LSI name)'!K74,'＠グループ、表示名'!$D$4:$D$250,0)-1,0)))</f>
        <v>IRQ22</v>
      </c>
      <c r="L74" s="69" t="str">
        <f ca="1">IF('＠MFP (LSI name)'!L74="","",IF(COUNTIF('＠MFP (LSI name)'!L74,"Serial*")+COUNTIF('＠MFP (LSI name)'!L74,"Analog*")&gt;0,'＠MFP (LSI name)'!L74,OFFSET('＠グループ、表示名'!$H$4,MATCH('＠MFP (LSI name)'!L74,'＠グループ、表示名'!$D$4:$D$250,0)-1,0)))</f>
        <v>IRQ32</v>
      </c>
      <c r="M74" s="69" t="str">
        <f ca="1">IF('＠MFP (LSI name)'!M74="","",IF(COUNTIF('＠MFP (LSI name)'!M74,"Serial*")+COUNTIF('＠MFP (LSI name)'!M74,"Analog*")&gt;0,'＠MFP (LSI name)'!M74,OFFSET('＠グループ、表示名'!$H$4,MATCH('＠MFP (LSI name)'!M74,'＠グループ、表示名'!$D$4:$D$250,0)-1,0)))</f>
        <v>TM04A</v>
      </c>
      <c r="N74" s="69" t="str">
        <f ca="1">IF('＠MFP (LSI name)'!N74="","",IF(COUNTIF('＠MFP (LSI name)'!N74,"Serial*")+COUNTIF('＠MFP (LSI name)'!N74,"Analog*")&gt;0,'＠MFP (LSI name)'!N74,OFFSET('＠グループ、表示名'!$H$4,MATCH('＠MFP (LSI name)'!N74,'＠グループ、表示名'!$D$4:$D$250,0)-1,0)))</f>
        <v>TM13A</v>
      </c>
      <c r="O74" s="69" t="str">
        <f ca="1">IF('＠MFP (LSI name)'!O74="","",IF(COUNTIF('＠MFP (LSI name)'!O74,"Serial*")+COUNTIF('＠MFP (LSI name)'!O74,"Analog*")&gt;0,'＠MFP (LSI name)'!O74,OFFSET('＠グループ、表示名'!$H$4,MATCH('＠MFP (LSI name)'!O74,'＠グループ、表示名'!$D$4:$D$250,0)-1,0)))</f>
        <v>SIF3_SBI3</v>
      </c>
      <c r="P74" s="18" t="str">
        <f ca="1">IF('＠MFP (LSI name)'!P74="","",IF(COUNTIF('＠MFP (LSI name)'!P74,"Serial*")+COUNTIF('＠MFP (LSI name)'!P74,"Analog*")&gt;0,'＠MFP (LSI name)'!P74,OFFSET('＠グループ、表示名'!$H$4,MATCH('＠MFP (LSI name)'!P74,'＠グループ、表示名'!$D$4:$D$250,0)-1,0)))</f>
        <v>SIF3_SBO3</v>
      </c>
      <c r="Q74" s="69" t="str">
        <f ca="1">IF('＠MFP (LSI name)'!Q74="","",IF(COUNTIF('＠MFP (LSI name)'!Q74,"Serial*")+COUNTIF('＠MFP (LSI name)'!Q74,"Analog*")&gt;0,'＠MFP (LSI name)'!Q74,OFFSET('＠グループ、表示名'!$H$4,MATCH('＠MFP (LSI name)'!Q74,'＠グループ、表示名'!$D$4:$D$250,0)-1,0)))</f>
        <v>CMP0_CMPOT00</v>
      </c>
      <c r="R74" s="69" t="str">
        <f ca="1">IF('＠MFP (LSI name)'!R74="","",IF(COUNTIF('＠MFP (LSI name)'!R74,"Serial*")+COUNTIF('＠MFP (LSI name)'!R74,"Analog*")&gt;0,'＠MFP (LSI name)'!R74,OFFSET('＠グループ、表示名'!$H$4,MATCH('＠MFP (LSI name)'!R74,'＠グループ、表示名'!$D$4:$D$250,0)-1,0)))</f>
        <v>CMP0_CMPOT01</v>
      </c>
      <c r="S74" s="69" t="str">
        <f ca="1">IF('＠MFP (LSI name)'!S74="","",IF(COUNTIF('＠MFP (LSI name)'!S74,"Serial*")+COUNTIF('＠MFP (LSI name)'!S74,"Analog*")&gt;0,'＠MFP (LSI name)'!S74,OFFSET('＠グループ、表示名'!$H$4,MATCH('＠MFP (LSI name)'!S74,'＠グループ、表示名'!$D$4:$D$250,0)-1,0)))</f>
        <v/>
      </c>
      <c r="T74" s="69" t="str">
        <f ca="1">IF('＠MFP (LSI name)'!T74="","",IF(COUNTIF('＠MFP (LSI name)'!T74,"Serial*")+COUNTIF('＠MFP (LSI name)'!T74,"Analog*")&gt;0,'＠MFP (LSI name)'!T74,OFFSET('＠グループ、表示名'!$H$4,MATCH('＠MFP (LSI name)'!T74,'＠グループ、表示名'!$D$4:$D$250,0)-1,0)))</f>
        <v/>
      </c>
      <c r="U74" s="69" t="str">
        <f ca="1">IF('＠MFP (LSI name)'!U74="","",IF(COUNTIF('＠MFP (LSI name)'!U74,"Serial*")+COUNTIF('＠MFP (LSI name)'!U74,"Analog*")&gt;0,'＠MFP (LSI name)'!U74,OFFSET('＠グループ、表示名'!$H$4,MATCH('＠MFP (LSI name)'!U74,'＠グループ、表示名'!$D$4:$D$250,0)-1,0)))</f>
        <v/>
      </c>
      <c r="V74" s="18" t="str">
        <f ca="1">IF('＠MFP (LSI name)'!V74="","",IF(COUNTIF('＠MFP (LSI name)'!V74,"Serial*")+COUNTIF('＠MFP (LSI name)'!V74,"Analog*")&gt;0,'＠MFP (LSI name)'!V74,OFFSET('＠グループ、表示名'!$H$4,MATCH('＠MFP (LSI name)'!V74,'＠グループ、表示名'!$D$4:$D$250,0)-1,0)))</f>
        <v/>
      </c>
      <c r="W74" s="18" t="str">
        <f ca="1">IF('＠MFP (LSI name)'!W74="","",IF(COUNTIF('＠MFP (LSI name)'!W74,"Serial*")+COUNTIF('＠MFP (LSI name)'!W74,"Analog*")&gt;0,'＠MFP (LSI name)'!W74,OFFSET('＠グループ、表示名'!$H$4,MATCH('＠MFP (LSI name)'!W74,'＠グループ、表示名'!$D$4:$D$250,0)-1,0)))</f>
        <v/>
      </c>
      <c r="X74" s="18" t="str">
        <f ca="1">IF('＠MFP (LSI name)'!X74="","",IF(COUNTIF('＠MFP (LSI name)'!X74,"Serial*")+COUNTIF('＠MFP (LSI name)'!X74,"Analog*")&gt;0,'＠MFP (LSI name)'!X74,OFFSET('＠グループ、表示名'!$H$4,MATCH('＠MFP (LSI name)'!X74,'＠グループ、表示名'!$D$4:$D$250,0)-1,0)))</f>
        <v/>
      </c>
      <c r="Y74" s="18" t="str">
        <f ca="1">IF('＠MFP (LSI name)'!Y74="","",IF(COUNTIF('＠MFP (LSI name)'!Y74,"Serial*")+COUNTIF('＠MFP (LSI name)'!Y74,"Analog*")&gt;0,'＠MFP (LSI name)'!Y74,OFFSET('＠グループ、表示名'!$H$4,MATCH('＠MFP (LSI name)'!Y74,'＠グループ、表示名'!$D$4:$D$250,0)-1,0)))</f>
        <v/>
      </c>
      <c r="Z74" s="18" t="str">
        <f ca="1">IF('＠MFP (LSI name)'!Z74="","",IF(COUNTIF('＠MFP (LSI name)'!Z74,"Serial*")+COUNTIF('＠MFP (LSI name)'!Z74,"Analog*")&gt;0,'＠MFP (LSI name)'!Z74,OFFSET('＠グループ、表示名'!$H$4,MATCH('＠MFP (LSI name)'!Z74,'＠グループ、表示名'!$D$4:$D$250,0)-1,0)))</f>
        <v/>
      </c>
      <c r="AA74" s="69" t="str">
        <f ca="1">IF('＠MFP (LSI name)'!AA74="","",IF(COUNTIF('＠MFP (LSI name)'!AA74,"Serial*")+COUNTIF('＠MFP (LSI name)'!AA74,"Analog*")&gt;0,'＠MFP (LSI name)'!AA74,OFFSET('＠グループ、表示名'!$H$4,MATCH('＠MFP (LSI name)'!AA74,'＠グループ、表示名'!$D$4:$D$250,0)-1,0)))</f>
        <v/>
      </c>
      <c r="AB74" s="18" t="str">
        <f ca="1">IF('＠MFP (LSI name)'!AB74="","",IF(COUNTIF('＠MFP (LSI name)'!AB74,"Serial*")+COUNTIF('＠MFP (LSI name)'!AB74,"Analog*")&gt;0,'＠MFP (LSI name)'!AB74,OFFSET('＠グループ、表示名'!$H$4,MATCH('＠MFP (LSI name)'!AB74,'＠グループ、表示名'!$D$4:$D$250,0)-1,0)))</f>
        <v/>
      </c>
      <c r="AC74" s="18" t="str">
        <f ca="1">IF('＠MFP (LSI name)'!AC74="","",IF(COUNTIF('＠MFP (LSI name)'!AC74,"Serial*")+COUNTIF('＠MFP (LSI name)'!AC74,"Analog*")&gt;0,'＠MFP (LSI name)'!AC74,OFFSET('＠グループ、表示名'!$H$4,MATCH('＠MFP (LSI name)'!AC74,'＠グループ、表示名'!$D$4:$D$250,0)-1,0)))</f>
        <v/>
      </c>
      <c r="AD74" s="18" t="str">
        <f ca="1">IF('＠MFP (LSI name)'!AD74="","",IF(COUNTIF('＠MFP (LSI name)'!AD74,"Serial*")+COUNTIF('＠MFP (LSI name)'!AD74,"Analog*")&gt;0,'＠MFP (LSI name)'!AD74,OFFSET('＠グループ、表示名'!$H$4,MATCH('＠MFP (LSI name)'!AD74,'＠グループ、表示名'!$D$4:$D$250,0)-1,0)))</f>
        <v/>
      </c>
      <c r="AE74" s="18" t="str">
        <f ca="1">IF('＠MFP (LSI name)'!AE74="","",IF(COUNTIF('＠MFP (LSI name)'!AE74,"Serial*")+COUNTIF('＠MFP (LSI name)'!AE74,"Analog*")&gt;0,'＠MFP (LSI name)'!AE74,OFFSET('＠グループ、表示名'!$H$4,MATCH('＠MFP (LSI name)'!AE74,'＠グループ、表示名'!$D$4:$D$250,0)-1,0)))</f>
        <v/>
      </c>
      <c r="AF74" s="69" t="str">
        <f ca="1">IF('＠MFP (LSI name)'!AF74="","",IF(COUNTIF('＠MFP (LSI name)'!AF74,"Serial*")+COUNTIF('＠MFP (LSI name)'!AF74,"Analog*")&gt;0,'＠MFP (LSI name)'!AF74,OFFSET('＠グループ、表示名'!$H$4,MATCH('＠MFP (LSI name)'!AF74,'＠グループ、表示名'!$D$4:$D$250,0)-1,0)))</f>
        <v/>
      </c>
      <c r="AG74" s="18" t="str">
        <f ca="1">IF('＠MFP (LSI name)'!AG74="","",IF(COUNTIF('＠MFP (LSI name)'!AG74,"Serial*")+COUNTIF('＠MFP (LSI name)'!AG74,"Analog*")&gt;0,'＠MFP (LSI name)'!AG74,OFFSET('＠グループ、表示名'!$H$4,MATCH('＠MFP (LSI name)'!AG74,'＠グループ、表示名'!$D$4:$D$250,0)-1,0)))</f>
        <v/>
      </c>
      <c r="AH74" s="18" t="str">
        <f ca="1">IF('＠MFP (LSI name)'!AH74="","",IF(COUNTIF('＠MFP (LSI name)'!AH74,"Serial*")+COUNTIF('＠MFP (LSI name)'!AH74,"Analog*")&gt;0,'＠MFP (LSI name)'!AH74,OFFSET('＠グループ、表示名'!$H$4,MATCH('＠MFP (LSI name)'!AH74,'＠グループ、表示名'!$D$4:$D$250,0)-1,0)))</f>
        <v/>
      </c>
      <c r="AI74" s="18" t="str">
        <f ca="1">IF('＠MFP (LSI name)'!AI74="","",IF(COUNTIF('＠MFP (LSI name)'!AI74,"Serial*")+COUNTIF('＠MFP (LSI name)'!AI74,"Analog*")&gt;0,'＠MFP (LSI name)'!AI74,OFFSET('＠グループ、表示名'!$H$4,MATCH('＠MFP (LSI name)'!AI74,'＠グループ、表示名'!$D$4:$D$250,0)-1,0)))</f>
        <v/>
      </c>
      <c r="AJ74" s="18" t="str">
        <f ca="1">IF('＠MFP (LSI name)'!AJ74="","",IF(COUNTIF('＠MFP (LSI name)'!AJ74,"Serial*")+COUNTIF('＠MFP (LSI name)'!AJ74,"Analog*")&gt;0,'＠MFP (LSI name)'!AJ74,OFFSET('＠グループ、表示名'!$H$4,MATCH('＠MFP (LSI name)'!AJ74,'＠グループ、表示名'!$D$4:$D$250,0)-1,0)))</f>
        <v/>
      </c>
      <c r="AK74" s="69" t="str">
        <f ca="1">IF('＠MFP (LSI name)'!AK74="","",IF(COUNTIF('＠MFP (LSI name)'!AK74,"Serial*")+COUNTIF('＠MFP (LSI name)'!AK74,"Analog*")&gt;0,'＠MFP (LSI name)'!AK74,OFFSET('＠グループ、表示名'!$H$4,MATCH('＠MFP (LSI name)'!AK74,'＠グループ、表示名'!$D$4:$D$250,0)-1,0)))</f>
        <v/>
      </c>
      <c r="AL74" s="9" t="str">
        <f t="shared" si="4"/>
        <v>IOP2MD[11]</v>
      </c>
      <c r="AM74" s="9" t="str">
        <f t="shared" si="5"/>
        <v>IOP2MD[10]</v>
      </c>
      <c r="AN74" s="9" t="str">
        <f t="shared" si="6"/>
        <v>IOP2MD[9]</v>
      </c>
      <c r="AO74" s="9" t="str">
        <f t="shared" si="7"/>
        <v>IOP2MD[8]</v>
      </c>
      <c r="AP74" s="86"/>
    </row>
    <row r="75" spans="1:42" ht="16.149999999999999">
      <c r="A75" s="60">
        <v>67</v>
      </c>
      <c r="B75" s="7">
        <v>67</v>
      </c>
      <c r="C75" s="7">
        <v>55</v>
      </c>
      <c r="D75" s="87">
        <v>46</v>
      </c>
      <c r="E75" s="87"/>
      <c r="F75" s="7">
        <v>67</v>
      </c>
      <c r="G75" s="7">
        <v>55</v>
      </c>
      <c r="H75" s="87">
        <v>46</v>
      </c>
      <c r="I75" s="45" t="s">
        <v>548</v>
      </c>
      <c r="J75" s="45" t="s">
        <v>549</v>
      </c>
      <c r="K75" s="69" t="str">
        <f ca="1">IF('＠MFP (LSI name)'!K75="","",IF(COUNTIF('＠MFP (LSI name)'!K75,"Serial*")+COUNTIF('＠MFP (LSI name)'!K75,"Analog*")&gt;0,'＠MFP (LSI name)'!K75,OFFSET('＠グループ、表示名'!$H$4,MATCH('＠MFP (LSI name)'!K75,'＠グループ、表示名'!$D$4:$D$250,0)-1,0)))</f>
        <v>IRQ06</v>
      </c>
      <c r="L75" s="69" t="str">
        <f ca="1">IF('＠MFP (LSI name)'!L75="","",IF(COUNTIF('＠MFP (LSI name)'!L75,"Serial*")+COUNTIF('＠MFP (LSI name)'!L75,"Analog*")&gt;0,'＠MFP (LSI name)'!L75,OFFSET('＠グループ、表示名'!$H$4,MATCH('＠MFP (LSI name)'!L75,'＠グループ、表示名'!$D$4:$D$250,0)-1,0)))</f>
        <v>IRQ21</v>
      </c>
      <c r="M75" s="69" t="str">
        <f ca="1">IF('＠MFP (LSI name)'!M75="","",IF(COUNTIF('＠MFP (LSI name)'!M75,"Serial*")+COUNTIF('＠MFP (LSI name)'!M75,"Analog*")&gt;0,'＠MFP (LSI name)'!M75,OFFSET('＠グループ、表示名'!$H$4,MATCH('＠MFP (LSI name)'!M75,'＠グループ、表示名'!$D$4:$D$250,0)-1,0)))</f>
        <v>TM04B</v>
      </c>
      <c r="N75" s="69" t="str">
        <f ca="1">IF('＠MFP (LSI name)'!N75="","",IF(COUNTIF('＠MFP (LSI name)'!N75,"Serial*")+COUNTIF('＠MFP (LSI name)'!N75,"Analog*")&gt;0,'＠MFP (LSI name)'!N75,OFFSET('＠グループ、表示名'!$H$4,MATCH('＠MFP (LSI name)'!N75,'＠グループ、表示名'!$D$4:$D$250,0)-1,0)))</f>
        <v>TM11A</v>
      </c>
      <c r="O75" s="69" t="str">
        <f ca="1">IF('＠MFP (LSI name)'!O75="","",IF(COUNTIF('＠MFP (LSI name)'!O75,"Serial*")+COUNTIF('＠MFP (LSI name)'!O75,"Analog*")&gt;0,'＠MFP (LSI name)'!O75,OFFSET('＠グループ、表示名'!$H$4,MATCH('＠MFP (LSI name)'!O75,'＠グループ、表示名'!$D$4:$D$250,0)-1,0)))</f>
        <v>TM14A</v>
      </c>
      <c r="P75" s="69" t="str">
        <f ca="1">IF('＠MFP (LSI name)'!P75="","",IF(COUNTIF('＠MFP (LSI name)'!P75,"Serial*")+COUNTIF('＠MFP (LSI name)'!P75,"Analog*")&gt;0,'＠MFP (LSI name)'!P75,OFFSET('＠グループ、表示名'!$H$4,MATCH('＠MFP (LSI name)'!P75,'＠グループ、表示名'!$D$4:$D$250,0)-1,0)))</f>
        <v>Analog601</v>
      </c>
      <c r="Q75" s="69" t="str">
        <f ca="1">IF('＠MFP (LSI name)'!Q75="","",IF(COUNTIF('＠MFP (LSI name)'!Q75,"Serial*")+COUNTIF('＠MFP (LSI name)'!Q75,"Analog*")&gt;0,'＠MFP (LSI name)'!Q75,OFFSET('＠グループ、表示名'!$H$4,MATCH('＠MFP (LSI name)'!Q75,'＠グループ、表示名'!$D$4:$D$250,0)-1,0)))</f>
        <v>DBG_TRCD3</v>
      </c>
      <c r="R75" s="69" t="str">
        <f ca="1">IF('＠MFP (LSI name)'!R75="","",IF(COUNTIF('＠MFP (LSI name)'!R75,"Serial*")+COUNTIF('＠MFP (LSI name)'!R75,"Analog*")&gt;0,'＠MFP (LSI name)'!R75,OFFSET('＠グループ、表示名'!$H$4,MATCH('＠MFP (LSI name)'!R75,'＠グループ、表示名'!$D$4:$D$250,0)-1,0)))</f>
        <v/>
      </c>
      <c r="S75" s="69" t="str">
        <f ca="1">IF('＠MFP (LSI name)'!S75="","",IF(COUNTIF('＠MFP (LSI name)'!S75,"Serial*")+COUNTIF('＠MFP (LSI name)'!S75,"Analog*")&gt;0,'＠MFP (LSI name)'!S75,OFFSET('＠グループ、表示名'!$H$4,MATCH('＠MFP (LSI name)'!S75,'＠グループ、表示名'!$D$4:$D$250,0)-1,0)))</f>
        <v/>
      </c>
      <c r="T75" s="69" t="str">
        <f ca="1">IF('＠MFP (LSI name)'!T75="","",IF(COUNTIF('＠MFP (LSI name)'!T75,"Serial*")+COUNTIF('＠MFP (LSI name)'!T75,"Analog*")&gt;0,'＠MFP (LSI name)'!T75,OFFSET('＠グループ、表示名'!$H$4,MATCH('＠MFP (LSI name)'!T75,'＠グループ、表示名'!$D$4:$D$250,0)-1,0)))</f>
        <v/>
      </c>
      <c r="U75" s="69" t="str">
        <f ca="1">IF('＠MFP (LSI name)'!U75="","",IF(COUNTIF('＠MFP (LSI name)'!U75,"Serial*")+COUNTIF('＠MFP (LSI name)'!U75,"Analog*")&gt;0,'＠MFP (LSI name)'!U75,OFFSET('＠グループ、表示名'!$H$4,MATCH('＠MFP (LSI name)'!U75,'＠グループ、表示名'!$D$4:$D$250,0)-1,0)))</f>
        <v/>
      </c>
      <c r="V75" s="69" t="str">
        <f ca="1">IF('＠MFP (LSI name)'!V75="","",IF(COUNTIF('＠MFP (LSI name)'!V75,"Serial*")+COUNTIF('＠MFP (LSI name)'!V75,"Analog*")&gt;0,'＠MFP (LSI name)'!V75,OFFSET('＠グループ、表示名'!$H$4,MATCH('＠MFP (LSI name)'!V75,'＠グループ、表示名'!$D$4:$D$250,0)-1,0)))</f>
        <v/>
      </c>
      <c r="W75" s="18" t="str">
        <f ca="1">IF('＠MFP (LSI name)'!W75="","",IF(COUNTIF('＠MFP (LSI name)'!W75,"Serial*")+COUNTIF('＠MFP (LSI name)'!W75,"Analog*")&gt;0,'＠MFP (LSI name)'!W75,OFFSET('＠グループ、表示名'!$H$4,MATCH('＠MFP (LSI name)'!W75,'＠グループ、表示名'!$D$4:$D$250,0)-1,0)))</f>
        <v/>
      </c>
      <c r="X75" s="18" t="str">
        <f ca="1">IF('＠MFP (LSI name)'!X75="","",IF(COUNTIF('＠MFP (LSI name)'!X75,"Serial*")+COUNTIF('＠MFP (LSI name)'!X75,"Analog*")&gt;0,'＠MFP (LSI name)'!X75,OFFSET('＠グループ、表示名'!$H$4,MATCH('＠MFP (LSI name)'!X75,'＠グループ、表示名'!$D$4:$D$250,0)-1,0)))</f>
        <v/>
      </c>
      <c r="Y75" s="18" t="str">
        <f ca="1">IF('＠MFP (LSI name)'!Y75="","",IF(COUNTIF('＠MFP (LSI name)'!Y75,"Serial*")+COUNTIF('＠MFP (LSI name)'!Y75,"Analog*")&gt;0,'＠MFP (LSI name)'!Y75,OFFSET('＠グループ、表示名'!$H$4,MATCH('＠MFP (LSI name)'!Y75,'＠グループ、表示名'!$D$4:$D$250,0)-1,0)))</f>
        <v/>
      </c>
      <c r="Z75" s="18" t="str">
        <f ca="1">IF('＠MFP (LSI name)'!Z75="","",IF(COUNTIF('＠MFP (LSI name)'!Z75,"Serial*")+COUNTIF('＠MFP (LSI name)'!Z75,"Analog*")&gt;0,'＠MFP (LSI name)'!Z75,OFFSET('＠グループ、表示名'!$H$4,MATCH('＠MFP (LSI name)'!Z75,'＠グループ、表示名'!$D$4:$D$250,0)-1,0)))</f>
        <v/>
      </c>
      <c r="AA75" s="69" t="str">
        <f ca="1">IF('＠MFP (LSI name)'!AA75="","",IF(COUNTIF('＠MFP (LSI name)'!AA75,"Serial*")+COUNTIF('＠MFP (LSI name)'!AA75,"Analog*")&gt;0,'＠MFP (LSI name)'!AA75,OFFSET('＠グループ、表示名'!$H$4,MATCH('＠MFP (LSI name)'!AA75,'＠グループ、表示名'!$D$4:$D$250,0)-1,0)))</f>
        <v/>
      </c>
      <c r="AB75" s="69" t="str">
        <f ca="1">IF('＠MFP (LSI name)'!AB75="","",IF(COUNTIF('＠MFP (LSI name)'!AB75,"Serial*")+COUNTIF('＠MFP (LSI name)'!AB75,"Analog*")&gt;0,'＠MFP (LSI name)'!AB75,OFFSET('＠グループ、表示名'!$H$4,MATCH('＠MFP (LSI name)'!AB75,'＠グループ、表示名'!$D$4:$D$250,0)-1,0)))</f>
        <v/>
      </c>
      <c r="AC75" s="18" t="str">
        <f ca="1">IF('＠MFP (LSI name)'!AC75="","",IF(COUNTIF('＠MFP (LSI name)'!AC75,"Serial*")+COUNTIF('＠MFP (LSI name)'!AC75,"Analog*")&gt;0,'＠MFP (LSI name)'!AC75,OFFSET('＠グループ、表示名'!$H$4,MATCH('＠MFP (LSI name)'!AC75,'＠グループ、表示名'!$D$4:$D$250,0)-1,0)))</f>
        <v/>
      </c>
      <c r="AD75" s="18" t="str">
        <f ca="1">IF('＠MFP (LSI name)'!AD75="","",IF(COUNTIF('＠MFP (LSI name)'!AD75,"Serial*")+COUNTIF('＠MFP (LSI name)'!AD75,"Analog*")&gt;0,'＠MFP (LSI name)'!AD75,OFFSET('＠グループ、表示名'!$H$4,MATCH('＠MFP (LSI name)'!AD75,'＠グループ、表示名'!$D$4:$D$250,0)-1,0)))</f>
        <v/>
      </c>
      <c r="AE75" s="18" t="str">
        <f ca="1">IF('＠MFP (LSI name)'!AE75="","",IF(COUNTIF('＠MFP (LSI name)'!AE75,"Serial*")+COUNTIF('＠MFP (LSI name)'!AE75,"Analog*")&gt;0,'＠MFP (LSI name)'!AE75,OFFSET('＠グループ、表示名'!$H$4,MATCH('＠MFP (LSI name)'!AE75,'＠グループ、表示名'!$D$4:$D$250,0)-1,0)))</f>
        <v/>
      </c>
      <c r="AF75" s="69" t="str">
        <f ca="1">IF('＠MFP (LSI name)'!AF75="","",IF(COUNTIF('＠MFP (LSI name)'!AF75,"Serial*")+COUNTIF('＠MFP (LSI name)'!AF75,"Analog*")&gt;0,'＠MFP (LSI name)'!AF75,OFFSET('＠グループ、表示名'!$H$4,MATCH('＠MFP (LSI name)'!AF75,'＠グループ、表示名'!$D$4:$D$250,0)-1,0)))</f>
        <v/>
      </c>
      <c r="AG75" s="69" t="str">
        <f ca="1">IF('＠MFP (LSI name)'!AG75="","",IF(COUNTIF('＠MFP (LSI name)'!AG75,"Serial*")+COUNTIF('＠MFP (LSI name)'!AG75,"Analog*")&gt;0,'＠MFP (LSI name)'!AG75,OFFSET('＠グループ、表示名'!$H$4,MATCH('＠MFP (LSI name)'!AG75,'＠グループ、表示名'!$D$4:$D$250,0)-1,0)))</f>
        <v>Analog601</v>
      </c>
      <c r="AH75" s="18" t="str">
        <f ca="1">IF('＠MFP (LSI name)'!AH75="","",IF(COUNTIF('＠MFP (LSI name)'!AH75,"Serial*")+COUNTIF('＠MFP (LSI name)'!AH75,"Analog*")&gt;0,'＠MFP (LSI name)'!AH75,OFFSET('＠グループ、表示名'!$H$4,MATCH('＠MFP (LSI name)'!AH75,'＠グループ、表示名'!$D$4:$D$250,0)-1,0)))</f>
        <v>ADIN21</v>
      </c>
      <c r="AI75" s="18" t="str">
        <f ca="1">IF('＠MFP (LSI name)'!AI75="","",IF(COUNTIF('＠MFP (LSI name)'!AI75,"Serial*")+COUNTIF('＠MFP (LSI name)'!AI75,"Analog*")&gt;0,'＠MFP (LSI name)'!AI75,OFFSET('＠グループ、表示名'!$H$4,MATCH('＠MFP (LSI name)'!AI75,'＠グループ、表示名'!$D$4:$D$250,0)-1,0)))</f>
        <v/>
      </c>
      <c r="AJ75" s="18" t="str">
        <f ca="1">IF('＠MFP (LSI name)'!AJ75="","",IF(COUNTIF('＠MFP (LSI name)'!AJ75,"Serial*")+COUNTIF('＠MFP (LSI name)'!AJ75,"Analog*")&gt;0,'＠MFP (LSI name)'!AJ75,OFFSET('＠グループ、表示名'!$H$4,MATCH('＠MFP (LSI name)'!AJ75,'＠グループ、表示名'!$D$4:$D$250,0)-1,0)))</f>
        <v>CMP1_CMPREF11</v>
      </c>
      <c r="AK75" s="69" t="str">
        <f ca="1">IF('＠MFP (LSI name)'!AK75="","",IF(COUNTIF('＠MFP (LSI name)'!AK75,"Serial*")+COUNTIF('＠MFP (LSI name)'!AK75,"Analog*")&gt;0,'＠MFP (LSI name)'!AK75,OFFSET('＠グループ、表示名'!$H$4,MATCH('＠MFP (LSI name)'!AK75,'＠グループ、表示名'!$D$4:$D$250,0)-1,0)))</f>
        <v/>
      </c>
      <c r="AL75" s="9" t="str">
        <f t="shared" si="4"/>
        <v>IOP2MD[7]</v>
      </c>
      <c r="AM75" s="9" t="str">
        <f t="shared" si="5"/>
        <v>IOP2MD[6]</v>
      </c>
      <c r="AN75" s="9" t="str">
        <f t="shared" si="6"/>
        <v>IOP2MD[5]</v>
      </c>
      <c r="AO75" s="9" t="str">
        <f t="shared" si="7"/>
        <v>IOP2MD[4]</v>
      </c>
      <c r="AP75" s="86"/>
    </row>
    <row r="76" spans="1:42" ht="16.149999999999999">
      <c r="A76" s="60">
        <v>68</v>
      </c>
      <c r="B76" s="7">
        <v>68</v>
      </c>
      <c r="C76" s="7">
        <v>56</v>
      </c>
      <c r="D76" s="87"/>
      <c r="E76" s="87"/>
      <c r="F76" s="7">
        <v>68</v>
      </c>
      <c r="G76" s="7">
        <v>56</v>
      </c>
      <c r="H76" s="87"/>
      <c r="I76" s="45" t="s">
        <v>550</v>
      </c>
      <c r="J76" s="45" t="s">
        <v>551</v>
      </c>
      <c r="K76" s="69" t="str">
        <f ca="1">IF('＠MFP (LSI name)'!K76="","",IF(COUNTIF('＠MFP (LSI name)'!K76,"Serial*")+COUNTIF('＠MFP (LSI name)'!K76,"Analog*")&gt;0,'＠MFP (LSI name)'!K76,OFFSET('＠グループ、表示名'!$H$4,MATCH('＠MFP (LSI name)'!K76,'＠グループ、表示名'!$D$4:$D$250,0)-1,0)))</f>
        <v>IRQ07</v>
      </c>
      <c r="L76" s="69" t="str">
        <f ca="1">IF('＠MFP (LSI name)'!L76="","",IF(COUNTIF('＠MFP (LSI name)'!L76,"Serial*")+COUNTIF('＠MFP (LSI name)'!L76,"Analog*")&gt;0,'＠MFP (LSI name)'!L76,OFFSET('＠グループ、表示名'!$H$4,MATCH('＠MFP (LSI name)'!L76,'＠グループ、表示名'!$D$4:$D$250,0)-1,0)))</f>
        <v>IRQ20</v>
      </c>
      <c r="M76" s="69" t="str">
        <f ca="1">IF('＠MFP (LSI name)'!M76="","",IF(COUNTIF('＠MFP (LSI name)'!M76,"Serial*")+COUNTIF('＠MFP (LSI name)'!M76,"Analog*")&gt;0,'＠MFP (LSI name)'!M76,OFFSET('＠グループ、表示名'!$H$4,MATCH('＠MFP (LSI name)'!M76,'＠グループ、表示名'!$D$4:$D$250,0)-1,0)))</f>
        <v>IRQ34</v>
      </c>
      <c r="N76" s="69" t="str">
        <f ca="1">IF('＠MFP (LSI name)'!N76="","",IF(COUNTIF('＠MFP (LSI name)'!N76,"Serial*")+COUNTIF('＠MFP (LSI name)'!N76,"Analog*")&gt;0,'＠MFP (LSI name)'!N76,OFFSET('＠グループ、表示名'!$H$4,MATCH('＠MFP (LSI name)'!N76,'＠グループ、表示名'!$D$4:$D$250,0)-1,0)))</f>
        <v>TM11B</v>
      </c>
      <c r="O76" s="69" t="str">
        <f ca="1">IF('＠MFP (LSI name)'!O76="","",IF(COUNTIF('＠MFP (LSI name)'!O76,"Serial*")+COUNTIF('＠MFP (LSI name)'!O76,"Analog*")&gt;0,'＠MFP (LSI name)'!O76,OFFSET('＠グループ、表示名'!$H$4,MATCH('＠MFP (LSI name)'!O76,'＠グループ、表示名'!$D$4:$D$250,0)-1,0)))</f>
        <v>TM15A</v>
      </c>
      <c r="P76" s="69" t="str">
        <f ca="1">IF('＠MFP (LSI name)'!P76="","",IF(COUNTIF('＠MFP (LSI name)'!P76,"Serial*")+COUNTIF('＠MFP (LSI name)'!P76,"Analog*")&gt;0,'＠MFP (LSI name)'!P76,OFFSET('＠グループ、表示名'!$H$4,MATCH('＠MFP (LSI name)'!P76,'＠グループ、表示名'!$D$4:$D$250,0)-1,0)))</f>
        <v>Analog602</v>
      </c>
      <c r="Q76" s="69" t="str">
        <f ca="1">IF('＠MFP (LSI name)'!Q76="","",IF(COUNTIF('＠MFP (LSI name)'!Q76,"Serial*")+COUNTIF('＠MFP (LSI name)'!Q76,"Analog*")&gt;0,'＠MFP (LSI name)'!Q76,OFFSET('＠グループ、表示名'!$H$4,MATCH('＠MFP (LSI name)'!Q76,'＠グループ、表示名'!$D$4:$D$250,0)-1,0)))</f>
        <v/>
      </c>
      <c r="R76" s="69" t="str">
        <f ca="1">IF('＠MFP (LSI name)'!R76="","",IF(COUNTIF('＠MFP (LSI name)'!R76,"Serial*")+COUNTIF('＠MFP (LSI name)'!R76,"Analog*")&gt;0,'＠MFP (LSI name)'!R76,OFFSET('＠グループ、表示名'!$H$4,MATCH('＠MFP (LSI name)'!R76,'＠グループ、表示名'!$D$4:$D$250,0)-1,0)))</f>
        <v/>
      </c>
      <c r="S76" s="69" t="str">
        <f ca="1">IF('＠MFP (LSI name)'!S76="","",IF(COUNTIF('＠MFP (LSI name)'!S76,"Serial*")+COUNTIF('＠MFP (LSI name)'!S76,"Analog*")&gt;0,'＠MFP (LSI name)'!S76,OFFSET('＠グループ、表示名'!$H$4,MATCH('＠MFP (LSI name)'!S76,'＠グループ、表示名'!$D$4:$D$250,0)-1,0)))</f>
        <v/>
      </c>
      <c r="T76" s="69" t="str">
        <f ca="1">IF('＠MFP (LSI name)'!T76="","",IF(COUNTIF('＠MFP (LSI name)'!T76,"Serial*")+COUNTIF('＠MFP (LSI name)'!T76,"Analog*")&gt;0,'＠MFP (LSI name)'!T76,OFFSET('＠グループ、表示名'!$H$4,MATCH('＠MFP (LSI name)'!T76,'＠グループ、表示名'!$D$4:$D$250,0)-1,0)))</f>
        <v/>
      </c>
      <c r="U76" s="69" t="str">
        <f ca="1">IF('＠MFP (LSI name)'!U76="","",IF(COUNTIF('＠MFP (LSI name)'!U76,"Serial*")+COUNTIF('＠MFP (LSI name)'!U76,"Analog*")&gt;0,'＠MFP (LSI name)'!U76,OFFSET('＠グループ、表示名'!$H$4,MATCH('＠MFP (LSI name)'!U76,'＠グループ、表示名'!$D$4:$D$250,0)-1,0)))</f>
        <v/>
      </c>
      <c r="V76" s="69" t="str">
        <f ca="1">IF('＠MFP (LSI name)'!V76="","",IF(COUNTIF('＠MFP (LSI name)'!V76,"Serial*")+COUNTIF('＠MFP (LSI name)'!V76,"Analog*")&gt;0,'＠MFP (LSI name)'!V76,OFFSET('＠グループ、表示名'!$H$4,MATCH('＠MFP (LSI name)'!V76,'＠グループ、表示名'!$D$4:$D$250,0)-1,0)))</f>
        <v/>
      </c>
      <c r="W76" s="18" t="str">
        <f ca="1">IF('＠MFP (LSI name)'!W76="","",IF(COUNTIF('＠MFP (LSI name)'!W76,"Serial*")+COUNTIF('＠MFP (LSI name)'!W76,"Analog*")&gt;0,'＠MFP (LSI name)'!W76,OFFSET('＠グループ、表示名'!$H$4,MATCH('＠MFP (LSI name)'!W76,'＠グループ、表示名'!$D$4:$D$250,0)-1,0)))</f>
        <v/>
      </c>
      <c r="X76" s="18" t="str">
        <f ca="1">IF('＠MFP (LSI name)'!X76="","",IF(COUNTIF('＠MFP (LSI name)'!X76,"Serial*")+COUNTIF('＠MFP (LSI name)'!X76,"Analog*")&gt;0,'＠MFP (LSI name)'!X76,OFFSET('＠グループ、表示名'!$H$4,MATCH('＠MFP (LSI name)'!X76,'＠グループ、表示名'!$D$4:$D$250,0)-1,0)))</f>
        <v/>
      </c>
      <c r="Y76" s="18" t="str">
        <f ca="1">IF('＠MFP (LSI name)'!Y76="","",IF(COUNTIF('＠MFP (LSI name)'!Y76,"Serial*")+COUNTIF('＠MFP (LSI name)'!Y76,"Analog*")&gt;0,'＠MFP (LSI name)'!Y76,OFFSET('＠グループ、表示名'!$H$4,MATCH('＠MFP (LSI name)'!Y76,'＠グループ、表示名'!$D$4:$D$250,0)-1,0)))</f>
        <v/>
      </c>
      <c r="Z76" s="18" t="str">
        <f ca="1">IF('＠MFP (LSI name)'!Z76="","",IF(COUNTIF('＠MFP (LSI name)'!Z76,"Serial*")+COUNTIF('＠MFP (LSI name)'!Z76,"Analog*")&gt;0,'＠MFP (LSI name)'!Z76,OFFSET('＠グループ、表示名'!$H$4,MATCH('＠MFP (LSI name)'!Z76,'＠グループ、表示名'!$D$4:$D$250,0)-1,0)))</f>
        <v/>
      </c>
      <c r="AA76" s="69" t="str">
        <f ca="1">IF('＠MFP (LSI name)'!AA76="","",IF(COUNTIF('＠MFP (LSI name)'!AA76,"Serial*")+COUNTIF('＠MFP (LSI name)'!AA76,"Analog*")&gt;0,'＠MFP (LSI name)'!AA76,OFFSET('＠グループ、表示名'!$H$4,MATCH('＠MFP (LSI name)'!AA76,'＠グループ、表示名'!$D$4:$D$250,0)-1,0)))</f>
        <v/>
      </c>
      <c r="AB76" s="69" t="str">
        <f ca="1">IF('＠MFP (LSI name)'!AB76="","",IF(COUNTIF('＠MFP (LSI name)'!AB76,"Serial*")+COUNTIF('＠MFP (LSI name)'!AB76,"Analog*")&gt;0,'＠MFP (LSI name)'!AB76,OFFSET('＠グループ、表示名'!$H$4,MATCH('＠MFP (LSI name)'!AB76,'＠グループ、表示名'!$D$4:$D$250,0)-1,0)))</f>
        <v/>
      </c>
      <c r="AC76" s="18" t="str">
        <f ca="1">IF('＠MFP (LSI name)'!AC76="","",IF(COUNTIF('＠MFP (LSI name)'!AC76,"Serial*")+COUNTIF('＠MFP (LSI name)'!AC76,"Analog*")&gt;0,'＠MFP (LSI name)'!AC76,OFFSET('＠グループ、表示名'!$H$4,MATCH('＠MFP (LSI name)'!AC76,'＠グループ、表示名'!$D$4:$D$250,0)-1,0)))</f>
        <v/>
      </c>
      <c r="AD76" s="18" t="str">
        <f ca="1">IF('＠MFP (LSI name)'!AD76="","",IF(COUNTIF('＠MFP (LSI name)'!AD76,"Serial*")+COUNTIF('＠MFP (LSI name)'!AD76,"Analog*")&gt;0,'＠MFP (LSI name)'!AD76,OFFSET('＠グループ、表示名'!$H$4,MATCH('＠MFP (LSI name)'!AD76,'＠グループ、表示名'!$D$4:$D$250,0)-1,0)))</f>
        <v/>
      </c>
      <c r="AE76" s="18" t="str">
        <f ca="1">IF('＠MFP (LSI name)'!AE76="","",IF(COUNTIF('＠MFP (LSI name)'!AE76,"Serial*")+COUNTIF('＠MFP (LSI name)'!AE76,"Analog*")&gt;0,'＠MFP (LSI name)'!AE76,OFFSET('＠グループ、表示名'!$H$4,MATCH('＠MFP (LSI name)'!AE76,'＠グループ、表示名'!$D$4:$D$250,0)-1,0)))</f>
        <v/>
      </c>
      <c r="AF76" s="69" t="str">
        <f ca="1">IF('＠MFP (LSI name)'!AF76="","",IF(COUNTIF('＠MFP (LSI name)'!AF76,"Serial*")+COUNTIF('＠MFP (LSI name)'!AF76,"Analog*")&gt;0,'＠MFP (LSI name)'!AF76,OFFSET('＠グループ、表示名'!$H$4,MATCH('＠MFP (LSI name)'!AF76,'＠グループ、表示名'!$D$4:$D$250,0)-1,0)))</f>
        <v/>
      </c>
      <c r="AG76" s="69" t="str">
        <f ca="1">IF('＠MFP (LSI name)'!AG76="","",IF(COUNTIF('＠MFP (LSI name)'!AG76,"Serial*")+COUNTIF('＠MFP (LSI name)'!AG76,"Analog*")&gt;0,'＠MFP (LSI name)'!AG76,OFFSET('＠グループ、表示名'!$H$4,MATCH('＠MFP (LSI name)'!AG76,'＠グループ、表示名'!$D$4:$D$250,0)-1,0)))</f>
        <v>Analog602</v>
      </c>
      <c r="AH76" s="18" t="str">
        <f ca="1">IF('＠MFP (LSI name)'!AH76="","",IF(COUNTIF('＠MFP (LSI name)'!AH76,"Serial*")+COUNTIF('＠MFP (LSI name)'!AH76,"Analog*")&gt;0,'＠MFP (LSI name)'!AH76,OFFSET('＠グループ、表示名'!$H$4,MATCH('＠MFP (LSI name)'!AH76,'＠グループ、表示名'!$D$4:$D$250,0)-1,0)))</f>
        <v>ADIN20</v>
      </c>
      <c r="AI76" s="18" t="str">
        <f ca="1">IF('＠MFP (LSI name)'!AI76="","",IF(COUNTIF('＠MFP (LSI name)'!AI76,"Serial*")+COUNTIF('＠MFP (LSI name)'!AI76,"Analog*")&gt;0,'＠MFP (LSI name)'!AI76,OFFSET('＠グループ、表示名'!$H$4,MATCH('＠MFP (LSI name)'!AI76,'＠グループ、表示名'!$D$4:$D$250,0)-1,0)))</f>
        <v/>
      </c>
      <c r="AJ76" s="18" t="str">
        <f ca="1">IF('＠MFP (LSI name)'!AJ76="","",IF(COUNTIF('＠MFP (LSI name)'!AJ76,"Serial*")+COUNTIF('＠MFP (LSI name)'!AJ76,"Analog*")&gt;0,'＠MFP (LSI name)'!AJ76,OFFSET('＠グループ、表示名'!$H$4,MATCH('＠MFP (LSI name)'!AJ76,'＠グループ、表示名'!$D$4:$D$250,0)-1,0)))</f>
        <v>CMP0_CMPREF01</v>
      </c>
      <c r="AK76" s="69" t="str">
        <f ca="1">IF('＠MFP (LSI name)'!AK76="","",IF(COUNTIF('＠MFP (LSI name)'!AK76,"Serial*")+COUNTIF('＠MFP (LSI name)'!AK76,"Analog*")&gt;0,'＠MFP (LSI name)'!AK76,OFFSET('＠グループ、表示名'!$H$4,MATCH('＠MFP (LSI name)'!AK76,'＠グループ、表示名'!$D$4:$D$250,0)-1,0)))</f>
        <v/>
      </c>
      <c r="AL76" s="9" t="str">
        <f t="shared" si="4"/>
        <v>IOP2MD[3]</v>
      </c>
      <c r="AM76" s="9" t="str">
        <f t="shared" si="5"/>
        <v>IOP2MD[2]</v>
      </c>
      <c r="AN76" s="9" t="str">
        <f t="shared" si="6"/>
        <v>IOP2MD[1]</v>
      </c>
      <c r="AO76" s="9" t="str">
        <f t="shared" si="7"/>
        <v>IOP2MD[0]</v>
      </c>
      <c r="AP76" s="86"/>
    </row>
    <row r="77" spans="1:42" ht="16.149999999999999">
      <c r="A77" s="60">
        <v>69</v>
      </c>
      <c r="B77" s="7">
        <v>69</v>
      </c>
      <c r="C77" s="7"/>
      <c r="D77" s="87"/>
      <c r="E77" s="87"/>
      <c r="F77" s="7">
        <v>69</v>
      </c>
      <c r="G77" s="7"/>
      <c r="H77" s="87"/>
      <c r="I77" s="45" t="s">
        <v>552</v>
      </c>
      <c r="J77" s="45" t="s">
        <v>553</v>
      </c>
      <c r="K77" s="69" t="str">
        <f ca="1">IF('＠MFP (LSI name)'!K77="","",IF(COUNTIF('＠MFP (LSI name)'!K77,"Serial*")+COUNTIF('＠MFP (LSI name)'!K77,"Analog*")&gt;0,'＠MFP (LSI name)'!K77,OFFSET('＠グループ、表示名'!$H$4,MATCH('＠MFP (LSI name)'!K77,'＠グループ、表示名'!$D$4:$D$250,0)-1,0)))</f>
        <v>Analog101</v>
      </c>
      <c r="L77" s="69" t="str">
        <f ca="1">IF('＠MFP (LSI name)'!L77="","",IF(COUNTIF('＠MFP (LSI name)'!L77,"Serial*")+COUNTIF('＠MFP (LSI name)'!L77,"Analog*")&gt;0,'＠MFP (LSI name)'!L77,OFFSET('＠グループ、表示名'!$H$4,MATCH('＠MFP (LSI name)'!L77,'＠グループ、表示名'!$D$4:$D$250,0)-1,0)))</f>
        <v/>
      </c>
      <c r="M77" s="69" t="str">
        <f ca="1">IF('＠MFP (LSI name)'!M77="","",IF(COUNTIF('＠MFP (LSI name)'!M77,"Serial*")+COUNTIF('＠MFP (LSI name)'!M77,"Analog*")&gt;0,'＠MFP (LSI name)'!M77,OFFSET('＠グループ、表示名'!$H$4,MATCH('＠MFP (LSI name)'!M77,'＠グループ、表示名'!$D$4:$D$250,0)-1,0)))</f>
        <v/>
      </c>
      <c r="N77" s="69" t="str">
        <f ca="1">IF('＠MFP (LSI name)'!N77="","",IF(COUNTIF('＠MFP (LSI name)'!N77,"Serial*")+COUNTIF('＠MFP (LSI name)'!N77,"Analog*")&gt;0,'＠MFP (LSI name)'!N77,OFFSET('＠グループ、表示名'!$H$4,MATCH('＠MFP (LSI name)'!N77,'＠グループ、表示名'!$D$4:$D$250,0)-1,0)))</f>
        <v/>
      </c>
      <c r="O77" s="69" t="str">
        <f ca="1">IF('＠MFP (LSI name)'!O77="","",IF(COUNTIF('＠MFP (LSI name)'!O77,"Serial*")+COUNTIF('＠MFP (LSI name)'!O77,"Analog*")&gt;0,'＠MFP (LSI name)'!O77,OFFSET('＠グループ、表示名'!$H$4,MATCH('＠MFP (LSI name)'!O77,'＠グループ、表示名'!$D$4:$D$250,0)-1,0)))</f>
        <v/>
      </c>
      <c r="P77" s="69" t="str">
        <f ca="1">IF('＠MFP (LSI name)'!P77="","",IF(COUNTIF('＠MFP (LSI name)'!P77,"Serial*")+COUNTIF('＠MFP (LSI name)'!P77,"Analog*")&gt;0,'＠MFP (LSI name)'!P77,OFFSET('＠グループ、表示名'!$H$4,MATCH('＠MFP (LSI name)'!P77,'＠グループ、表示名'!$D$4:$D$250,0)-1,0)))</f>
        <v/>
      </c>
      <c r="Q77" s="69" t="str">
        <f ca="1">IF('＠MFP (LSI name)'!Q77="","",IF(COUNTIF('＠MFP (LSI name)'!Q77,"Serial*")+COUNTIF('＠MFP (LSI name)'!Q77,"Analog*")&gt;0,'＠MFP (LSI name)'!Q77,OFFSET('＠グループ、表示名'!$H$4,MATCH('＠MFP (LSI name)'!Q77,'＠グループ、表示名'!$D$4:$D$250,0)-1,0)))</f>
        <v/>
      </c>
      <c r="R77" s="69" t="str">
        <f ca="1">IF('＠MFP (LSI name)'!R77="","",IF(COUNTIF('＠MFP (LSI name)'!R77,"Serial*")+COUNTIF('＠MFP (LSI name)'!R77,"Analog*")&gt;0,'＠MFP (LSI name)'!R77,OFFSET('＠グループ、表示名'!$H$4,MATCH('＠MFP (LSI name)'!R77,'＠グループ、表示名'!$D$4:$D$250,0)-1,0)))</f>
        <v/>
      </c>
      <c r="S77" s="69" t="str">
        <f ca="1">IF('＠MFP (LSI name)'!S77="","",IF(COUNTIF('＠MFP (LSI name)'!S77,"Serial*")+COUNTIF('＠MFP (LSI name)'!S77,"Analog*")&gt;0,'＠MFP (LSI name)'!S77,OFFSET('＠グループ、表示名'!$H$4,MATCH('＠MFP (LSI name)'!S77,'＠グループ、表示名'!$D$4:$D$250,0)-1,0)))</f>
        <v/>
      </c>
      <c r="T77" s="69" t="str">
        <f ca="1">IF('＠MFP (LSI name)'!T77="","",IF(COUNTIF('＠MFP (LSI name)'!T77,"Serial*")+COUNTIF('＠MFP (LSI name)'!T77,"Analog*")&gt;0,'＠MFP (LSI name)'!T77,OFFSET('＠グループ、表示名'!$H$4,MATCH('＠MFP (LSI name)'!T77,'＠グループ、表示名'!$D$4:$D$250,0)-1,0)))</f>
        <v/>
      </c>
      <c r="U77" s="69" t="str">
        <f ca="1">IF('＠MFP (LSI name)'!U77="","",IF(COUNTIF('＠MFP (LSI name)'!U77,"Serial*")+COUNTIF('＠MFP (LSI name)'!U77,"Analog*")&gt;0,'＠MFP (LSI name)'!U77,OFFSET('＠グループ、表示名'!$H$4,MATCH('＠MFP (LSI name)'!U77,'＠グループ、表示名'!$D$4:$D$250,0)-1,0)))</f>
        <v/>
      </c>
      <c r="V77" s="18" t="str">
        <f ca="1">IF('＠MFP (LSI name)'!V77="","",IF(COUNTIF('＠MFP (LSI name)'!V77,"Serial*")+COUNTIF('＠MFP (LSI name)'!V77,"Analog*")&gt;0,'＠MFP (LSI name)'!V77,OFFSET('＠グループ、表示名'!$H$4,MATCH('＠MFP (LSI name)'!V77,'＠グループ、表示名'!$D$4:$D$250,0)-1,0)))</f>
        <v>Analog101</v>
      </c>
      <c r="W77" s="18" t="str">
        <f ca="1">IF('＠MFP (LSI name)'!W77="","",IF(COUNTIF('＠MFP (LSI name)'!W77,"Serial*")+COUNTIF('＠MFP (LSI name)'!W77,"Analog*")&gt;0,'＠MFP (LSI name)'!W77,OFFSET('＠グループ、表示名'!$H$4,MATCH('＠MFP (LSI name)'!W77,'＠グループ、表示名'!$D$4:$D$250,0)-1,0)))</f>
        <v>ADIN19</v>
      </c>
      <c r="X77" s="18" t="str">
        <f ca="1">IF('＠MFP (LSI name)'!X77="","",IF(COUNTIF('＠MFP (LSI name)'!X77,"Serial*")+COUNTIF('＠MFP (LSI name)'!X77,"Analog*")&gt;0,'＠MFP (LSI name)'!X77,OFFSET('＠グループ、表示名'!$H$4,MATCH('＠MFP (LSI name)'!X77,'＠グループ、表示名'!$D$4:$D$250,0)-1,0)))</f>
        <v/>
      </c>
      <c r="Y77" s="18" t="str">
        <f ca="1">IF('＠MFP (LSI name)'!Y77="","",IF(COUNTIF('＠MFP (LSI name)'!Y77,"Serial*")+COUNTIF('＠MFP (LSI name)'!Y77,"Analog*")&gt;0,'＠MFP (LSI name)'!Y77,OFFSET('＠グループ、表示名'!$H$4,MATCH('＠MFP (LSI name)'!Y77,'＠グループ、表示名'!$D$4:$D$250,0)-1,0)))</f>
        <v/>
      </c>
      <c r="Z77" s="18" t="str">
        <f ca="1">IF('＠MFP (LSI name)'!Z77="","",IF(COUNTIF('＠MFP (LSI name)'!Z77,"Serial*")+COUNTIF('＠MFP (LSI name)'!Z77,"Analog*")&gt;0,'＠MFP (LSI name)'!Z77,OFFSET('＠グループ、表示名'!$H$4,MATCH('＠MFP (LSI name)'!Z77,'＠グループ、表示名'!$D$4:$D$250,0)-1,0)))</f>
        <v/>
      </c>
      <c r="AA77" s="69" t="str">
        <f ca="1">IF('＠MFP (LSI name)'!AA77="","",IF(COUNTIF('＠MFP (LSI name)'!AA77,"Serial*")+COUNTIF('＠MFP (LSI name)'!AA77,"Analog*")&gt;0,'＠MFP (LSI name)'!AA77,OFFSET('＠グループ、表示名'!$H$4,MATCH('＠MFP (LSI name)'!AA77,'＠グループ、表示名'!$D$4:$D$250,0)-1,0)))</f>
        <v/>
      </c>
      <c r="AB77" s="69" t="str">
        <f ca="1">IF('＠MFP (LSI name)'!AB77="","",IF(COUNTIF('＠MFP (LSI name)'!AB77,"Serial*")+COUNTIF('＠MFP (LSI name)'!AB77,"Analog*")&gt;0,'＠MFP (LSI name)'!AB77,OFFSET('＠グループ、表示名'!$H$4,MATCH('＠MFP (LSI name)'!AB77,'＠グループ、表示名'!$D$4:$D$250,0)-1,0)))</f>
        <v/>
      </c>
      <c r="AC77" s="18" t="str">
        <f ca="1">IF('＠MFP (LSI name)'!AC77="","",IF(COUNTIF('＠MFP (LSI name)'!AC77,"Serial*")+COUNTIF('＠MFP (LSI name)'!AC77,"Analog*")&gt;0,'＠MFP (LSI name)'!AC77,OFFSET('＠グループ、表示名'!$H$4,MATCH('＠MFP (LSI name)'!AC77,'＠グループ、表示名'!$D$4:$D$250,0)-1,0)))</f>
        <v/>
      </c>
      <c r="AD77" s="18" t="str">
        <f ca="1">IF('＠MFP (LSI name)'!AD77="","",IF(COUNTIF('＠MFP (LSI name)'!AD77,"Serial*")+COUNTIF('＠MFP (LSI name)'!AD77,"Analog*")&gt;0,'＠MFP (LSI name)'!AD77,OFFSET('＠グループ、表示名'!$H$4,MATCH('＠MFP (LSI name)'!AD77,'＠グループ、表示名'!$D$4:$D$250,0)-1,0)))</f>
        <v/>
      </c>
      <c r="AE77" s="18" t="str">
        <f ca="1">IF('＠MFP (LSI name)'!AE77="","",IF(COUNTIF('＠MFP (LSI name)'!AE77,"Serial*")+COUNTIF('＠MFP (LSI name)'!AE77,"Analog*")&gt;0,'＠MFP (LSI name)'!AE77,OFFSET('＠グループ、表示名'!$H$4,MATCH('＠MFP (LSI name)'!AE77,'＠グループ、表示名'!$D$4:$D$250,0)-1,0)))</f>
        <v/>
      </c>
      <c r="AF77" s="69" t="str">
        <f ca="1">IF('＠MFP (LSI name)'!AF77="","",IF(COUNTIF('＠MFP (LSI name)'!AF77,"Serial*")+COUNTIF('＠MFP (LSI name)'!AF77,"Analog*")&gt;0,'＠MFP (LSI name)'!AF77,OFFSET('＠グループ、表示名'!$H$4,MATCH('＠MFP (LSI name)'!AF77,'＠グループ、表示名'!$D$4:$D$250,0)-1,0)))</f>
        <v/>
      </c>
      <c r="AG77" s="69" t="str">
        <f ca="1">IF('＠MFP (LSI name)'!AG77="","",IF(COUNTIF('＠MFP (LSI name)'!AG77,"Serial*")+COUNTIF('＠MFP (LSI name)'!AG77,"Analog*")&gt;0,'＠MFP (LSI name)'!AG77,OFFSET('＠グループ、表示名'!$H$4,MATCH('＠MFP (LSI name)'!AG77,'＠グループ、表示名'!$D$4:$D$250,0)-1,0)))</f>
        <v/>
      </c>
      <c r="AH77" s="18" t="str">
        <f ca="1">IF('＠MFP (LSI name)'!AH77="","",IF(COUNTIF('＠MFP (LSI name)'!AH77,"Serial*")+COUNTIF('＠MFP (LSI name)'!AH77,"Analog*")&gt;0,'＠MFP (LSI name)'!AH77,OFFSET('＠グループ、表示名'!$H$4,MATCH('＠MFP (LSI name)'!AH77,'＠グループ、表示名'!$D$4:$D$250,0)-1,0)))</f>
        <v/>
      </c>
      <c r="AI77" s="18" t="str">
        <f ca="1">IF('＠MFP (LSI name)'!AI77="","",IF(COUNTIF('＠MFP (LSI name)'!AI77,"Serial*")+COUNTIF('＠MFP (LSI name)'!AI77,"Analog*")&gt;0,'＠MFP (LSI name)'!AI77,OFFSET('＠グループ、表示名'!$H$4,MATCH('＠MFP (LSI name)'!AI77,'＠グループ、表示名'!$D$4:$D$250,0)-1,0)))</f>
        <v/>
      </c>
      <c r="AJ77" s="18" t="str">
        <f ca="1">IF('＠MFP (LSI name)'!AJ77="","",IF(COUNTIF('＠MFP (LSI name)'!AJ77,"Serial*")+COUNTIF('＠MFP (LSI name)'!AJ77,"Analog*")&gt;0,'＠MFP (LSI name)'!AJ77,OFFSET('＠グループ、表示名'!$H$4,MATCH('＠MFP (LSI name)'!AJ77,'＠グループ、表示名'!$D$4:$D$250,0)-1,0)))</f>
        <v/>
      </c>
      <c r="AK77" s="69" t="str">
        <f ca="1">IF('＠MFP (LSI name)'!AK77="","",IF(COUNTIF('＠MFP (LSI name)'!AK77,"Serial*")+COUNTIF('＠MFP (LSI name)'!AK77,"Analog*")&gt;0,'＠MFP (LSI name)'!AK77,OFFSET('＠グループ、表示名'!$H$4,MATCH('＠MFP (LSI name)'!AK77,'＠グループ、表示名'!$D$4:$D$250,0)-1,0)))</f>
        <v/>
      </c>
      <c r="AL77" s="9" t="str">
        <f t="shared" ref="AL77:AL108" si="8">IF(COUNTIF(J77,"P*")&gt;0,"IO"&amp;LEFT(J77,2)&amp;"MD["&amp;RIGHT(J77,1)*4+3&amp;"]","")</f>
        <v>IOP6MD[23]</v>
      </c>
      <c r="AM77" s="9" t="str">
        <f t="shared" ref="AM77:AM108" si="9">IF(COUNTIF(J77,"P*")&gt;0,"IO"&amp;LEFT(J77,2)&amp;"MD["&amp;RIGHT(J77,1)*4+2&amp;"]","")</f>
        <v>IOP6MD[22]</v>
      </c>
      <c r="AN77" s="9" t="str">
        <f t="shared" ref="AN77:AN108" si="10">IF(COUNTIF(J77,"P*")&gt;0,"IO"&amp;LEFT(J77,2)&amp;"MD["&amp;RIGHT(J77,1)*4+1&amp;"]","")</f>
        <v>IOP6MD[21]</v>
      </c>
      <c r="AO77" s="9" t="str">
        <f t="shared" ref="AO77:AO108" si="11">IF(COUNTIF(J77,"P*")&gt;0,"IO"&amp;LEFT(J77,2)&amp;"MD["&amp;RIGHT(J77,1)*4&amp;"]","")</f>
        <v>IOP6MD[20]</v>
      </c>
      <c r="AP77" s="86"/>
    </row>
    <row r="78" spans="1:42" ht="16.149999999999999">
      <c r="A78" s="60">
        <v>70</v>
      </c>
      <c r="B78" s="7">
        <v>70</v>
      </c>
      <c r="C78" s="7"/>
      <c r="D78" s="87"/>
      <c r="E78" s="87"/>
      <c r="F78" s="7">
        <v>70</v>
      </c>
      <c r="G78" s="7"/>
      <c r="H78" s="87"/>
      <c r="I78" s="45" t="s">
        <v>554</v>
      </c>
      <c r="J78" s="45" t="s">
        <v>555</v>
      </c>
      <c r="K78" s="69" t="str">
        <f ca="1">IF('＠MFP (LSI name)'!K78="","",IF(COUNTIF('＠MFP (LSI name)'!K78,"Serial*")+COUNTIF('＠MFP (LSI name)'!K78,"Analog*")&gt;0,'＠MFP (LSI name)'!K78,OFFSET('＠グループ、表示名'!$H$4,MATCH('＠MFP (LSI name)'!K78,'＠グループ、表示名'!$D$4:$D$250,0)-1,0)))</f>
        <v>Analog102</v>
      </c>
      <c r="L78" s="69" t="str">
        <f ca="1">IF('＠MFP (LSI name)'!L78="","",IF(COUNTIF('＠MFP (LSI name)'!L78,"Serial*")+COUNTIF('＠MFP (LSI name)'!L78,"Analog*")&gt;0,'＠MFP (LSI name)'!L78,OFFSET('＠グループ、表示名'!$H$4,MATCH('＠MFP (LSI name)'!L78,'＠グループ、表示名'!$D$4:$D$250,0)-1,0)))</f>
        <v/>
      </c>
      <c r="M78" s="69" t="str">
        <f ca="1">IF('＠MFP (LSI name)'!M78="","",IF(COUNTIF('＠MFP (LSI name)'!M78,"Serial*")+COUNTIF('＠MFP (LSI name)'!M78,"Analog*")&gt;0,'＠MFP (LSI name)'!M78,OFFSET('＠グループ、表示名'!$H$4,MATCH('＠MFP (LSI name)'!M78,'＠グループ、表示名'!$D$4:$D$250,0)-1,0)))</f>
        <v/>
      </c>
      <c r="N78" s="69" t="str">
        <f ca="1">IF('＠MFP (LSI name)'!N78="","",IF(COUNTIF('＠MFP (LSI name)'!N78,"Serial*")+COUNTIF('＠MFP (LSI name)'!N78,"Analog*")&gt;0,'＠MFP (LSI name)'!N78,OFFSET('＠グループ、表示名'!$H$4,MATCH('＠MFP (LSI name)'!N78,'＠グループ、表示名'!$D$4:$D$250,0)-1,0)))</f>
        <v/>
      </c>
      <c r="O78" s="69" t="str">
        <f ca="1">IF('＠MFP (LSI name)'!O78="","",IF(COUNTIF('＠MFP (LSI name)'!O78,"Serial*")+COUNTIF('＠MFP (LSI name)'!O78,"Analog*")&gt;0,'＠MFP (LSI name)'!O78,OFFSET('＠グループ、表示名'!$H$4,MATCH('＠MFP (LSI name)'!O78,'＠グループ、表示名'!$D$4:$D$250,0)-1,0)))</f>
        <v/>
      </c>
      <c r="P78" s="69" t="str">
        <f ca="1">IF('＠MFP (LSI name)'!P78="","",IF(COUNTIF('＠MFP (LSI name)'!P78,"Serial*")+COUNTIF('＠MFP (LSI name)'!P78,"Analog*")&gt;0,'＠MFP (LSI name)'!P78,OFFSET('＠グループ、表示名'!$H$4,MATCH('＠MFP (LSI name)'!P78,'＠グループ、表示名'!$D$4:$D$250,0)-1,0)))</f>
        <v/>
      </c>
      <c r="Q78" s="69" t="str">
        <f ca="1">IF('＠MFP (LSI name)'!Q78="","",IF(COUNTIF('＠MFP (LSI name)'!Q78,"Serial*")+COUNTIF('＠MFP (LSI name)'!Q78,"Analog*")&gt;0,'＠MFP (LSI name)'!Q78,OFFSET('＠グループ、表示名'!$H$4,MATCH('＠MFP (LSI name)'!Q78,'＠グループ、表示名'!$D$4:$D$250,0)-1,0)))</f>
        <v/>
      </c>
      <c r="R78" s="69" t="str">
        <f ca="1">IF('＠MFP (LSI name)'!R78="","",IF(COUNTIF('＠MFP (LSI name)'!R78,"Serial*")+COUNTIF('＠MFP (LSI name)'!R78,"Analog*")&gt;0,'＠MFP (LSI name)'!R78,OFFSET('＠グループ、表示名'!$H$4,MATCH('＠MFP (LSI name)'!R78,'＠グループ、表示名'!$D$4:$D$250,0)-1,0)))</f>
        <v/>
      </c>
      <c r="S78" s="69" t="str">
        <f ca="1">IF('＠MFP (LSI name)'!S78="","",IF(COUNTIF('＠MFP (LSI name)'!S78,"Serial*")+COUNTIF('＠MFP (LSI name)'!S78,"Analog*")&gt;0,'＠MFP (LSI name)'!S78,OFFSET('＠グループ、表示名'!$H$4,MATCH('＠MFP (LSI name)'!S78,'＠グループ、表示名'!$D$4:$D$250,0)-1,0)))</f>
        <v/>
      </c>
      <c r="T78" s="69" t="str">
        <f ca="1">IF('＠MFP (LSI name)'!T78="","",IF(COUNTIF('＠MFP (LSI name)'!T78,"Serial*")+COUNTIF('＠MFP (LSI name)'!T78,"Analog*")&gt;0,'＠MFP (LSI name)'!T78,OFFSET('＠グループ、表示名'!$H$4,MATCH('＠MFP (LSI name)'!T78,'＠グループ、表示名'!$D$4:$D$250,0)-1,0)))</f>
        <v/>
      </c>
      <c r="U78" s="69" t="str">
        <f ca="1">IF('＠MFP (LSI name)'!U78="","",IF(COUNTIF('＠MFP (LSI name)'!U78,"Serial*")+COUNTIF('＠MFP (LSI name)'!U78,"Analog*")&gt;0,'＠MFP (LSI name)'!U78,OFFSET('＠グループ、表示名'!$H$4,MATCH('＠MFP (LSI name)'!U78,'＠グループ、表示名'!$D$4:$D$250,0)-1,0)))</f>
        <v/>
      </c>
      <c r="V78" s="18" t="str">
        <f ca="1">IF('＠MFP (LSI name)'!V78="","",IF(COUNTIF('＠MFP (LSI name)'!V78,"Serial*")+COUNTIF('＠MFP (LSI name)'!V78,"Analog*")&gt;0,'＠MFP (LSI name)'!V78,OFFSET('＠グループ、表示名'!$H$4,MATCH('＠MFP (LSI name)'!V78,'＠グループ、表示名'!$D$4:$D$250,0)-1,0)))</f>
        <v>Analog102</v>
      </c>
      <c r="W78" s="18" t="str">
        <f ca="1">IF('＠MFP (LSI name)'!W78="","",IF(COUNTIF('＠MFP (LSI name)'!W78,"Serial*")+COUNTIF('＠MFP (LSI name)'!W78,"Analog*")&gt;0,'＠MFP (LSI name)'!W78,OFFSET('＠グループ、表示名'!$H$4,MATCH('＠MFP (LSI name)'!W78,'＠グループ、表示名'!$D$4:$D$250,0)-1,0)))</f>
        <v>ADIN18</v>
      </c>
      <c r="X78" s="18" t="str">
        <f ca="1">IF('＠MFP (LSI name)'!X78="","",IF(COUNTIF('＠MFP (LSI name)'!X78,"Serial*")+COUNTIF('＠MFP (LSI name)'!X78,"Analog*")&gt;0,'＠MFP (LSI name)'!X78,OFFSET('＠グループ、表示名'!$H$4,MATCH('＠MFP (LSI name)'!X78,'＠グループ、表示名'!$D$4:$D$250,0)-1,0)))</f>
        <v/>
      </c>
      <c r="Y78" s="18" t="str">
        <f ca="1">IF('＠MFP (LSI name)'!Y78="","",IF(COUNTIF('＠MFP (LSI name)'!Y78,"Serial*")+COUNTIF('＠MFP (LSI name)'!Y78,"Analog*")&gt;0,'＠MFP (LSI name)'!Y78,OFFSET('＠グループ、表示名'!$H$4,MATCH('＠MFP (LSI name)'!Y78,'＠グループ、表示名'!$D$4:$D$250,0)-1,0)))</f>
        <v/>
      </c>
      <c r="Z78" s="18" t="str">
        <f ca="1">IF('＠MFP (LSI name)'!Z78="","",IF(COUNTIF('＠MFP (LSI name)'!Z78,"Serial*")+COUNTIF('＠MFP (LSI name)'!Z78,"Analog*")&gt;0,'＠MFP (LSI name)'!Z78,OFFSET('＠グループ、表示名'!$H$4,MATCH('＠MFP (LSI name)'!Z78,'＠グループ、表示名'!$D$4:$D$250,0)-1,0)))</f>
        <v/>
      </c>
      <c r="AA78" s="69" t="str">
        <f ca="1">IF('＠MFP (LSI name)'!AA78="","",IF(COUNTIF('＠MFP (LSI name)'!AA78,"Serial*")+COUNTIF('＠MFP (LSI name)'!AA78,"Analog*")&gt;0,'＠MFP (LSI name)'!AA78,OFFSET('＠グループ、表示名'!$H$4,MATCH('＠MFP (LSI name)'!AA78,'＠グループ、表示名'!$D$4:$D$250,0)-1,0)))</f>
        <v/>
      </c>
      <c r="AB78" s="18" t="str">
        <f ca="1">IF('＠MFP (LSI name)'!AB78="","",IF(COUNTIF('＠MFP (LSI name)'!AB78,"Serial*")+COUNTIF('＠MFP (LSI name)'!AB78,"Analog*")&gt;0,'＠MFP (LSI name)'!AB78,OFFSET('＠グループ、表示名'!$H$4,MATCH('＠MFP (LSI name)'!AB78,'＠グループ、表示名'!$D$4:$D$250,0)-1,0)))</f>
        <v/>
      </c>
      <c r="AC78" s="18" t="str">
        <f ca="1">IF('＠MFP (LSI name)'!AC78="","",IF(COUNTIF('＠MFP (LSI name)'!AC78,"Serial*")+COUNTIF('＠MFP (LSI name)'!AC78,"Analog*")&gt;0,'＠MFP (LSI name)'!AC78,OFFSET('＠グループ、表示名'!$H$4,MATCH('＠MFP (LSI name)'!AC78,'＠グループ、表示名'!$D$4:$D$250,0)-1,0)))</f>
        <v/>
      </c>
      <c r="AD78" s="18" t="str">
        <f ca="1">IF('＠MFP (LSI name)'!AD78="","",IF(COUNTIF('＠MFP (LSI name)'!AD78,"Serial*")+COUNTIF('＠MFP (LSI name)'!AD78,"Analog*")&gt;0,'＠MFP (LSI name)'!AD78,OFFSET('＠グループ、表示名'!$H$4,MATCH('＠MFP (LSI name)'!AD78,'＠グループ、表示名'!$D$4:$D$250,0)-1,0)))</f>
        <v/>
      </c>
      <c r="AE78" s="18" t="str">
        <f ca="1">IF('＠MFP (LSI name)'!AE78="","",IF(COUNTIF('＠MFP (LSI name)'!AE78,"Serial*")+COUNTIF('＠MFP (LSI name)'!AE78,"Analog*")&gt;0,'＠MFP (LSI name)'!AE78,OFFSET('＠グループ、表示名'!$H$4,MATCH('＠MFP (LSI name)'!AE78,'＠グループ、表示名'!$D$4:$D$250,0)-1,0)))</f>
        <v/>
      </c>
      <c r="AF78" s="69" t="str">
        <f ca="1">IF('＠MFP (LSI name)'!AF78="","",IF(COUNTIF('＠MFP (LSI name)'!AF78,"Serial*")+COUNTIF('＠MFP (LSI name)'!AF78,"Analog*")&gt;0,'＠MFP (LSI name)'!AF78,OFFSET('＠グループ、表示名'!$H$4,MATCH('＠MFP (LSI name)'!AF78,'＠グループ、表示名'!$D$4:$D$250,0)-1,0)))</f>
        <v/>
      </c>
      <c r="AG78" s="18" t="str">
        <f ca="1">IF('＠MFP (LSI name)'!AG78="","",IF(COUNTIF('＠MFP (LSI name)'!AG78,"Serial*")+COUNTIF('＠MFP (LSI name)'!AG78,"Analog*")&gt;0,'＠MFP (LSI name)'!AG78,OFFSET('＠グループ、表示名'!$H$4,MATCH('＠MFP (LSI name)'!AG78,'＠グループ、表示名'!$D$4:$D$250,0)-1,0)))</f>
        <v/>
      </c>
      <c r="AH78" s="18" t="str">
        <f ca="1">IF('＠MFP (LSI name)'!AH78="","",IF(COUNTIF('＠MFP (LSI name)'!AH78,"Serial*")+COUNTIF('＠MFP (LSI name)'!AH78,"Analog*")&gt;0,'＠MFP (LSI name)'!AH78,OFFSET('＠グループ、表示名'!$H$4,MATCH('＠MFP (LSI name)'!AH78,'＠グループ、表示名'!$D$4:$D$250,0)-1,0)))</f>
        <v/>
      </c>
      <c r="AI78" s="18" t="str">
        <f ca="1">IF('＠MFP (LSI name)'!AI78="","",IF(COUNTIF('＠MFP (LSI name)'!AI78,"Serial*")+COUNTIF('＠MFP (LSI name)'!AI78,"Analog*")&gt;0,'＠MFP (LSI name)'!AI78,OFFSET('＠グループ、表示名'!$H$4,MATCH('＠MFP (LSI name)'!AI78,'＠グループ、表示名'!$D$4:$D$250,0)-1,0)))</f>
        <v/>
      </c>
      <c r="AJ78" s="18" t="str">
        <f ca="1">IF('＠MFP (LSI name)'!AJ78="","",IF(COUNTIF('＠MFP (LSI name)'!AJ78,"Serial*")+COUNTIF('＠MFP (LSI name)'!AJ78,"Analog*")&gt;0,'＠MFP (LSI name)'!AJ78,OFFSET('＠グループ、表示名'!$H$4,MATCH('＠MFP (LSI name)'!AJ78,'＠グループ、表示名'!$D$4:$D$250,0)-1,0)))</f>
        <v/>
      </c>
      <c r="AK78" s="69" t="str">
        <f ca="1">IF('＠MFP (LSI name)'!AK78="","",IF(COUNTIF('＠MFP (LSI name)'!AK78,"Serial*")+COUNTIF('＠MFP (LSI name)'!AK78,"Analog*")&gt;0,'＠MFP (LSI name)'!AK78,OFFSET('＠グループ、表示名'!$H$4,MATCH('＠MFP (LSI name)'!AK78,'＠グループ、表示名'!$D$4:$D$250,0)-1,0)))</f>
        <v/>
      </c>
      <c r="AL78" s="9" t="str">
        <f t="shared" si="8"/>
        <v>IOP6MD[19]</v>
      </c>
      <c r="AM78" s="9" t="str">
        <f t="shared" si="9"/>
        <v>IOP6MD[18]</v>
      </c>
      <c r="AN78" s="9" t="str">
        <f t="shared" si="10"/>
        <v>IOP6MD[17]</v>
      </c>
      <c r="AO78" s="9" t="str">
        <f t="shared" si="11"/>
        <v>IOP6MD[16]</v>
      </c>
      <c r="AP78" s="86"/>
    </row>
    <row r="79" spans="1:42" ht="16.149999999999999">
      <c r="A79" s="60">
        <v>71</v>
      </c>
      <c r="B79" s="7">
        <v>71</v>
      </c>
      <c r="C79" s="7">
        <v>57</v>
      </c>
      <c r="D79" s="87"/>
      <c r="E79" s="87"/>
      <c r="F79" s="7">
        <v>71</v>
      </c>
      <c r="G79" s="7">
        <v>57</v>
      </c>
      <c r="H79" s="87"/>
      <c r="I79" s="45" t="s">
        <v>245</v>
      </c>
      <c r="J79" s="45" t="s">
        <v>246</v>
      </c>
      <c r="K79" s="69" t="str">
        <f ca="1">IF('＠MFP (LSI name)'!K79="","",IF(COUNTIF('＠MFP (LSI name)'!K79,"Serial*")+COUNTIF('＠MFP (LSI name)'!K79,"Analog*")&gt;0,'＠MFP (LSI name)'!K79,OFFSET('＠グループ、表示名'!$H$4,MATCH('＠MFP (LSI name)'!K79,'＠グループ、表示名'!$D$4:$D$250,0)-1,0)))</f>
        <v/>
      </c>
      <c r="L79" s="69" t="str">
        <f ca="1">IF('＠MFP (LSI name)'!L79="","",IF(COUNTIF('＠MFP (LSI name)'!L79,"Serial*")+COUNTIF('＠MFP (LSI name)'!L79,"Analog*")&gt;0,'＠MFP (LSI name)'!L79,OFFSET('＠グループ、表示名'!$H$4,MATCH('＠MFP (LSI name)'!L79,'＠グループ、表示名'!$D$4:$D$250,0)-1,0)))</f>
        <v/>
      </c>
      <c r="M79" s="69" t="str">
        <f ca="1">IF('＠MFP (LSI name)'!M79="","",IF(COUNTIF('＠MFP (LSI name)'!M79,"Serial*")+COUNTIF('＠MFP (LSI name)'!M79,"Analog*")&gt;0,'＠MFP (LSI name)'!M79,OFFSET('＠グループ、表示名'!$H$4,MATCH('＠MFP (LSI name)'!M79,'＠グループ、表示名'!$D$4:$D$250,0)-1,0)))</f>
        <v/>
      </c>
      <c r="N79" s="69" t="str">
        <f ca="1">IF('＠MFP (LSI name)'!N79="","",IF(COUNTIF('＠MFP (LSI name)'!N79,"Serial*")+COUNTIF('＠MFP (LSI name)'!N79,"Analog*")&gt;0,'＠MFP (LSI name)'!N79,OFFSET('＠グループ、表示名'!$H$4,MATCH('＠MFP (LSI name)'!N79,'＠グループ、表示名'!$D$4:$D$250,0)-1,0)))</f>
        <v/>
      </c>
      <c r="O79" s="69" t="str">
        <f ca="1">IF('＠MFP (LSI name)'!O79="","",IF(COUNTIF('＠MFP (LSI name)'!O79,"Serial*")+COUNTIF('＠MFP (LSI name)'!O79,"Analog*")&gt;0,'＠MFP (LSI name)'!O79,OFFSET('＠グループ、表示名'!$H$4,MATCH('＠MFP (LSI name)'!O79,'＠グループ、表示名'!$D$4:$D$250,0)-1,0)))</f>
        <v/>
      </c>
      <c r="P79" s="69" t="str">
        <f ca="1">IF('＠MFP (LSI name)'!P79="","",IF(COUNTIF('＠MFP (LSI name)'!P79,"Serial*")+COUNTIF('＠MFP (LSI name)'!P79,"Analog*")&gt;0,'＠MFP (LSI name)'!P79,OFFSET('＠グループ、表示名'!$H$4,MATCH('＠MFP (LSI name)'!P79,'＠グループ、表示名'!$D$4:$D$250,0)-1,0)))</f>
        <v/>
      </c>
      <c r="Q79" s="69" t="str">
        <f ca="1">IF('＠MFP (LSI name)'!Q79="","",IF(COUNTIF('＠MFP (LSI name)'!Q79,"Serial*")+COUNTIF('＠MFP (LSI name)'!Q79,"Analog*")&gt;0,'＠MFP (LSI name)'!Q79,OFFSET('＠グループ、表示名'!$H$4,MATCH('＠MFP (LSI name)'!Q79,'＠グループ、表示名'!$D$4:$D$250,0)-1,0)))</f>
        <v/>
      </c>
      <c r="R79" s="69" t="str">
        <f ca="1">IF('＠MFP (LSI name)'!R79="","",IF(COUNTIF('＠MFP (LSI name)'!R79,"Serial*")+COUNTIF('＠MFP (LSI name)'!R79,"Analog*")&gt;0,'＠MFP (LSI name)'!R79,OFFSET('＠グループ、表示名'!$H$4,MATCH('＠MFP (LSI name)'!R79,'＠グループ、表示名'!$D$4:$D$250,0)-1,0)))</f>
        <v/>
      </c>
      <c r="S79" s="69" t="str">
        <f ca="1">IF('＠MFP (LSI name)'!S79="","",IF(COUNTIF('＠MFP (LSI name)'!S79,"Serial*")+COUNTIF('＠MFP (LSI name)'!S79,"Analog*")&gt;0,'＠MFP (LSI name)'!S79,OFFSET('＠グループ、表示名'!$H$4,MATCH('＠MFP (LSI name)'!S79,'＠グループ、表示名'!$D$4:$D$250,0)-1,0)))</f>
        <v/>
      </c>
      <c r="T79" s="69" t="str">
        <f ca="1">IF('＠MFP (LSI name)'!T79="","",IF(COUNTIF('＠MFP (LSI name)'!T79,"Serial*")+COUNTIF('＠MFP (LSI name)'!T79,"Analog*")&gt;0,'＠MFP (LSI name)'!T79,OFFSET('＠グループ、表示名'!$H$4,MATCH('＠MFP (LSI name)'!T79,'＠グループ、表示名'!$D$4:$D$250,0)-1,0)))</f>
        <v/>
      </c>
      <c r="U79" s="69" t="str">
        <f ca="1">IF('＠MFP (LSI name)'!U79="","",IF(COUNTIF('＠MFP (LSI name)'!U79,"Serial*")+COUNTIF('＠MFP (LSI name)'!U79,"Analog*")&gt;0,'＠MFP (LSI name)'!U79,OFFSET('＠グループ、表示名'!$H$4,MATCH('＠MFP (LSI name)'!U79,'＠グループ、表示名'!$D$4:$D$250,0)-1,0)))</f>
        <v/>
      </c>
      <c r="V79" s="18" t="str">
        <f ca="1">IF('＠MFP (LSI name)'!V79="","",IF(COUNTIF('＠MFP (LSI name)'!V79,"Serial*")+COUNTIF('＠MFP (LSI name)'!V79,"Analog*")&gt;0,'＠MFP (LSI name)'!V79,OFFSET('＠グループ、表示名'!$H$4,MATCH('＠MFP (LSI name)'!V79,'＠グループ、表示名'!$D$4:$D$250,0)-1,0)))</f>
        <v/>
      </c>
      <c r="W79" s="18" t="str">
        <f ca="1">IF('＠MFP (LSI name)'!W79="","",IF(COUNTIF('＠MFP (LSI name)'!W79,"Serial*")+COUNTIF('＠MFP (LSI name)'!W79,"Analog*")&gt;0,'＠MFP (LSI name)'!W79,OFFSET('＠グループ、表示名'!$H$4,MATCH('＠MFP (LSI name)'!W79,'＠グループ、表示名'!$D$4:$D$250,0)-1,0)))</f>
        <v/>
      </c>
      <c r="X79" s="18" t="str">
        <f ca="1">IF('＠MFP (LSI name)'!X79="","",IF(COUNTIF('＠MFP (LSI name)'!X79,"Serial*")+COUNTIF('＠MFP (LSI name)'!X79,"Analog*")&gt;0,'＠MFP (LSI name)'!X79,OFFSET('＠グループ、表示名'!$H$4,MATCH('＠MFP (LSI name)'!X79,'＠グループ、表示名'!$D$4:$D$250,0)-1,0)))</f>
        <v/>
      </c>
      <c r="Y79" s="18" t="str">
        <f ca="1">IF('＠MFP (LSI name)'!Y79="","",IF(COUNTIF('＠MFP (LSI name)'!Y79,"Serial*")+COUNTIF('＠MFP (LSI name)'!Y79,"Analog*")&gt;0,'＠MFP (LSI name)'!Y79,OFFSET('＠グループ、表示名'!$H$4,MATCH('＠MFP (LSI name)'!Y79,'＠グループ、表示名'!$D$4:$D$250,0)-1,0)))</f>
        <v/>
      </c>
      <c r="Z79" s="18" t="str">
        <f ca="1">IF('＠MFP (LSI name)'!Z79="","",IF(COUNTIF('＠MFP (LSI name)'!Z79,"Serial*")+COUNTIF('＠MFP (LSI name)'!Z79,"Analog*")&gt;0,'＠MFP (LSI name)'!Z79,OFFSET('＠グループ、表示名'!$H$4,MATCH('＠MFP (LSI name)'!Z79,'＠グループ、表示名'!$D$4:$D$250,0)-1,0)))</f>
        <v/>
      </c>
      <c r="AA79" s="69" t="str">
        <f ca="1">IF('＠MFP (LSI name)'!AA79="","",IF(COUNTIF('＠MFP (LSI name)'!AA79,"Serial*")+COUNTIF('＠MFP (LSI name)'!AA79,"Analog*")&gt;0,'＠MFP (LSI name)'!AA79,OFFSET('＠グループ、表示名'!$H$4,MATCH('＠MFP (LSI name)'!AA79,'＠グループ、表示名'!$D$4:$D$250,0)-1,0)))</f>
        <v/>
      </c>
      <c r="AB79" s="18" t="str">
        <f ca="1">IF('＠MFP (LSI name)'!AB79="","",IF(COUNTIF('＠MFP (LSI name)'!AB79,"Serial*")+COUNTIF('＠MFP (LSI name)'!AB79,"Analog*")&gt;0,'＠MFP (LSI name)'!AB79,OFFSET('＠グループ、表示名'!$H$4,MATCH('＠MFP (LSI name)'!AB79,'＠グループ、表示名'!$D$4:$D$250,0)-1,0)))</f>
        <v/>
      </c>
      <c r="AC79" s="18" t="str">
        <f ca="1">IF('＠MFP (LSI name)'!AC79="","",IF(COUNTIF('＠MFP (LSI name)'!AC79,"Serial*")+COUNTIF('＠MFP (LSI name)'!AC79,"Analog*")&gt;0,'＠MFP (LSI name)'!AC79,OFFSET('＠グループ、表示名'!$H$4,MATCH('＠MFP (LSI name)'!AC79,'＠グループ、表示名'!$D$4:$D$250,0)-1,0)))</f>
        <v/>
      </c>
      <c r="AD79" s="18" t="str">
        <f ca="1">IF('＠MFP (LSI name)'!AD79="","",IF(COUNTIF('＠MFP (LSI name)'!AD79,"Serial*")+COUNTIF('＠MFP (LSI name)'!AD79,"Analog*")&gt;0,'＠MFP (LSI name)'!AD79,OFFSET('＠グループ、表示名'!$H$4,MATCH('＠MFP (LSI name)'!AD79,'＠グループ、表示名'!$D$4:$D$250,0)-1,0)))</f>
        <v/>
      </c>
      <c r="AE79" s="18" t="str">
        <f ca="1">IF('＠MFP (LSI name)'!AE79="","",IF(COUNTIF('＠MFP (LSI name)'!AE79,"Serial*")+COUNTIF('＠MFP (LSI name)'!AE79,"Analog*")&gt;0,'＠MFP (LSI name)'!AE79,OFFSET('＠グループ、表示名'!$H$4,MATCH('＠MFP (LSI name)'!AE79,'＠グループ、表示名'!$D$4:$D$250,0)-1,0)))</f>
        <v/>
      </c>
      <c r="AF79" s="69" t="str">
        <f ca="1">IF('＠MFP (LSI name)'!AF79="","",IF(COUNTIF('＠MFP (LSI name)'!AF79,"Serial*")+COUNTIF('＠MFP (LSI name)'!AF79,"Analog*")&gt;0,'＠MFP (LSI name)'!AF79,OFFSET('＠グループ、表示名'!$H$4,MATCH('＠MFP (LSI name)'!AF79,'＠グループ、表示名'!$D$4:$D$250,0)-1,0)))</f>
        <v/>
      </c>
      <c r="AG79" s="18" t="str">
        <f ca="1">IF('＠MFP (LSI name)'!AG79="","",IF(COUNTIF('＠MFP (LSI name)'!AG79,"Serial*")+COUNTIF('＠MFP (LSI name)'!AG79,"Analog*")&gt;0,'＠MFP (LSI name)'!AG79,OFFSET('＠グループ、表示名'!$H$4,MATCH('＠MFP (LSI name)'!AG79,'＠グループ、表示名'!$D$4:$D$250,0)-1,0)))</f>
        <v/>
      </c>
      <c r="AH79" s="18" t="str">
        <f ca="1">IF('＠MFP (LSI name)'!AH79="","",IF(COUNTIF('＠MFP (LSI name)'!AH79,"Serial*")+COUNTIF('＠MFP (LSI name)'!AH79,"Analog*")&gt;0,'＠MFP (LSI name)'!AH79,OFFSET('＠グループ、表示名'!$H$4,MATCH('＠MFP (LSI name)'!AH79,'＠グループ、表示名'!$D$4:$D$250,0)-1,0)))</f>
        <v/>
      </c>
      <c r="AI79" s="18" t="str">
        <f ca="1">IF('＠MFP (LSI name)'!AI79="","",IF(COUNTIF('＠MFP (LSI name)'!AI79,"Serial*")+COUNTIF('＠MFP (LSI name)'!AI79,"Analog*")&gt;0,'＠MFP (LSI name)'!AI79,OFFSET('＠グループ、表示名'!$H$4,MATCH('＠MFP (LSI name)'!AI79,'＠グループ、表示名'!$D$4:$D$250,0)-1,0)))</f>
        <v/>
      </c>
      <c r="AJ79" s="18" t="str">
        <f ca="1">IF('＠MFP (LSI name)'!AJ79="","",IF(COUNTIF('＠MFP (LSI name)'!AJ79,"Serial*")+COUNTIF('＠MFP (LSI name)'!AJ79,"Analog*")&gt;0,'＠MFP (LSI name)'!AJ79,OFFSET('＠グループ、表示名'!$H$4,MATCH('＠MFP (LSI name)'!AJ79,'＠グループ、表示名'!$D$4:$D$250,0)-1,0)))</f>
        <v/>
      </c>
      <c r="AK79" s="69" t="str">
        <f ca="1">IF('＠MFP (LSI name)'!AK79="","",IF(COUNTIF('＠MFP (LSI name)'!AK79,"Serial*")+COUNTIF('＠MFP (LSI name)'!AK79,"Analog*")&gt;0,'＠MFP (LSI name)'!AK79,OFFSET('＠グループ、表示名'!$H$4,MATCH('＠MFP (LSI name)'!AK79,'＠グループ、表示名'!$D$4:$D$250,0)-1,0)))</f>
        <v/>
      </c>
      <c r="AL79" s="9" t="str">
        <f t="shared" si="8"/>
        <v>IOPFMD[15]</v>
      </c>
      <c r="AM79" s="9" t="str">
        <f t="shared" si="9"/>
        <v>IOPFMD[14]</v>
      </c>
      <c r="AN79" s="9" t="str">
        <f t="shared" si="10"/>
        <v>IOPFMD[13]</v>
      </c>
      <c r="AO79" s="9" t="str">
        <f t="shared" si="11"/>
        <v>IOPFMD[12]</v>
      </c>
      <c r="AP79" s="86"/>
    </row>
    <row r="80" spans="1:42" ht="16.149999999999999">
      <c r="A80" s="60">
        <v>72</v>
      </c>
      <c r="B80" s="7">
        <v>72</v>
      </c>
      <c r="C80" s="7">
        <v>58</v>
      </c>
      <c r="D80" s="87">
        <v>47</v>
      </c>
      <c r="E80" s="87">
        <v>35</v>
      </c>
      <c r="F80" s="7">
        <v>72</v>
      </c>
      <c r="G80" s="7">
        <v>58</v>
      </c>
      <c r="H80" s="87">
        <v>47</v>
      </c>
      <c r="I80" s="45" t="s">
        <v>556</v>
      </c>
      <c r="J80" s="45" t="s">
        <v>556</v>
      </c>
      <c r="K80" s="69" t="str">
        <f ca="1">IF('＠MFP (LSI name)'!K80="","",IF(COUNTIF('＠MFP (LSI name)'!K80,"Serial*")+COUNTIF('＠MFP (LSI name)'!K80,"Analog*")&gt;0,'＠MFP (LSI name)'!K80,OFFSET('＠グループ、表示名'!$H$4,MATCH('＠MFP (LSI name)'!K80,'＠グループ、表示名'!$D$4:$D$250,0)-1,0)))</f>
        <v/>
      </c>
      <c r="L80" s="69" t="str">
        <f ca="1">IF('＠MFP (LSI name)'!L80="","",IF(COUNTIF('＠MFP (LSI name)'!L80,"Serial*")+COUNTIF('＠MFP (LSI name)'!L80,"Analog*")&gt;0,'＠MFP (LSI name)'!L80,OFFSET('＠グループ、表示名'!$H$4,MATCH('＠MFP (LSI name)'!L80,'＠グループ、表示名'!$D$4:$D$250,0)-1,0)))</f>
        <v/>
      </c>
      <c r="M80" s="69" t="str">
        <f ca="1">IF('＠MFP (LSI name)'!M80="","",IF(COUNTIF('＠MFP (LSI name)'!M80,"Serial*")+COUNTIF('＠MFP (LSI name)'!M80,"Analog*")&gt;0,'＠MFP (LSI name)'!M80,OFFSET('＠グループ、表示名'!$H$4,MATCH('＠MFP (LSI name)'!M80,'＠グループ、表示名'!$D$4:$D$250,0)-1,0)))</f>
        <v/>
      </c>
      <c r="N80" s="69" t="str">
        <f ca="1">IF('＠MFP (LSI name)'!N80="","",IF(COUNTIF('＠MFP (LSI name)'!N80,"Serial*")+COUNTIF('＠MFP (LSI name)'!N80,"Analog*")&gt;0,'＠MFP (LSI name)'!N80,OFFSET('＠グループ、表示名'!$H$4,MATCH('＠MFP (LSI name)'!N80,'＠グループ、表示名'!$D$4:$D$250,0)-1,0)))</f>
        <v/>
      </c>
      <c r="O80" s="69" t="str">
        <f ca="1">IF('＠MFP (LSI name)'!O80="","",IF(COUNTIF('＠MFP (LSI name)'!O80,"Serial*")+COUNTIF('＠MFP (LSI name)'!O80,"Analog*")&gt;0,'＠MFP (LSI name)'!O80,OFFSET('＠グループ、表示名'!$H$4,MATCH('＠MFP (LSI name)'!O80,'＠グループ、表示名'!$D$4:$D$250,0)-1,0)))</f>
        <v/>
      </c>
      <c r="P80" s="69" t="str">
        <f ca="1">IF('＠MFP (LSI name)'!P80="","",IF(COUNTIF('＠MFP (LSI name)'!P80,"Serial*")+COUNTIF('＠MFP (LSI name)'!P80,"Analog*")&gt;0,'＠MFP (LSI name)'!P80,OFFSET('＠グループ、表示名'!$H$4,MATCH('＠MFP (LSI name)'!P80,'＠グループ、表示名'!$D$4:$D$250,0)-1,0)))</f>
        <v/>
      </c>
      <c r="Q80" s="69" t="str">
        <f ca="1">IF('＠MFP (LSI name)'!Q80="","",IF(COUNTIF('＠MFP (LSI name)'!Q80,"Serial*")+COUNTIF('＠MFP (LSI name)'!Q80,"Analog*")&gt;0,'＠MFP (LSI name)'!Q80,OFFSET('＠グループ、表示名'!$H$4,MATCH('＠MFP (LSI name)'!Q80,'＠グループ、表示名'!$D$4:$D$250,0)-1,0)))</f>
        <v/>
      </c>
      <c r="R80" s="69" t="str">
        <f ca="1">IF('＠MFP (LSI name)'!R80="","",IF(COUNTIF('＠MFP (LSI name)'!R80,"Serial*")+COUNTIF('＠MFP (LSI name)'!R80,"Analog*")&gt;0,'＠MFP (LSI name)'!R80,OFFSET('＠グループ、表示名'!$H$4,MATCH('＠MFP (LSI name)'!R80,'＠グループ、表示名'!$D$4:$D$250,0)-1,0)))</f>
        <v/>
      </c>
      <c r="S80" s="69" t="str">
        <f ca="1">IF('＠MFP (LSI name)'!S80="","",IF(COUNTIF('＠MFP (LSI name)'!S80,"Serial*")+COUNTIF('＠MFP (LSI name)'!S80,"Analog*")&gt;0,'＠MFP (LSI name)'!S80,OFFSET('＠グループ、表示名'!$H$4,MATCH('＠MFP (LSI name)'!S80,'＠グループ、表示名'!$D$4:$D$250,0)-1,0)))</f>
        <v/>
      </c>
      <c r="T80" s="69" t="str">
        <f ca="1">IF('＠MFP (LSI name)'!T80="","",IF(COUNTIF('＠MFP (LSI name)'!T80,"Serial*")+COUNTIF('＠MFP (LSI name)'!T80,"Analog*")&gt;0,'＠MFP (LSI name)'!T80,OFFSET('＠グループ、表示名'!$H$4,MATCH('＠MFP (LSI name)'!T80,'＠グループ、表示名'!$D$4:$D$250,0)-1,0)))</f>
        <v/>
      </c>
      <c r="U80" s="69" t="str">
        <f ca="1">IF('＠MFP (LSI name)'!U80="","",IF(COUNTIF('＠MFP (LSI name)'!U80,"Serial*")+COUNTIF('＠MFP (LSI name)'!U80,"Analog*")&gt;0,'＠MFP (LSI name)'!U80,OFFSET('＠グループ、表示名'!$H$4,MATCH('＠MFP (LSI name)'!U80,'＠グループ、表示名'!$D$4:$D$250,0)-1,0)))</f>
        <v/>
      </c>
      <c r="V80" s="18" t="str">
        <f ca="1">IF('＠MFP (LSI name)'!V80="","",IF(COUNTIF('＠MFP (LSI name)'!V80,"Serial*")+COUNTIF('＠MFP (LSI name)'!V80,"Analog*")&gt;0,'＠MFP (LSI name)'!V80,OFFSET('＠グループ、表示名'!$H$4,MATCH('＠MFP (LSI name)'!V80,'＠グループ、表示名'!$D$4:$D$250,0)-1,0)))</f>
        <v/>
      </c>
      <c r="W80" s="18" t="str">
        <f ca="1">IF('＠MFP (LSI name)'!W80="","",IF(COUNTIF('＠MFP (LSI name)'!W80,"Serial*")+COUNTIF('＠MFP (LSI name)'!W80,"Analog*")&gt;0,'＠MFP (LSI name)'!W80,OFFSET('＠グループ、表示名'!$H$4,MATCH('＠MFP (LSI name)'!W80,'＠グループ、表示名'!$D$4:$D$250,0)-1,0)))</f>
        <v/>
      </c>
      <c r="X80" s="18" t="str">
        <f ca="1">IF('＠MFP (LSI name)'!X80="","",IF(COUNTIF('＠MFP (LSI name)'!X80,"Serial*")+COUNTIF('＠MFP (LSI name)'!X80,"Analog*")&gt;0,'＠MFP (LSI name)'!X80,OFFSET('＠グループ、表示名'!$H$4,MATCH('＠MFP (LSI name)'!X80,'＠グループ、表示名'!$D$4:$D$250,0)-1,0)))</f>
        <v/>
      </c>
      <c r="Y80" s="18" t="str">
        <f ca="1">IF('＠MFP (LSI name)'!Y80="","",IF(COUNTIF('＠MFP (LSI name)'!Y80,"Serial*")+COUNTIF('＠MFP (LSI name)'!Y80,"Analog*")&gt;0,'＠MFP (LSI name)'!Y80,OFFSET('＠グループ、表示名'!$H$4,MATCH('＠MFP (LSI name)'!Y80,'＠グループ、表示名'!$D$4:$D$250,0)-1,0)))</f>
        <v/>
      </c>
      <c r="Z80" s="18" t="str">
        <f ca="1">IF('＠MFP (LSI name)'!Z80="","",IF(COUNTIF('＠MFP (LSI name)'!Z80,"Serial*")+COUNTIF('＠MFP (LSI name)'!Z80,"Analog*")&gt;0,'＠MFP (LSI name)'!Z80,OFFSET('＠グループ、表示名'!$H$4,MATCH('＠MFP (LSI name)'!Z80,'＠グループ、表示名'!$D$4:$D$250,0)-1,0)))</f>
        <v/>
      </c>
      <c r="AA80" s="69" t="str">
        <f ca="1">IF('＠MFP (LSI name)'!AA80="","",IF(COUNTIF('＠MFP (LSI name)'!AA80,"Serial*")+COUNTIF('＠MFP (LSI name)'!AA80,"Analog*")&gt;0,'＠MFP (LSI name)'!AA80,OFFSET('＠グループ、表示名'!$H$4,MATCH('＠MFP (LSI name)'!AA80,'＠グループ、表示名'!$D$4:$D$250,0)-1,0)))</f>
        <v/>
      </c>
      <c r="AB80" s="18" t="str">
        <f ca="1">IF('＠MFP (LSI name)'!AB80="","",IF(COUNTIF('＠MFP (LSI name)'!AB80,"Serial*")+COUNTIF('＠MFP (LSI name)'!AB80,"Analog*")&gt;0,'＠MFP (LSI name)'!AB80,OFFSET('＠グループ、表示名'!$H$4,MATCH('＠MFP (LSI name)'!AB80,'＠グループ、表示名'!$D$4:$D$250,0)-1,0)))</f>
        <v/>
      </c>
      <c r="AC80" s="18" t="str">
        <f ca="1">IF('＠MFP (LSI name)'!AC80="","",IF(COUNTIF('＠MFP (LSI name)'!AC80,"Serial*")+COUNTIF('＠MFP (LSI name)'!AC80,"Analog*")&gt;0,'＠MFP (LSI name)'!AC80,OFFSET('＠グループ、表示名'!$H$4,MATCH('＠MFP (LSI name)'!AC80,'＠グループ、表示名'!$D$4:$D$250,0)-1,0)))</f>
        <v/>
      </c>
      <c r="AD80" s="18" t="str">
        <f ca="1">IF('＠MFP (LSI name)'!AD80="","",IF(COUNTIF('＠MFP (LSI name)'!AD80,"Serial*")+COUNTIF('＠MFP (LSI name)'!AD80,"Analog*")&gt;0,'＠MFP (LSI name)'!AD80,OFFSET('＠グループ、表示名'!$H$4,MATCH('＠MFP (LSI name)'!AD80,'＠グループ、表示名'!$D$4:$D$250,0)-1,0)))</f>
        <v/>
      </c>
      <c r="AE80" s="18" t="str">
        <f ca="1">IF('＠MFP (LSI name)'!AE80="","",IF(COUNTIF('＠MFP (LSI name)'!AE80,"Serial*")+COUNTIF('＠MFP (LSI name)'!AE80,"Analog*")&gt;0,'＠MFP (LSI name)'!AE80,OFFSET('＠グループ、表示名'!$H$4,MATCH('＠MFP (LSI name)'!AE80,'＠グループ、表示名'!$D$4:$D$250,0)-1,0)))</f>
        <v/>
      </c>
      <c r="AF80" s="69" t="str">
        <f ca="1">IF('＠MFP (LSI name)'!AF80="","",IF(COUNTIF('＠MFP (LSI name)'!AF80,"Serial*")+COUNTIF('＠MFP (LSI name)'!AF80,"Analog*")&gt;0,'＠MFP (LSI name)'!AF80,OFFSET('＠グループ、表示名'!$H$4,MATCH('＠MFP (LSI name)'!AF80,'＠グループ、表示名'!$D$4:$D$250,0)-1,0)))</f>
        <v/>
      </c>
      <c r="AG80" s="18" t="str">
        <f ca="1">IF('＠MFP (LSI name)'!AG80="","",IF(COUNTIF('＠MFP (LSI name)'!AG80,"Serial*")+COUNTIF('＠MFP (LSI name)'!AG80,"Analog*")&gt;0,'＠MFP (LSI name)'!AG80,OFFSET('＠グループ、表示名'!$H$4,MATCH('＠MFP (LSI name)'!AG80,'＠グループ、表示名'!$D$4:$D$250,0)-1,0)))</f>
        <v/>
      </c>
      <c r="AH80" s="18" t="str">
        <f ca="1">IF('＠MFP (LSI name)'!AH80="","",IF(COUNTIF('＠MFP (LSI name)'!AH80,"Serial*")+COUNTIF('＠MFP (LSI name)'!AH80,"Analog*")&gt;0,'＠MFP (LSI name)'!AH80,OFFSET('＠グループ、表示名'!$H$4,MATCH('＠MFP (LSI name)'!AH80,'＠グループ、表示名'!$D$4:$D$250,0)-1,0)))</f>
        <v/>
      </c>
      <c r="AI80" s="18" t="str">
        <f ca="1">IF('＠MFP (LSI name)'!AI80="","",IF(COUNTIF('＠MFP (LSI name)'!AI80,"Serial*")+COUNTIF('＠MFP (LSI name)'!AI80,"Analog*")&gt;0,'＠MFP (LSI name)'!AI80,OFFSET('＠グループ、表示名'!$H$4,MATCH('＠MFP (LSI name)'!AI80,'＠グループ、表示名'!$D$4:$D$250,0)-1,0)))</f>
        <v/>
      </c>
      <c r="AJ80" s="18" t="str">
        <f ca="1">IF('＠MFP (LSI name)'!AJ80="","",IF(COUNTIF('＠MFP (LSI name)'!AJ80,"Serial*")+COUNTIF('＠MFP (LSI name)'!AJ80,"Analog*")&gt;0,'＠MFP (LSI name)'!AJ80,OFFSET('＠グループ、表示名'!$H$4,MATCH('＠MFP (LSI name)'!AJ80,'＠グループ、表示名'!$D$4:$D$250,0)-1,0)))</f>
        <v/>
      </c>
      <c r="AK80" s="69" t="str">
        <f ca="1">IF('＠MFP (LSI name)'!AK80="","",IF(COUNTIF('＠MFP (LSI name)'!AK80,"Serial*")+COUNTIF('＠MFP (LSI name)'!AK80,"Analog*")&gt;0,'＠MFP (LSI name)'!AK80,OFFSET('＠グループ、表示名'!$H$4,MATCH('＠MFP (LSI name)'!AK80,'＠グループ、表示名'!$D$4:$D$250,0)-1,0)))</f>
        <v/>
      </c>
      <c r="AL80" s="9" t="str">
        <f t="shared" si="8"/>
        <v/>
      </c>
      <c r="AM80" s="9" t="str">
        <f t="shared" si="9"/>
        <v/>
      </c>
      <c r="AN80" s="9" t="str">
        <f t="shared" si="10"/>
        <v/>
      </c>
      <c r="AO80" s="9" t="str">
        <f t="shared" si="11"/>
        <v/>
      </c>
      <c r="AP80" s="86"/>
    </row>
    <row r="81" spans="1:42" ht="16.149999999999999">
      <c r="A81" s="60">
        <v>73</v>
      </c>
      <c r="B81" s="7">
        <v>73</v>
      </c>
      <c r="C81" s="7">
        <v>59</v>
      </c>
      <c r="D81" s="87">
        <v>48</v>
      </c>
      <c r="E81" s="87">
        <v>36</v>
      </c>
      <c r="F81" s="7">
        <v>73</v>
      </c>
      <c r="G81" s="7">
        <v>59</v>
      </c>
      <c r="H81" s="87">
        <v>48</v>
      </c>
      <c r="I81" s="45" t="s">
        <v>557</v>
      </c>
      <c r="J81" s="45" t="s">
        <v>557</v>
      </c>
      <c r="K81" s="69" t="str">
        <f ca="1">IF('＠MFP (LSI name)'!K81="","",IF(COUNTIF('＠MFP (LSI name)'!K81,"Serial*")+COUNTIF('＠MFP (LSI name)'!K81,"Analog*")&gt;0,'＠MFP (LSI name)'!K81,OFFSET('＠グループ、表示名'!$H$4,MATCH('＠MFP (LSI name)'!K81,'＠グループ、表示名'!$D$4:$D$250,0)-1,0)))</f>
        <v/>
      </c>
      <c r="L81" s="69" t="str">
        <f ca="1">IF('＠MFP (LSI name)'!L81="","",IF(COUNTIF('＠MFP (LSI name)'!L81,"Serial*")+COUNTIF('＠MFP (LSI name)'!L81,"Analog*")&gt;0,'＠MFP (LSI name)'!L81,OFFSET('＠グループ、表示名'!$H$4,MATCH('＠MFP (LSI name)'!L81,'＠グループ、表示名'!$D$4:$D$250,0)-1,0)))</f>
        <v/>
      </c>
      <c r="M81" s="69" t="str">
        <f ca="1">IF('＠MFP (LSI name)'!M81="","",IF(COUNTIF('＠MFP (LSI name)'!M81,"Serial*")+COUNTIF('＠MFP (LSI name)'!M81,"Analog*")&gt;0,'＠MFP (LSI name)'!M81,OFFSET('＠グループ、表示名'!$H$4,MATCH('＠MFP (LSI name)'!M81,'＠グループ、表示名'!$D$4:$D$250,0)-1,0)))</f>
        <v/>
      </c>
      <c r="N81" s="69" t="str">
        <f ca="1">IF('＠MFP (LSI name)'!N81="","",IF(COUNTIF('＠MFP (LSI name)'!N81,"Serial*")+COUNTIF('＠MFP (LSI name)'!N81,"Analog*")&gt;0,'＠MFP (LSI name)'!N81,OFFSET('＠グループ、表示名'!$H$4,MATCH('＠MFP (LSI name)'!N81,'＠グループ、表示名'!$D$4:$D$250,0)-1,0)))</f>
        <v/>
      </c>
      <c r="O81" s="69" t="str">
        <f ca="1">IF('＠MFP (LSI name)'!O81="","",IF(COUNTIF('＠MFP (LSI name)'!O81,"Serial*")+COUNTIF('＠MFP (LSI name)'!O81,"Analog*")&gt;0,'＠MFP (LSI name)'!O81,OFFSET('＠グループ、表示名'!$H$4,MATCH('＠MFP (LSI name)'!O81,'＠グループ、表示名'!$D$4:$D$250,0)-1,0)))</f>
        <v/>
      </c>
      <c r="P81" s="69" t="str">
        <f ca="1">IF('＠MFP (LSI name)'!P81="","",IF(COUNTIF('＠MFP (LSI name)'!P81,"Serial*")+COUNTIF('＠MFP (LSI name)'!P81,"Analog*")&gt;0,'＠MFP (LSI name)'!P81,OFFSET('＠グループ、表示名'!$H$4,MATCH('＠MFP (LSI name)'!P81,'＠グループ、表示名'!$D$4:$D$250,0)-1,0)))</f>
        <v/>
      </c>
      <c r="Q81" s="69" t="str">
        <f ca="1">IF('＠MFP (LSI name)'!Q81="","",IF(COUNTIF('＠MFP (LSI name)'!Q81,"Serial*")+COUNTIF('＠MFP (LSI name)'!Q81,"Analog*")&gt;0,'＠MFP (LSI name)'!Q81,OFFSET('＠グループ、表示名'!$H$4,MATCH('＠MFP (LSI name)'!Q81,'＠グループ、表示名'!$D$4:$D$250,0)-1,0)))</f>
        <v/>
      </c>
      <c r="R81" s="69" t="str">
        <f ca="1">IF('＠MFP (LSI name)'!R81="","",IF(COUNTIF('＠MFP (LSI name)'!R81,"Serial*")+COUNTIF('＠MFP (LSI name)'!R81,"Analog*")&gt;0,'＠MFP (LSI name)'!R81,OFFSET('＠グループ、表示名'!$H$4,MATCH('＠MFP (LSI name)'!R81,'＠グループ、表示名'!$D$4:$D$250,0)-1,0)))</f>
        <v/>
      </c>
      <c r="S81" s="69" t="str">
        <f ca="1">IF('＠MFP (LSI name)'!S81="","",IF(COUNTIF('＠MFP (LSI name)'!S81,"Serial*")+COUNTIF('＠MFP (LSI name)'!S81,"Analog*")&gt;0,'＠MFP (LSI name)'!S81,OFFSET('＠グループ、表示名'!$H$4,MATCH('＠MFP (LSI name)'!S81,'＠グループ、表示名'!$D$4:$D$250,0)-1,0)))</f>
        <v/>
      </c>
      <c r="T81" s="69" t="str">
        <f ca="1">IF('＠MFP (LSI name)'!T81="","",IF(COUNTIF('＠MFP (LSI name)'!T81,"Serial*")+COUNTIF('＠MFP (LSI name)'!T81,"Analog*")&gt;0,'＠MFP (LSI name)'!T81,OFFSET('＠グループ、表示名'!$H$4,MATCH('＠MFP (LSI name)'!T81,'＠グループ、表示名'!$D$4:$D$250,0)-1,0)))</f>
        <v/>
      </c>
      <c r="U81" s="69" t="str">
        <f ca="1">IF('＠MFP (LSI name)'!U81="","",IF(COUNTIF('＠MFP (LSI name)'!U81,"Serial*")+COUNTIF('＠MFP (LSI name)'!U81,"Analog*")&gt;0,'＠MFP (LSI name)'!U81,OFFSET('＠グループ、表示名'!$H$4,MATCH('＠MFP (LSI name)'!U81,'＠グループ、表示名'!$D$4:$D$250,0)-1,0)))</f>
        <v/>
      </c>
      <c r="V81" s="18" t="str">
        <f ca="1">IF('＠MFP (LSI name)'!V81="","",IF(COUNTIF('＠MFP (LSI name)'!V81,"Serial*")+COUNTIF('＠MFP (LSI name)'!V81,"Analog*")&gt;0,'＠MFP (LSI name)'!V81,OFFSET('＠グループ、表示名'!$H$4,MATCH('＠MFP (LSI name)'!V81,'＠グループ、表示名'!$D$4:$D$250,0)-1,0)))</f>
        <v/>
      </c>
      <c r="W81" s="18" t="str">
        <f ca="1">IF('＠MFP (LSI name)'!W81="","",IF(COUNTIF('＠MFP (LSI name)'!W81,"Serial*")+COUNTIF('＠MFP (LSI name)'!W81,"Analog*")&gt;0,'＠MFP (LSI name)'!W81,OFFSET('＠グループ、表示名'!$H$4,MATCH('＠MFP (LSI name)'!W81,'＠グループ、表示名'!$D$4:$D$250,0)-1,0)))</f>
        <v/>
      </c>
      <c r="X81" s="18" t="str">
        <f ca="1">IF('＠MFP (LSI name)'!X81="","",IF(COUNTIF('＠MFP (LSI name)'!X81,"Serial*")+COUNTIF('＠MFP (LSI name)'!X81,"Analog*")&gt;0,'＠MFP (LSI name)'!X81,OFFSET('＠グループ、表示名'!$H$4,MATCH('＠MFP (LSI name)'!X81,'＠グループ、表示名'!$D$4:$D$250,0)-1,0)))</f>
        <v/>
      </c>
      <c r="Y81" s="18" t="str">
        <f ca="1">IF('＠MFP (LSI name)'!Y81="","",IF(COUNTIF('＠MFP (LSI name)'!Y81,"Serial*")+COUNTIF('＠MFP (LSI name)'!Y81,"Analog*")&gt;0,'＠MFP (LSI name)'!Y81,OFFSET('＠グループ、表示名'!$H$4,MATCH('＠MFP (LSI name)'!Y81,'＠グループ、表示名'!$D$4:$D$250,0)-1,0)))</f>
        <v/>
      </c>
      <c r="Z81" s="18" t="str">
        <f ca="1">IF('＠MFP (LSI name)'!Z81="","",IF(COUNTIF('＠MFP (LSI name)'!Z81,"Serial*")+COUNTIF('＠MFP (LSI name)'!Z81,"Analog*")&gt;0,'＠MFP (LSI name)'!Z81,OFFSET('＠グループ、表示名'!$H$4,MATCH('＠MFP (LSI name)'!Z81,'＠グループ、表示名'!$D$4:$D$250,0)-1,0)))</f>
        <v/>
      </c>
      <c r="AA81" s="69" t="str">
        <f ca="1">IF('＠MFP (LSI name)'!AA81="","",IF(COUNTIF('＠MFP (LSI name)'!AA81,"Serial*")+COUNTIF('＠MFP (LSI name)'!AA81,"Analog*")&gt;0,'＠MFP (LSI name)'!AA81,OFFSET('＠グループ、表示名'!$H$4,MATCH('＠MFP (LSI name)'!AA81,'＠グループ、表示名'!$D$4:$D$250,0)-1,0)))</f>
        <v/>
      </c>
      <c r="AB81" s="18" t="str">
        <f ca="1">IF('＠MFP (LSI name)'!AB81="","",IF(COUNTIF('＠MFP (LSI name)'!AB81,"Serial*")+COUNTIF('＠MFP (LSI name)'!AB81,"Analog*")&gt;0,'＠MFP (LSI name)'!AB81,OFFSET('＠グループ、表示名'!$H$4,MATCH('＠MFP (LSI name)'!AB81,'＠グループ、表示名'!$D$4:$D$250,0)-1,0)))</f>
        <v/>
      </c>
      <c r="AC81" s="18" t="str">
        <f ca="1">IF('＠MFP (LSI name)'!AC81="","",IF(COUNTIF('＠MFP (LSI name)'!AC81,"Serial*")+COUNTIF('＠MFP (LSI name)'!AC81,"Analog*")&gt;0,'＠MFP (LSI name)'!AC81,OFFSET('＠グループ、表示名'!$H$4,MATCH('＠MFP (LSI name)'!AC81,'＠グループ、表示名'!$D$4:$D$250,0)-1,0)))</f>
        <v/>
      </c>
      <c r="AD81" s="18" t="str">
        <f ca="1">IF('＠MFP (LSI name)'!AD81="","",IF(COUNTIF('＠MFP (LSI name)'!AD81,"Serial*")+COUNTIF('＠MFP (LSI name)'!AD81,"Analog*")&gt;0,'＠MFP (LSI name)'!AD81,OFFSET('＠グループ、表示名'!$H$4,MATCH('＠MFP (LSI name)'!AD81,'＠グループ、表示名'!$D$4:$D$250,0)-1,0)))</f>
        <v/>
      </c>
      <c r="AE81" s="18" t="str">
        <f ca="1">IF('＠MFP (LSI name)'!AE81="","",IF(COUNTIF('＠MFP (LSI name)'!AE81,"Serial*")+COUNTIF('＠MFP (LSI name)'!AE81,"Analog*")&gt;0,'＠MFP (LSI name)'!AE81,OFFSET('＠グループ、表示名'!$H$4,MATCH('＠MFP (LSI name)'!AE81,'＠グループ、表示名'!$D$4:$D$250,0)-1,0)))</f>
        <v/>
      </c>
      <c r="AF81" s="69" t="str">
        <f ca="1">IF('＠MFP (LSI name)'!AF81="","",IF(COUNTIF('＠MFP (LSI name)'!AF81,"Serial*")+COUNTIF('＠MFP (LSI name)'!AF81,"Analog*")&gt;0,'＠MFP (LSI name)'!AF81,OFFSET('＠グループ、表示名'!$H$4,MATCH('＠MFP (LSI name)'!AF81,'＠グループ、表示名'!$D$4:$D$250,0)-1,0)))</f>
        <v/>
      </c>
      <c r="AG81" s="18" t="str">
        <f ca="1">IF('＠MFP (LSI name)'!AG81="","",IF(COUNTIF('＠MFP (LSI name)'!AG81,"Serial*")+COUNTIF('＠MFP (LSI name)'!AG81,"Analog*")&gt;0,'＠MFP (LSI name)'!AG81,OFFSET('＠グループ、表示名'!$H$4,MATCH('＠MFP (LSI name)'!AG81,'＠グループ、表示名'!$D$4:$D$250,0)-1,0)))</f>
        <v/>
      </c>
      <c r="AH81" s="18" t="str">
        <f ca="1">IF('＠MFP (LSI name)'!AH81="","",IF(COUNTIF('＠MFP (LSI name)'!AH81,"Serial*")+COUNTIF('＠MFP (LSI name)'!AH81,"Analog*")&gt;0,'＠MFP (LSI name)'!AH81,OFFSET('＠グループ、表示名'!$H$4,MATCH('＠MFP (LSI name)'!AH81,'＠グループ、表示名'!$D$4:$D$250,0)-1,0)))</f>
        <v/>
      </c>
      <c r="AI81" s="18" t="str">
        <f ca="1">IF('＠MFP (LSI name)'!AI81="","",IF(COUNTIF('＠MFP (LSI name)'!AI81,"Serial*")+COUNTIF('＠MFP (LSI name)'!AI81,"Analog*")&gt;0,'＠MFP (LSI name)'!AI81,OFFSET('＠グループ、表示名'!$H$4,MATCH('＠MFP (LSI name)'!AI81,'＠グループ、表示名'!$D$4:$D$250,0)-1,0)))</f>
        <v/>
      </c>
      <c r="AJ81" s="18" t="str">
        <f ca="1">IF('＠MFP (LSI name)'!AJ81="","",IF(COUNTIF('＠MFP (LSI name)'!AJ81,"Serial*")+COUNTIF('＠MFP (LSI name)'!AJ81,"Analog*")&gt;0,'＠MFP (LSI name)'!AJ81,OFFSET('＠グループ、表示名'!$H$4,MATCH('＠MFP (LSI name)'!AJ81,'＠グループ、表示名'!$D$4:$D$250,0)-1,0)))</f>
        <v/>
      </c>
      <c r="AK81" s="69" t="str">
        <f ca="1">IF('＠MFP (LSI name)'!AK81="","",IF(COUNTIF('＠MFP (LSI name)'!AK81,"Serial*")+COUNTIF('＠MFP (LSI name)'!AK81,"Analog*")&gt;0,'＠MFP (LSI name)'!AK81,OFFSET('＠グループ、表示名'!$H$4,MATCH('＠MFP (LSI name)'!AK81,'＠グループ、表示名'!$D$4:$D$250,0)-1,0)))</f>
        <v/>
      </c>
      <c r="AL81" s="9" t="str">
        <f t="shared" si="8"/>
        <v/>
      </c>
      <c r="AM81" s="9" t="str">
        <f t="shared" si="9"/>
        <v/>
      </c>
      <c r="AN81" s="9" t="str">
        <f t="shared" si="10"/>
        <v/>
      </c>
      <c r="AO81" s="9" t="str">
        <f t="shared" si="11"/>
        <v/>
      </c>
      <c r="AP81" s="86"/>
    </row>
    <row r="82" spans="1:42" ht="16.149999999999999">
      <c r="A82" s="60">
        <v>74</v>
      </c>
      <c r="B82" s="7">
        <v>74</v>
      </c>
      <c r="C82" s="7"/>
      <c r="D82" s="87"/>
      <c r="E82" s="87"/>
      <c r="F82" s="7">
        <v>74</v>
      </c>
      <c r="G82" s="7"/>
      <c r="H82" s="87"/>
      <c r="I82" s="45" t="s">
        <v>558</v>
      </c>
      <c r="J82" s="45" t="s">
        <v>559</v>
      </c>
      <c r="K82" s="69" t="str">
        <f ca="1">IF('＠MFP (LSI name)'!K82="","",IF(COUNTIF('＠MFP (LSI name)'!K82,"Serial*")+COUNTIF('＠MFP (LSI name)'!K82,"Analog*")&gt;0,'＠MFP (LSI name)'!K82,OFFSET('＠グループ、表示名'!$H$4,MATCH('＠MFP (LSI name)'!K82,'＠グループ、表示名'!$D$4:$D$250,0)-1,0)))</f>
        <v>IRQ07</v>
      </c>
      <c r="L82" s="69" t="str">
        <f ca="1">IF('＠MFP (LSI name)'!L82="","",IF(COUNTIF('＠MFP (LSI name)'!L82,"Serial*")+COUNTIF('＠MFP (LSI name)'!L82,"Analog*")&gt;0,'＠MFP (LSI name)'!L82,OFFSET('＠グループ、表示名'!$H$4,MATCH('＠MFP (LSI name)'!L82,'＠グループ、表示名'!$D$4:$D$250,0)-1,0)))</f>
        <v>Analog201</v>
      </c>
      <c r="M82" s="69" t="str">
        <f ca="1">IF('＠MFP (LSI name)'!M82="","",IF(COUNTIF('＠MFP (LSI name)'!M82,"Serial*")+COUNTIF('＠MFP (LSI name)'!M82,"Analog*")&gt;0,'＠MFP (LSI name)'!M82,OFFSET('＠グループ、表示名'!$H$4,MATCH('＠MFP (LSI name)'!M82,'＠グループ、表示名'!$D$4:$D$250,0)-1,0)))</f>
        <v/>
      </c>
      <c r="N82" s="69" t="str">
        <f ca="1">IF('＠MFP (LSI name)'!N82="","",IF(COUNTIF('＠MFP (LSI name)'!N82,"Serial*")+COUNTIF('＠MFP (LSI name)'!N82,"Analog*")&gt;0,'＠MFP (LSI name)'!N82,OFFSET('＠グループ、表示名'!$H$4,MATCH('＠MFP (LSI name)'!N82,'＠グループ、表示名'!$D$4:$D$250,0)-1,0)))</f>
        <v/>
      </c>
      <c r="O82" s="69" t="str">
        <f ca="1">IF('＠MFP (LSI name)'!O82="","",IF(COUNTIF('＠MFP (LSI name)'!O82,"Serial*")+COUNTIF('＠MFP (LSI name)'!O82,"Analog*")&gt;0,'＠MFP (LSI name)'!O82,OFFSET('＠グループ、表示名'!$H$4,MATCH('＠MFP (LSI name)'!O82,'＠グループ、表示名'!$D$4:$D$250,0)-1,0)))</f>
        <v/>
      </c>
      <c r="P82" s="69" t="str">
        <f ca="1">IF('＠MFP (LSI name)'!P82="","",IF(COUNTIF('＠MFP (LSI name)'!P82,"Serial*")+COUNTIF('＠MFP (LSI name)'!P82,"Analog*")&gt;0,'＠MFP (LSI name)'!P82,OFFSET('＠グループ、表示名'!$H$4,MATCH('＠MFP (LSI name)'!P82,'＠グループ、表示名'!$D$4:$D$250,0)-1,0)))</f>
        <v/>
      </c>
      <c r="Q82" s="69" t="str">
        <f ca="1">IF('＠MFP (LSI name)'!Q82="","",IF(COUNTIF('＠MFP (LSI name)'!Q82,"Serial*")+COUNTIF('＠MFP (LSI name)'!Q82,"Analog*")&gt;0,'＠MFP (LSI name)'!Q82,OFFSET('＠グループ、表示名'!$H$4,MATCH('＠MFP (LSI name)'!Q82,'＠グループ、表示名'!$D$4:$D$250,0)-1,0)))</f>
        <v/>
      </c>
      <c r="R82" s="69" t="str">
        <f ca="1">IF('＠MFP (LSI name)'!R82="","",IF(COUNTIF('＠MFP (LSI name)'!R82,"Serial*")+COUNTIF('＠MFP (LSI name)'!R82,"Analog*")&gt;0,'＠MFP (LSI name)'!R82,OFFSET('＠グループ、表示名'!$H$4,MATCH('＠MFP (LSI name)'!R82,'＠グループ、表示名'!$D$4:$D$250,0)-1,0)))</f>
        <v/>
      </c>
      <c r="S82" s="69" t="str">
        <f ca="1">IF('＠MFP (LSI name)'!S82="","",IF(COUNTIF('＠MFP (LSI name)'!S82,"Serial*")+COUNTIF('＠MFP (LSI name)'!S82,"Analog*")&gt;0,'＠MFP (LSI name)'!S82,OFFSET('＠グループ、表示名'!$H$4,MATCH('＠MFP (LSI name)'!S82,'＠グループ、表示名'!$D$4:$D$250,0)-1,0)))</f>
        <v/>
      </c>
      <c r="T82" s="69" t="str">
        <f ca="1">IF('＠MFP (LSI name)'!T82="","",IF(COUNTIF('＠MFP (LSI name)'!T82,"Serial*")+COUNTIF('＠MFP (LSI name)'!T82,"Analog*")&gt;0,'＠MFP (LSI name)'!T82,OFFSET('＠グループ、表示名'!$H$4,MATCH('＠MFP (LSI name)'!T82,'＠グループ、表示名'!$D$4:$D$250,0)-1,0)))</f>
        <v/>
      </c>
      <c r="U82" s="69" t="str">
        <f ca="1">IF('＠MFP (LSI name)'!U82="","",IF(COUNTIF('＠MFP (LSI name)'!U82,"Serial*")+COUNTIF('＠MFP (LSI name)'!U82,"Analog*")&gt;0,'＠MFP (LSI name)'!U82,OFFSET('＠グループ、表示名'!$H$4,MATCH('＠MFP (LSI name)'!U82,'＠グループ、表示名'!$D$4:$D$250,0)-1,0)))</f>
        <v/>
      </c>
      <c r="V82" s="18" t="str">
        <f ca="1">IF('＠MFP (LSI name)'!V82="","",IF(COUNTIF('＠MFP (LSI name)'!V82,"Serial*")+COUNTIF('＠MFP (LSI name)'!V82,"Analog*")&gt;0,'＠MFP (LSI name)'!V82,OFFSET('＠グループ、表示名'!$H$4,MATCH('＠MFP (LSI name)'!V82,'＠グループ、表示名'!$D$4:$D$250,0)-1,0)))</f>
        <v/>
      </c>
      <c r="W82" s="18" t="str">
        <f ca="1">IF('＠MFP (LSI name)'!W82="","",IF(COUNTIF('＠MFP (LSI name)'!W82,"Serial*")+COUNTIF('＠MFP (LSI name)'!W82,"Analog*")&gt;0,'＠MFP (LSI name)'!W82,OFFSET('＠グループ、表示名'!$H$4,MATCH('＠MFP (LSI name)'!W82,'＠グループ、表示名'!$D$4:$D$250,0)-1,0)))</f>
        <v/>
      </c>
      <c r="X82" s="18" t="str">
        <f ca="1">IF('＠MFP (LSI name)'!X82="","",IF(COUNTIF('＠MFP (LSI name)'!X82,"Serial*")+COUNTIF('＠MFP (LSI name)'!X82,"Analog*")&gt;0,'＠MFP (LSI name)'!X82,OFFSET('＠グループ、表示名'!$H$4,MATCH('＠MFP (LSI name)'!X82,'＠グループ、表示名'!$D$4:$D$250,0)-1,0)))</f>
        <v/>
      </c>
      <c r="Y82" s="18" t="str">
        <f ca="1">IF('＠MFP (LSI name)'!Y82="","",IF(COUNTIF('＠MFP (LSI name)'!Y82,"Serial*")+COUNTIF('＠MFP (LSI name)'!Y82,"Analog*")&gt;0,'＠MFP (LSI name)'!Y82,OFFSET('＠グループ、表示名'!$H$4,MATCH('＠MFP (LSI name)'!Y82,'＠グループ、表示名'!$D$4:$D$250,0)-1,0)))</f>
        <v/>
      </c>
      <c r="Z82" s="18" t="str">
        <f ca="1">IF('＠MFP (LSI name)'!Z82="","",IF(COUNTIF('＠MFP (LSI name)'!Z82,"Serial*")+COUNTIF('＠MFP (LSI name)'!Z82,"Analog*")&gt;0,'＠MFP (LSI name)'!Z82,OFFSET('＠グループ、表示名'!$H$4,MATCH('＠MFP (LSI name)'!Z82,'＠グループ、表示名'!$D$4:$D$250,0)-1,0)))</f>
        <v/>
      </c>
      <c r="AA82" s="69" t="str">
        <f ca="1">IF('＠MFP (LSI name)'!AA82="","",IF(COUNTIF('＠MFP (LSI name)'!AA82,"Serial*")+COUNTIF('＠MFP (LSI name)'!AA82,"Analog*")&gt;0,'＠MFP (LSI name)'!AA82,OFFSET('＠グループ、表示名'!$H$4,MATCH('＠MFP (LSI name)'!AA82,'＠グループ、表示名'!$D$4:$D$250,0)-1,0)))</f>
        <v/>
      </c>
      <c r="AB82" s="18" t="str">
        <f ca="1">IF('＠MFP (LSI name)'!AB82="","",IF(COUNTIF('＠MFP (LSI name)'!AB82,"Serial*")+COUNTIF('＠MFP (LSI name)'!AB82,"Analog*")&gt;0,'＠MFP (LSI name)'!AB82,OFFSET('＠グループ、表示名'!$H$4,MATCH('＠MFP (LSI name)'!AB82,'＠グループ、表示名'!$D$4:$D$250,0)-1,0)))</f>
        <v>Analog201</v>
      </c>
      <c r="AC82" s="18" t="str">
        <f ca="1">IF('＠MFP (LSI name)'!AC82="","",IF(COUNTIF('＠MFP (LSI name)'!AC82,"Serial*")+COUNTIF('＠MFP (LSI name)'!AC82,"Analog*")&gt;0,'＠MFP (LSI name)'!AC82,OFFSET('＠グループ、表示名'!$H$4,MATCH('＠MFP (LSI name)'!AC82,'＠グループ、表示名'!$D$4:$D$250,0)-1,0)))</f>
        <v>ADIN17</v>
      </c>
      <c r="AD82" s="18" t="str">
        <f ca="1">IF('＠MFP (LSI name)'!AD82="","",IF(COUNTIF('＠MFP (LSI name)'!AD82,"Serial*")+COUNTIF('＠MFP (LSI name)'!AD82,"Analog*")&gt;0,'＠MFP (LSI name)'!AD82,OFFSET('＠グループ、表示名'!$H$4,MATCH('＠MFP (LSI name)'!AD82,'＠グループ、表示名'!$D$4:$D$250,0)-1,0)))</f>
        <v/>
      </c>
      <c r="AE82" s="18" t="str">
        <f ca="1">IF('＠MFP (LSI name)'!AE82="","",IF(COUNTIF('＠MFP (LSI name)'!AE82,"Serial*")+COUNTIF('＠MFP (LSI name)'!AE82,"Analog*")&gt;0,'＠MFP (LSI name)'!AE82,OFFSET('＠グループ、表示名'!$H$4,MATCH('＠MFP (LSI name)'!AE82,'＠グループ、表示名'!$D$4:$D$250,0)-1,0)))</f>
        <v/>
      </c>
      <c r="AF82" s="69" t="str">
        <f ca="1">IF('＠MFP (LSI name)'!AF82="","",IF(COUNTIF('＠MFP (LSI name)'!AF82,"Serial*")+COUNTIF('＠MFP (LSI name)'!AF82,"Analog*")&gt;0,'＠MFP (LSI name)'!AF82,OFFSET('＠グループ、表示名'!$H$4,MATCH('＠MFP (LSI name)'!AF82,'＠グループ、表示名'!$D$4:$D$250,0)-1,0)))</f>
        <v/>
      </c>
      <c r="AG82" s="18" t="str">
        <f ca="1">IF('＠MFP (LSI name)'!AG82="","",IF(COUNTIF('＠MFP (LSI name)'!AG82,"Serial*")+COUNTIF('＠MFP (LSI name)'!AG82,"Analog*")&gt;0,'＠MFP (LSI name)'!AG82,OFFSET('＠グループ、表示名'!$H$4,MATCH('＠MFP (LSI name)'!AG82,'＠グループ、表示名'!$D$4:$D$250,0)-1,0)))</f>
        <v/>
      </c>
      <c r="AH82" s="18" t="str">
        <f ca="1">IF('＠MFP (LSI name)'!AH82="","",IF(COUNTIF('＠MFP (LSI name)'!AH82,"Serial*")+COUNTIF('＠MFP (LSI name)'!AH82,"Analog*")&gt;0,'＠MFP (LSI name)'!AH82,OFFSET('＠グループ、表示名'!$H$4,MATCH('＠MFP (LSI name)'!AH82,'＠グループ、表示名'!$D$4:$D$250,0)-1,0)))</f>
        <v/>
      </c>
      <c r="AI82" s="18" t="str">
        <f ca="1">IF('＠MFP (LSI name)'!AI82="","",IF(COUNTIF('＠MFP (LSI name)'!AI82,"Serial*")+COUNTIF('＠MFP (LSI name)'!AI82,"Analog*")&gt;0,'＠MFP (LSI name)'!AI82,OFFSET('＠グループ、表示名'!$H$4,MATCH('＠MFP (LSI name)'!AI82,'＠グループ、表示名'!$D$4:$D$250,0)-1,0)))</f>
        <v/>
      </c>
      <c r="AJ82" s="18" t="str">
        <f ca="1">IF('＠MFP (LSI name)'!AJ82="","",IF(COUNTIF('＠MFP (LSI name)'!AJ82,"Serial*")+COUNTIF('＠MFP (LSI name)'!AJ82,"Analog*")&gt;0,'＠MFP (LSI name)'!AJ82,OFFSET('＠グループ、表示名'!$H$4,MATCH('＠MFP (LSI name)'!AJ82,'＠グループ、表示名'!$D$4:$D$250,0)-1,0)))</f>
        <v/>
      </c>
      <c r="AK82" s="69" t="str">
        <f ca="1">IF('＠MFP (LSI name)'!AK82="","",IF(COUNTIF('＠MFP (LSI name)'!AK82,"Serial*")+COUNTIF('＠MFP (LSI name)'!AK82,"Analog*")&gt;0,'＠MFP (LSI name)'!AK82,OFFSET('＠グループ、表示名'!$H$4,MATCH('＠MFP (LSI name)'!AK82,'＠グループ、表示名'!$D$4:$D$250,0)-1,0)))</f>
        <v/>
      </c>
      <c r="AL82" s="9" t="str">
        <f t="shared" si="8"/>
        <v>IOP6MD[15]</v>
      </c>
      <c r="AM82" s="9" t="str">
        <f t="shared" si="9"/>
        <v>IOP6MD[14]</v>
      </c>
      <c r="AN82" s="9" t="str">
        <f t="shared" si="10"/>
        <v>IOP6MD[13]</v>
      </c>
      <c r="AO82" s="9" t="str">
        <f t="shared" si="11"/>
        <v>IOP6MD[12]</v>
      </c>
      <c r="AP82" s="86"/>
    </row>
    <row r="83" spans="1:42" ht="16.149999999999999">
      <c r="A83" s="60">
        <v>75</v>
      </c>
      <c r="B83" s="7">
        <v>75</v>
      </c>
      <c r="C83" s="7">
        <v>60</v>
      </c>
      <c r="D83" s="87"/>
      <c r="E83" s="87"/>
      <c r="F83" s="7">
        <v>75</v>
      </c>
      <c r="G83" s="7">
        <v>60</v>
      </c>
      <c r="H83" s="87"/>
      <c r="I83" s="45" t="s">
        <v>560</v>
      </c>
      <c r="J83" s="45" t="s">
        <v>561</v>
      </c>
      <c r="K83" s="69" t="str">
        <f ca="1">IF('＠MFP (LSI name)'!K83="","",IF(COUNTIF('＠MFP (LSI name)'!K83,"Serial*")+COUNTIF('＠MFP (LSI name)'!K83,"Analog*")&gt;0,'＠MFP (LSI name)'!K83,OFFSET('＠グループ、表示名'!$H$4,MATCH('＠MFP (LSI name)'!K83,'＠グループ、表示名'!$D$4:$D$250,0)-1,0)))</f>
        <v>IRQ06</v>
      </c>
      <c r="L83" s="69" t="str">
        <f ca="1">IF('＠MFP (LSI name)'!L83="","",IF(COUNTIF('＠MFP (LSI name)'!L83,"Serial*")+COUNTIF('＠MFP (LSI name)'!L83,"Analog*")&gt;0,'＠MFP (LSI name)'!L83,OFFSET('＠グループ、表示名'!$H$4,MATCH('＠MFP (LSI name)'!L83,'＠グループ、表示名'!$D$4:$D$250,0)-1,0)))</f>
        <v>Analog202</v>
      </c>
      <c r="M83" s="69" t="str">
        <f ca="1">IF('＠MFP (LSI name)'!M83="","",IF(COUNTIF('＠MFP (LSI name)'!M83,"Serial*")+COUNTIF('＠MFP (LSI name)'!M83,"Analog*")&gt;0,'＠MFP (LSI name)'!M83,OFFSET('＠グループ、表示名'!$H$4,MATCH('＠MFP (LSI name)'!M83,'＠グループ、表示名'!$D$4:$D$250,0)-1,0)))</f>
        <v/>
      </c>
      <c r="N83" s="69" t="str">
        <f ca="1">IF('＠MFP (LSI name)'!N83="","",IF(COUNTIF('＠MFP (LSI name)'!N83,"Serial*")+COUNTIF('＠MFP (LSI name)'!N83,"Analog*")&gt;0,'＠MFP (LSI name)'!N83,OFFSET('＠グループ、表示名'!$H$4,MATCH('＠MFP (LSI name)'!N83,'＠グループ、表示名'!$D$4:$D$250,0)-1,0)))</f>
        <v/>
      </c>
      <c r="O83" s="69" t="str">
        <f ca="1">IF('＠MFP (LSI name)'!O83="","",IF(COUNTIF('＠MFP (LSI name)'!O83,"Serial*")+COUNTIF('＠MFP (LSI name)'!O83,"Analog*")&gt;0,'＠MFP (LSI name)'!O83,OFFSET('＠グループ、表示名'!$H$4,MATCH('＠MFP (LSI name)'!O83,'＠グループ、表示名'!$D$4:$D$250,0)-1,0)))</f>
        <v/>
      </c>
      <c r="P83" s="69" t="str">
        <f ca="1">IF('＠MFP (LSI name)'!P83="","",IF(COUNTIF('＠MFP (LSI name)'!P83,"Serial*")+COUNTIF('＠MFP (LSI name)'!P83,"Analog*")&gt;0,'＠MFP (LSI name)'!P83,OFFSET('＠グループ、表示名'!$H$4,MATCH('＠MFP (LSI name)'!P83,'＠グループ、表示名'!$D$4:$D$250,0)-1,0)))</f>
        <v/>
      </c>
      <c r="Q83" s="69" t="str">
        <f ca="1">IF('＠MFP (LSI name)'!Q83="","",IF(COUNTIF('＠MFP (LSI name)'!Q83,"Serial*")+COUNTIF('＠MFP (LSI name)'!Q83,"Analog*")&gt;0,'＠MFP (LSI name)'!Q83,OFFSET('＠グループ、表示名'!$H$4,MATCH('＠MFP (LSI name)'!Q83,'＠グループ、表示名'!$D$4:$D$250,0)-1,0)))</f>
        <v/>
      </c>
      <c r="R83" s="69" t="str">
        <f ca="1">IF('＠MFP (LSI name)'!R83="","",IF(COUNTIF('＠MFP (LSI name)'!R83,"Serial*")+COUNTIF('＠MFP (LSI name)'!R83,"Analog*")&gt;0,'＠MFP (LSI name)'!R83,OFFSET('＠グループ、表示名'!$H$4,MATCH('＠MFP (LSI name)'!R83,'＠グループ、表示名'!$D$4:$D$250,0)-1,0)))</f>
        <v/>
      </c>
      <c r="S83" s="69" t="str">
        <f ca="1">IF('＠MFP (LSI name)'!S83="","",IF(COUNTIF('＠MFP (LSI name)'!S83,"Serial*")+COUNTIF('＠MFP (LSI name)'!S83,"Analog*")&gt;0,'＠MFP (LSI name)'!S83,OFFSET('＠グループ、表示名'!$H$4,MATCH('＠MFP (LSI name)'!S83,'＠グループ、表示名'!$D$4:$D$250,0)-1,0)))</f>
        <v/>
      </c>
      <c r="T83" s="69" t="str">
        <f ca="1">IF('＠MFP (LSI name)'!T83="","",IF(COUNTIF('＠MFP (LSI name)'!T83,"Serial*")+COUNTIF('＠MFP (LSI name)'!T83,"Analog*")&gt;0,'＠MFP (LSI name)'!T83,OFFSET('＠グループ、表示名'!$H$4,MATCH('＠MFP (LSI name)'!T83,'＠グループ、表示名'!$D$4:$D$250,0)-1,0)))</f>
        <v/>
      </c>
      <c r="U83" s="69" t="str">
        <f ca="1">IF('＠MFP (LSI name)'!U83="","",IF(COUNTIF('＠MFP (LSI name)'!U83,"Serial*")+COUNTIF('＠MFP (LSI name)'!U83,"Analog*")&gt;0,'＠MFP (LSI name)'!U83,OFFSET('＠グループ、表示名'!$H$4,MATCH('＠MFP (LSI name)'!U83,'＠グループ、表示名'!$D$4:$D$250,0)-1,0)))</f>
        <v/>
      </c>
      <c r="V83" s="18" t="str">
        <f ca="1">IF('＠MFP (LSI name)'!V83="","",IF(COUNTIF('＠MFP (LSI name)'!V83,"Serial*")+COUNTIF('＠MFP (LSI name)'!V83,"Analog*")&gt;0,'＠MFP (LSI name)'!V83,OFFSET('＠グループ、表示名'!$H$4,MATCH('＠MFP (LSI name)'!V83,'＠グループ、表示名'!$D$4:$D$250,0)-1,0)))</f>
        <v/>
      </c>
      <c r="W83" s="18" t="str">
        <f ca="1">IF('＠MFP (LSI name)'!W83="","",IF(COUNTIF('＠MFP (LSI name)'!W83,"Serial*")+COUNTIF('＠MFP (LSI name)'!W83,"Analog*")&gt;0,'＠MFP (LSI name)'!W83,OFFSET('＠グループ、表示名'!$H$4,MATCH('＠MFP (LSI name)'!W83,'＠グループ、表示名'!$D$4:$D$250,0)-1,0)))</f>
        <v/>
      </c>
      <c r="X83" s="18" t="str">
        <f ca="1">IF('＠MFP (LSI name)'!X83="","",IF(COUNTIF('＠MFP (LSI name)'!X83,"Serial*")+COUNTIF('＠MFP (LSI name)'!X83,"Analog*")&gt;0,'＠MFP (LSI name)'!X83,OFFSET('＠グループ、表示名'!$H$4,MATCH('＠MFP (LSI name)'!X83,'＠グループ、表示名'!$D$4:$D$250,0)-1,0)))</f>
        <v/>
      </c>
      <c r="Y83" s="18" t="str">
        <f ca="1">IF('＠MFP (LSI name)'!Y83="","",IF(COUNTIF('＠MFP (LSI name)'!Y83,"Serial*")+COUNTIF('＠MFP (LSI name)'!Y83,"Analog*")&gt;0,'＠MFP (LSI name)'!Y83,OFFSET('＠グループ、表示名'!$H$4,MATCH('＠MFP (LSI name)'!Y83,'＠グループ、表示名'!$D$4:$D$250,0)-1,0)))</f>
        <v/>
      </c>
      <c r="Z83" s="18" t="str">
        <f ca="1">IF('＠MFP (LSI name)'!Z83="","",IF(COUNTIF('＠MFP (LSI name)'!Z83,"Serial*")+COUNTIF('＠MFP (LSI name)'!Z83,"Analog*")&gt;0,'＠MFP (LSI name)'!Z83,OFFSET('＠グループ、表示名'!$H$4,MATCH('＠MFP (LSI name)'!Z83,'＠グループ、表示名'!$D$4:$D$250,0)-1,0)))</f>
        <v/>
      </c>
      <c r="AA83" s="69" t="str">
        <f ca="1">IF('＠MFP (LSI name)'!AA83="","",IF(COUNTIF('＠MFP (LSI name)'!AA83,"Serial*")+COUNTIF('＠MFP (LSI name)'!AA83,"Analog*")&gt;0,'＠MFP (LSI name)'!AA83,OFFSET('＠グループ、表示名'!$H$4,MATCH('＠MFP (LSI name)'!AA83,'＠グループ、表示名'!$D$4:$D$250,0)-1,0)))</f>
        <v/>
      </c>
      <c r="AB83" s="18" t="str">
        <f ca="1">IF('＠MFP (LSI name)'!AB83="","",IF(COUNTIF('＠MFP (LSI name)'!AB83,"Serial*")+COUNTIF('＠MFP (LSI name)'!AB83,"Analog*")&gt;0,'＠MFP (LSI name)'!AB83,OFFSET('＠グループ、表示名'!$H$4,MATCH('＠MFP (LSI name)'!AB83,'＠グループ、表示名'!$D$4:$D$250,0)-1,0)))</f>
        <v>Analog202</v>
      </c>
      <c r="AC83" s="18" t="str">
        <f ca="1">IF('＠MFP (LSI name)'!AC83="","",IF(COUNTIF('＠MFP (LSI name)'!AC83,"Serial*")+COUNTIF('＠MFP (LSI name)'!AC83,"Analog*")&gt;0,'＠MFP (LSI name)'!AC83,OFFSET('＠グループ、表示名'!$H$4,MATCH('＠MFP (LSI name)'!AC83,'＠グループ、表示名'!$D$4:$D$250,0)-1,0)))</f>
        <v>ADIN16</v>
      </c>
      <c r="AD83" s="18" t="str">
        <f ca="1">IF('＠MFP (LSI name)'!AD83="","",IF(COUNTIF('＠MFP (LSI name)'!AD83,"Serial*")+COUNTIF('＠MFP (LSI name)'!AD83,"Analog*")&gt;0,'＠MFP (LSI name)'!AD83,OFFSET('＠グループ、表示名'!$H$4,MATCH('＠MFP (LSI name)'!AD83,'＠グループ、表示名'!$D$4:$D$250,0)-1,0)))</f>
        <v/>
      </c>
      <c r="AE83" s="18" t="str">
        <f ca="1">IF('＠MFP (LSI name)'!AE83="","",IF(COUNTIF('＠MFP (LSI name)'!AE83,"Serial*")+COUNTIF('＠MFP (LSI name)'!AE83,"Analog*")&gt;0,'＠MFP (LSI name)'!AE83,OFFSET('＠グループ、表示名'!$H$4,MATCH('＠MFP (LSI name)'!AE83,'＠グループ、表示名'!$D$4:$D$250,0)-1,0)))</f>
        <v/>
      </c>
      <c r="AF83" s="69" t="str">
        <f ca="1">IF('＠MFP (LSI name)'!AF83="","",IF(COUNTIF('＠MFP (LSI name)'!AF83,"Serial*")+COUNTIF('＠MFP (LSI name)'!AF83,"Analog*")&gt;0,'＠MFP (LSI name)'!AF83,OFFSET('＠グループ、表示名'!$H$4,MATCH('＠MFP (LSI name)'!AF83,'＠グループ、表示名'!$D$4:$D$250,0)-1,0)))</f>
        <v/>
      </c>
      <c r="AG83" s="18" t="str">
        <f ca="1">IF('＠MFP (LSI name)'!AG83="","",IF(COUNTIF('＠MFP (LSI name)'!AG83,"Serial*")+COUNTIF('＠MFP (LSI name)'!AG83,"Analog*")&gt;0,'＠MFP (LSI name)'!AG83,OFFSET('＠グループ、表示名'!$H$4,MATCH('＠MFP (LSI name)'!AG83,'＠グループ、表示名'!$D$4:$D$250,0)-1,0)))</f>
        <v/>
      </c>
      <c r="AH83" s="18" t="str">
        <f ca="1">IF('＠MFP (LSI name)'!AH83="","",IF(COUNTIF('＠MFP (LSI name)'!AH83,"Serial*")+COUNTIF('＠MFP (LSI name)'!AH83,"Analog*")&gt;0,'＠MFP (LSI name)'!AH83,OFFSET('＠グループ、表示名'!$H$4,MATCH('＠MFP (LSI name)'!AH83,'＠グループ、表示名'!$D$4:$D$250,0)-1,0)))</f>
        <v/>
      </c>
      <c r="AI83" s="18" t="str">
        <f ca="1">IF('＠MFP (LSI name)'!AI83="","",IF(COUNTIF('＠MFP (LSI name)'!AI83,"Serial*")+COUNTIF('＠MFP (LSI name)'!AI83,"Analog*")&gt;0,'＠MFP (LSI name)'!AI83,OFFSET('＠グループ、表示名'!$H$4,MATCH('＠MFP (LSI name)'!AI83,'＠グループ、表示名'!$D$4:$D$250,0)-1,0)))</f>
        <v/>
      </c>
      <c r="AJ83" s="18" t="str">
        <f ca="1">IF('＠MFP (LSI name)'!AJ83="","",IF(COUNTIF('＠MFP (LSI name)'!AJ83,"Serial*")+COUNTIF('＠MFP (LSI name)'!AJ83,"Analog*")&gt;0,'＠MFP (LSI name)'!AJ83,OFFSET('＠グループ、表示名'!$H$4,MATCH('＠MFP (LSI name)'!AJ83,'＠グループ、表示名'!$D$4:$D$250,0)-1,0)))</f>
        <v/>
      </c>
      <c r="AK83" s="69" t="str">
        <f ca="1">IF('＠MFP (LSI name)'!AK83="","",IF(COUNTIF('＠MFP (LSI name)'!AK83,"Serial*")+COUNTIF('＠MFP (LSI name)'!AK83,"Analog*")&gt;0,'＠MFP (LSI name)'!AK83,OFFSET('＠グループ、表示名'!$H$4,MATCH('＠MFP (LSI name)'!AK83,'＠グループ、表示名'!$D$4:$D$250,0)-1,0)))</f>
        <v/>
      </c>
      <c r="AL83" s="9" t="str">
        <f t="shared" si="8"/>
        <v>IOP6MD[11]</v>
      </c>
      <c r="AM83" s="9" t="str">
        <f t="shared" si="9"/>
        <v>IOP6MD[10]</v>
      </c>
      <c r="AN83" s="9" t="str">
        <f t="shared" si="10"/>
        <v>IOP6MD[9]</v>
      </c>
      <c r="AO83" s="9" t="str">
        <f t="shared" si="11"/>
        <v>IOP6MD[8]</v>
      </c>
      <c r="AP83" s="86"/>
    </row>
    <row r="84" spans="1:42" ht="16.149999999999999">
      <c r="A84" s="61">
        <v>76</v>
      </c>
      <c r="B84" s="7">
        <v>76</v>
      </c>
      <c r="C84" s="7"/>
      <c r="D84" s="87"/>
      <c r="E84" s="87"/>
      <c r="F84" s="7">
        <v>76</v>
      </c>
      <c r="G84" s="7"/>
      <c r="H84" s="87"/>
      <c r="I84" s="45" t="s">
        <v>562</v>
      </c>
      <c r="J84" s="45" t="s">
        <v>563</v>
      </c>
      <c r="K84" s="69" t="str">
        <f ca="1">IF('＠MFP (LSI name)'!K84="","",IF(COUNTIF('＠MFP (LSI name)'!K84,"Serial*")+COUNTIF('＠MFP (LSI name)'!K84,"Analog*")&gt;0,'＠MFP (LSI name)'!K84,OFFSET('＠グループ、表示名'!$H$4,MATCH('＠MFP (LSI name)'!K84,'＠グループ、表示名'!$D$4:$D$250,0)-1,0)))</f>
        <v>IRQ05</v>
      </c>
      <c r="L84" s="69" t="str">
        <f ca="1">IF('＠MFP (LSI name)'!L84="","",IF(COUNTIF('＠MFP (LSI name)'!L84,"Serial*")+COUNTIF('＠MFP (LSI name)'!L84,"Analog*")&gt;0,'＠MFP (LSI name)'!L84,OFFSET('＠グループ、表示名'!$H$4,MATCH('＠MFP (LSI name)'!L84,'＠グループ、表示名'!$D$4:$D$250,0)-1,0)))</f>
        <v>Analog203</v>
      </c>
      <c r="M84" s="69" t="str">
        <f ca="1">IF('＠MFP (LSI name)'!M84="","",IF(COUNTIF('＠MFP (LSI name)'!M84,"Serial*")+COUNTIF('＠MFP (LSI name)'!M84,"Analog*")&gt;0,'＠MFP (LSI name)'!M84,OFFSET('＠グループ、表示名'!$H$4,MATCH('＠MFP (LSI name)'!M84,'＠グループ、表示名'!$D$4:$D$250,0)-1,0)))</f>
        <v/>
      </c>
      <c r="N84" s="69" t="str">
        <f ca="1">IF('＠MFP (LSI name)'!N84="","",IF(COUNTIF('＠MFP (LSI name)'!N84,"Serial*")+COUNTIF('＠MFP (LSI name)'!N84,"Analog*")&gt;0,'＠MFP (LSI name)'!N84,OFFSET('＠グループ、表示名'!$H$4,MATCH('＠MFP (LSI name)'!N84,'＠グループ、表示名'!$D$4:$D$250,0)-1,0)))</f>
        <v/>
      </c>
      <c r="O84" s="69" t="str">
        <f ca="1">IF('＠MFP (LSI name)'!O84="","",IF(COUNTIF('＠MFP (LSI name)'!O84,"Serial*")+COUNTIF('＠MFP (LSI name)'!O84,"Analog*")&gt;0,'＠MFP (LSI name)'!O84,OFFSET('＠グループ、表示名'!$H$4,MATCH('＠MFP (LSI name)'!O84,'＠グループ、表示名'!$D$4:$D$250,0)-1,0)))</f>
        <v/>
      </c>
      <c r="P84" s="69" t="str">
        <f ca="1">IF('＠MFP (LSI name)'!P84="","",IF(COUNTIF('＠MFP (LSI name)'!P84,"Serial*")+COUNTIF('＠MFP (LSI name)'!P84,"Analog*")&gt;0,'＠MFP (LSI name)'!P84,OFFSET('＠グループ、表示名'!$H$4,MATCH('＠MFP (LSI name)'!P84,'＠グループ、表示名'!$D$4:$D$250,0)-1,0)))</f>
        <v/>
      </c>
      <c r="Q84" s="69" t="str">
        <f ca="1">IF('＠MFP (LSI name)'!Q84="","",IF(COUNTIF('＠MFP (LSI name)'!Q84,"Serial*")+COUNTIF('＠MFP (LSI name)'!Q84,"Analog*")&gt;0,'＠MFP (LSI name)'!Q84,OFFSET('＠グループ、表示名'!$H$4,MATCH('＠MFP (LSI name)'!Q84,'＠グループ、表示名'!$D$4:$D$250,0)-1,0)))</f>
        <v/>
      </c>
      <c r="R84" s="69" t="str">
        <f ca="1">IF('＠MFP (LSI name)'!R84="","",IF(COUNTIF('＠MFP (LSI name)'!R84,"Serial*")+COUNTIF('＠MFP (LSI name)'!R84,"Analog*")&gt;0,'＠MFP (LSI name)'!R84,OFFSET('＠グループ、表示名'!$H$4,MATCH('＠MFP (LSI name)'!R84,'＠グループ、表示名'!$D$4:$D$250,0)-1,0)))</f>
        <v/>
      </c>
      <c r="S84" s="69" t="str">
        <f ca="1">IF('＠MFP (LSI name)'!S84="","",IF(COUNTIF('＠MFP (LSI name)'!S84,"Serial*")+COUNTIF('＠MFP (LSI name)'!S84,"Analog*")&gt;0,'＠MFP (LSI name)'!S84,OFFSET('＠グループ、表示名'!$H$4,MATCH('＠MFP (LSI name)'!S84,'＠グループ、表示名'!$D$4:$D$250,0)-1,0)))</f>
        <v/>
      </c>
      <c r="T84" s="69" t="str">
        <f ca="1">IF('＠MFP (LSI name)'!T84="","",IF(COUNTIF('＠MFP (LSI name)'!T84,"Serial*")+COUNTIF('＠MFP (LSI name)'!T84,"Analog*")&gt;0,'＠MFP (LSI name)'!T84,OFFSET('＠グループ、表示名'!$H$4,MATCH('＠MFP (LSI name)'!T84,'＠グループ、表示名'!$D$4:$D$250,0)-1,0)))</f>
        <v/>
      </c>
      <c r="U84" s="69" t="str">
        <f ca="1">IF('＠MFP (LSI name)'!U84="","",IF(COUNTIF('＠MFP (LSI name)'!U84,"Serial*")+COUNTIF('＠MFP (LSI name)'!U84,"Analog*")&gt;0,'＠MFP (LSI name)'!U84,OFFSET('＠グループ、表示名'!$H$4,MATCH('＠MFP (LSI name)'!U84,'＠グループ、表示名'!$D$4:$D$250,0)-1,0)))</f>
        <v/>
      </c>
      <c r="V84" s="69" t="str">
        <f ca="1">IF('＠MFP (LSI name)'!V84="","",IF(COUNTIF('＠MFP (LSI name)'!V84,"Serial*")+COUNTIF('＠MFP (LSI name)'!V84,"Analog*")&gt;0,'＠MFP (LSI name)'!V84,OFFSET('＠グループ、表示名'!$H$4,MATCH('＠MFP (LSI name)'!V84,'＠グループ、表示名'!$D$4:$D$250,0)-1,0)))</f>
        <v/>
      </c>
      <c r="W84" s="69" t="str">
        <f ca="1">IF('＠MFP (LSI name)'!W84="","",IF(COUNTIF('＠MFP (LSI name)'!W84,"Serial*")+COUNTIF('＠MFP (LSI name)'!W84,"Analog*")&gt;0,'＠MFP (LSI name)'!W84,OFFSET('＠グループ、表示名'!$H$4,MATCH('＠MFP (LSI name)'!W84,'＠グループ、表示名'!$D$4:$D$250,0)-1,0)))</f>
        <v/>
      </c>
      <c r="X84" s="69" t="str">
        <f ca="1">IF('＠MFP (LSI name)'!X84="","",IF(COUNTIF('＠MFP (LSI name)'!X84,"Serial*")+COUNTIF('＠MFP (LSI name)'!X84,"Analog*")&gt;0,'＠MFP (LSI name)'!X84,OFFSET('＠グループ、表示名'!$H$4,MATCH('＠MFP (LSI name)'!X84,'＠グループ、表示名'!$D$4:$D$250,0)-1,0)))</f>
        <v/>
      </c>
      <c r="Y84" s="18" t="str">
        <f ca="1">IF('＠MFP (LSI name)'!Y84="","",IF(COUNTIF('＠MFP (LSI name)'!Y84,"Serial*")+COUNTIF('＠MFP (LSI name)'!Y84,"Analog*")&gt;0,'＠MFP (LSI name)'!Y84,OFFSET('＠グループ、表示名'!$H$4,MATCH('＠MFP (LSI name)'!Y84,'＠グループ、表示名'!$D$4:$D$250,0)-1,0)))</f>
        <v/>
      </c>
      <c r="Z84" s="18" t="str">
        <f ca="1">IF('＠MFP (LSI name)'!Z84="","",IF(COUNTIF('＠MFP (LSI name)'!Z84,"Serial*")+COUNTIF('＠MFP (LSI name)'!Z84,"Analog*")&gt;0,'＠MFP (LSI name)'!Z84,OFFSET('＠グループ、表示名'!$H$4,MATCH('＠MFP (LSI name)'!Z84,'＠グループ、表示名'!$D$4:$D$250,0)-1,0)))</f>
        <v/>
      </c>
      <c r="AA84" s="69" t="str">
        <f ca="1">IF('＠MFP (LSI name)'!AA84="","",IF(COUNTIF('＠MFP (LSI name)'!AA84,"Serial*")+COUNTIF('＠MFP (LSI name)'!AA84,"Analog*")&gt;0,'＠MFP (LSI name)'!AA84,OFFSET('＠グループ、表示名'!$H$4,MATCH('＠MFP (LSI name)'!AA84,'＠グループ、表示名'!$D$4:$D$250,0)-1,0)))</f>
        <v/>
      </c>
      <c r="AB84" s="69" t="str">
        <f ca="1">IF('＠MFP (LSI name)'!AB84="","",IF(COUNTIF('＠MFP (LSI name)'!AB84,"Serial*")+COUNTIF('＠MFP (LSI name)'!AB84,"Analog*")&gt;0,'＠MFP (LSI name)'!AB84,OFFSET('＠グループ、表示名'!$H$4,MATCH('＠MFP (LSI name)'!AB84,'＠グループ、表示名'!$D$4:$D$250,0)-1,0)))</f>
        <v>Analog203</v>
      </c>
      <c r="AC84" s="69" t="str">
        <f ca="1">IF('＠MFP (LSI name)'!AC84="","",IF(COUNTIF('＠MFP (LSI name)'!AC84,"Serial*")+COUNTIF('＠MFP (LSI name)'!AC84,"Analog*")&gt;0,'＠MFP (LSI name)'!AC84,OFFSET('＠グループ、表示名'!$H$4,MATCH('＠MFP (LSI name)'!AC84,'＠グループ、表示名'!$D$4:$D$250,0)-1,0)))</f>
        <v>ADIN15</v>
      </c>
      <c r="AD84" s="69" t="str">
        <f ca="1">IF('＠MFP (LSI name)'!AD84="","",IF(COUNTIF('＠MFP (LSI name)'!AD84,"Serial*")+COUNTIF('＠MFP (LSI name)'!AD84,"Analog*")&gt;0,'＠MFP (LSI name)'!AD84,OFFSET('＠グループ、表示名'!$H$4,MATCH('＠MFP (LSI name)'!AD84,'＠グループ、表示名'!$D$4:$D$250,0)-1,0)))</f>
        <v/>
      </c>
      <c r="AE84" s="18" t="str">
        <f ca="1">IF('＠MFP (LSI name)'!AE84="","",IF(COUNTIF('＠MFP (LSI name)'!AE84,"Serial*")+COUNTIF('＠MFP (LSI name)'!AE84,"Analog*")&gt;0,'＠MFP (LSI name)'!AE84,OFFSET('＠グループ、表示名'!$H$4,MATCH('＠MFP (LSI name)'!AE84,'＠グループ、表示名'!$D$4:$D$250,0)-1,0)))</f>
        <v/>
      </c>
      <c r="AF84" s="69" t="str">
        <f ca="1">IF('＠MFP (LSI name)'!AF84="","",IF(COUNTIF('＠MFP (LSI name)'!AF84,"Serial*")+COUNTIF('＠MFP (LSI name)'!AF84,"Analog*")&gt;0,'＠MFP (LSI name)'!AF84,OFFSET('＠グループ、表示名'!$H$4,MATCH('＠MFP (LSI name)'!AF84,'＠グループ、表示名'!$D$4:$D$250,0)-1,0)))</f>
        <v/>
      </c>
      <c r="AG84" s="69" t="str">
        <f ca="1">IF('＠MFP (LSI name)'!AG84="","",IF(COUNTIF('＠MFP (LSI name)'!AG84,"Serial*")+COUNTIF('＠MFP (LSI name)'!AG84,"Analog*")&gt;0,'＠MFP (LSI name)'!AG84,OFFSET('＠グループ、表示名'!$H$4,MATCH('＠MFP (LSI name)'!AG84,'＠グループ、表示名'!$D$4:$D$250,0)-1,0)))</f>
        <v/>
      </c>
      <c r="AH84" s="69" t="str">
        <f ca="1">IF('＠MFP (LSI name)'!AH84="","",IF(COUNTIF('＠MFP (LSI name)'!AH84,"Serial*")+COUNTIF('＠MFP (LSI name)'!AH84,"Analog*")&gt;0,'＠MFP (LSI name)'!AH84,OFFSET('＠グループ、表示名'!$H$4,MATCH('＠MFP (LSI name)'!AH84,'＠グループ、表示名'!$D$4:$D$250,0)-1,0)))</f>
        <v/>
      </c>
      <c r="AI84" s="69" t="str">
        <f ca="1">IF('＠MFP (LSI name)'!AI84="","",IF(COUNTIF('＠MFP (LSI name)'!AI84,"Serial*")+COUNTIF('＠MFP (LSI name)'!AI84,"Analog*")&gt;0,'＠MFP (LSI name)'!AI84,OFFSET('＠グループ、表示名'!$H$4,MATCH('＠MFP (LSI name)'!AI84,'＠グループ、表示名'!$D$4:$D$250,0)-1,0)))</f>
        <v/>
      </c>
      <c r="AJ84" s="18" t="str">
        <f ca="1">IF('＠MFP (LSI name)'!AJ84="","",IF(COUNTIF('＠MFP (LSI name)'!AJ84,"Serial*")+COUNTIF('＠MFP (LSI name)'!AJ84,"Analog*")&gt;0,'＠MFP (LSI name)'!AJ84,OFFSET('＠グループ、表示名'!$H$4,MATCH('＠MFP (LSI name)'!AJ84,'＠グループ、表示名'!$D$4:$D$250,0)-1,0)))</f>
        <v/>
      </c>
      <c r="AK84" s="69" t="str">
        <f ca="1">IF('＠MFP (LSI name)'!AK84="","",IF(COUNTIF('＠MFP (LSI name)'!AK84,"Serial*")+COUNTIF('＠MFP (LSI name)'!AK84,"Analog*")&gt;0,'＠MFP (LSI name)'!AK84,OFFSET('＠グループ、表示名'!$H$4,MATCH('＠MFP (LSI name)'!AK84,'＠グループ、表示名'!$D$4:$D$250,0)-1,0)))</f>
        <v/>
      </c>
      <c r="AL84" s="9" t="str">
        <f t="shared" si="8"/>
        <v>IOP6MD[7]</v>
      </c>
      <c r="AM84" s="9" t="str">
        <f t="shared" si="9"/>
        <v>IOP6MD[6]</v>
      </c>
      <c r="AN84" s="9" t="str">
        <f t="shared" si="10"/>
        <v>IOP6MD[5]</v>
      </c>
      <c r="AO84" s="9" t="str">
        <f t="shared" si="11"/>
        <v>IOP6MD[4]</v>
      </c>
      <c r="AP84" s="86"/>
    </row>
    <row r="85" spans="1:42" ht="16.149999999999999">
      <c r="A85" s="61">
        <v>77</v>
      </c>
      <c r="B85" s="7">
        <v>77</v>
      </c>
      <c r="C85" s="7"/>
      <c r="D85" s="87"/>
      <c r="E85" s="87"/>
      <c r="F85" s="7">
        <v>77</v>
      </c>
      <c r="G85" s="7"/>
      <c r="H85" s="87"/>
      <c r="I85" s="45" t="s">
        <v>564</v>
      </c>
      <c r="J85" s="45" t="s">
        <v>565</v>
      </c>
      <c r="K85" s="69" t="str">
        <f ca="1">IF('＠MFP (LSI name)'!K85="","",IF(COUNTIF('＠MFP (LSI name)'!K85,"Serial*")+COUNTIF('＠MFP (LSI name)'!K85,"Analog*")&gt;0,'＠MFP (LSI name)'!K85,OFFSET('＠グループ、表示名'!$H$4,MATCH('＠MFP (LSI name)'!K85,'＠グループ、表示名'!$D$4:$D$250,0)-1,0)))</f>
        <v>IRQ04</v>
      </c>
      <c r="L85" s="69" t="str">
        <f ca="1">IF('＠MFP (LSI name)'!L85="","",IF(COUNTIF('＠MFP (LSI name)'!L85,"Serial*")+COUNTIF('＠MFP (LSI name)'!L85,"Analog*")&gt;0,'＠MFP (LSI name)'!L85,OFFSET('＠グループ、表示名'!$H$4,MATCH('＠MFP (LSI name)'!L85,'＠グループ、表示名'!$D$4:$D$250,0)-1,0)))</f>
        <v>Analog204</v>
      </c>
      <c r="M85" s="69" t="str">
        <f ca="1">IF('＠MFP (LSI name)'!M85="","",IF(COUNTIF('＠MFP (LSI name)'!M85,"Serial*")+COUNTIF('＠MFP (LSI name)'!M85,"Analog*")&gt;0,'＠MFP (LSI name)'!M85,OFFSET('＠グループ、表示名'!$H$4,MATCH('＠MFP (LSI name)'!M85,'＠グループ、表示名'!$D$4:$D$250,0)-1,0)))</f>
        <v/>
      </c>
      <c r="N85" s="69" t="str">
        <f ca="1">IF('＠MFP (LSI name)'!N85="","",IF(COUNTIF('＠MFP (LSI name)'!N85,"Serial*")+COUNTIF('＠MFP (LSI name)'!N85,"Analog*")&gt;0,'＠MFP (LSI name)'!N85,OFFSET('＠グループ、表示名'!$H$4,MATCH('＠MFP (LSI name)'!N85,'＠グループ、表示名'!$D$4:$D$250,0)-1,0)))</f>
        <v/>
      </c>
      <c r="O85" s="69" t="str">
        <f ca="1">IF('＠MFP (LSI name)'!O85="","",IF(COUNTIF('＠MFP (LSI name)'!O85,"Serial*")+COUNTIF('＠MFP (LSI name)'!O85,"Analog*")&gt;0,'＠MFP (LSI name)'!O85,OFFSET('＠グループ、表示名'!$H$4,MATCH('＠MFP (LSI name)'!O85,'＠グループ、表示名'!$D$4:$D$250,0)-1,0)))</f>
        <v/>
      </c>
      <c r="P85" s="69" t="str">
        <f ca="1">IF('＠MFP (LSI name)'!P85="","",IF(COUNTIF('＠MFP (LSI name)'!P85,"Serial*")+COUNTIF('＠MFP (LSI name)'!P85,"Analog*")&gt;0,'＠MFP (LSI name)'!P85,OFFSET('＠グループ、表示名'!$H$4,MATCH('＠MFP (LSI name)'!P85,'＠グループ、表示名'!$D$4:$D$250,0)-1,0)))</f>
        <v/>
      </c>
      <c r="Q85" s="69" t="str">
        <f ca="1">IF('＠MFP (LSI name)'!Q85="","",IF(COUNTIF('＠MFP (LSI name)'!Q85,"Serial*")+COUNTIF('＠MFP (LSI name)'!Q85,"Analog*")&gt;0,'＠MFP (LSI name)'!Q85,OFFSET('＠グループ、表示名'!$H$4,MATCH('＠MFP (LSI name)'!Q85,'＠グループ、表示名'!$D$4:$D$250,0)-1,0)))</f>
        <v/>
      </c>
      <c r="R85" s="69" t="str">
        <f ca="1">IF('＠MFP (LSI name)'!R85="","",IF(COUNTIF('＠MFP (LSI name)'!R85,"Serial*")+COUNTIF('＠MFP (LSI name)'!R85,"Analog*")&gt;0,'＠MFP (LSI name)'!R85,OFFSET('＠グループ、表示名'!$H$4,MATCH('＠MFP (LSI name)'!R85,'＠グループ、表示名'!$D$4:$D$250,0)-1,0)))</f>
        <v/>
      </c>
      <c r="S85" s="69" t="str">
        <f ca="1">IF('＠MFP (LSI name)'!S85="","",IF(COUNTIF('＠MFP (LSI name)'!S85,"Serial*")+COUNTIF('＠MFP (LSI name)'!S85,"Analog*")&gt;0,'＠MFP (LSI name)'!S85,OFFSET('＠グループ、表示名'!$H$4,MATCH('＠MFP (LSI name)'!S85,'＠グループ、表示名'!$D$4:$D$250,0)-1,0)))</f>
        <v/>
      </c>
      <c r="T85" s="69" t="str">
        <f ca="1">IF('＠MFP (LSI name)'!T85="","",IF(COUNTIF('＠MFP (LSI name)'!T85,"Serial*")+COUNTIF('＠MFP (LSI name)'!T85,"Analog*")&gt;0,'＠MFP (LSI name)'!T85,OFFSET('＠グループ、表示名'!$H$4,MATCH('＠MFP (LSI name)'!T85,'＠グループ、表示名'!$D$4:$D$250,0)-1,0)))</f>
        <v/>
      </c>
      <c r="U85" s="69" t="str">
        <f ca="1">IF('＠MFP (LSI name)'!U85="","",IF(COUNTIF('＠MFP (LSI name)'!U85,"Serial*")+COUNTIF('＠MFP (LSI name)'!U85,"Analog*")&gt;0,'＠MFP (LSI name)'!U85,OFFSET('＠グループ、表示名'!$H$4,MATCH('＠MFP (LSI name)'!U85,'＠グループ、表示名'!$D$4:$D$250,0)-1,0)))</f>
        <v/>
      </c>
      <c r="V85" s="69" t="str">
        <f ca="1">IF('＠MFP (LSI name)'!V85="","",IF(COUNTIF('＠MFP (LSI name)'!V85,"Serial*")+COUNTIF('＠MFP (LSI name)'!V85,"Analog*")&gt;0,'＠MFP (LSI name)'!V85,OFFSET('＠グループ、表示名'!$H$4,MATCH('＠MFP (LSI name)'!V85,'＠グループ、表示名'!$D$4:$D$250,0)-1,0)))</f>
        <v/>
      </c>
      <c r="W85" s="69" t="str">
        <f ca="1">IF('＠MFP (LSI name)'!W85="","",IF(COUNTIF('＠MFP (LSI name)'!W85,"Serial*")+COUNTIF('＠MFP (LSI name)'!W85,"Analog*")&gt;0,'＠MFP (LSI name)'!W85,OFFSET('＠グループ、表示名'!$H$4,MATCH('＠MFP (LSI name)'!W85,'＠グループ、表示名'!$D$4:$D$250,0)-1,0)))</f>
        <v/>
      </c>
      <c r="X85" s="69" t="str">
        <f ca="1">IF('＠MFP (LSI name)'!X85="","",IF(COUNTIF('＠MFP (LSI name)'!X85,"Serial*")+COUNTIF('＠MFP (LSI name)'!X85,"Analog*")&gt;0,'＠MFP (LSI name)'!X85,OFFSET('＠グループ、表示名'!$H$4,MATCH('＠MFP (LSI name)'!X85,'＠グループ、表示名'!$D$4:$D$250,0)-1,0)))</f>
        <v/>
      </c>
      <c r="Y85" s="18" t="str">
        <f ca="1">IF('＠MFP (LSI name)'!Y85="","",IF(COUNTIF('＠MFP (LSI name)'!Y85,"Serial*")+COUNTIF('＠MFP (LSI name)'!Y85,"Analog*")&gt;0,'＠MFP (LSI name)'!Y85,OFFSET('＠グループ、表示名'!$H$4,MATCH('＠MFP (LSI name)'!Y85,'＠グループ、表示名'!$D$4:$D$250,0)-1,0)))</f>
        <v/>
      </c>
      <c r="Z85" s="18" t="str">
        <f ca="1">IF('＠MFP (LSI name)'!Z85="","",IF(COUNTIF('＠MFP (LSI name)'!Z85,"Serial*")+COUNTIF('＠MFP (LSI name)'!Z85,"Analog*")&gt;0,'＠MFP (LSI name)'!Z85,OFFSET('＠グループ、表示名'!$H$4,MATCH('＠MFP (LSI name)'!Z85,'＠グループ、表示名'!$D$4:$D$250,0)-1,0)))</f>
        <v/>
      </c>
      <c r="AA85" s="69" t="str">
        <f ca="1">IF('＠MFP (LSI name)'!AA85="","",IF(COUNTIF('＠MFP (LSI name)'!AA85,"Serial*")+COUNTIF('＠MFP (LSI name)'!AA85,"Analog*")&gt;0,'＠MFP (LSI name)'!AA85,OFFSET('＠グループ、表示名'!$H$4,MATCH('＠MFP (LSI name)'!AA85,'＠グループ、表示名'!$D$4:$D$250,0)-1,0)))</f>
        <v/>
      </c>
      <c r="AB85" s="69" t="str">
        <f ca="1">IF('＠MFP (LSI name)'!AB85="","",IF(COUNTIF('＠MFP (LSI name)'!AB85,"Serial*")+COUNTIF('＠MFP (LSI name)'!AB85,"Analog*")&gt;0,'＠MFP (LSI name)'!AB85,OFFSET('＠グループ、表示名'!$H$4,MATCH('＠MFP (LSI name)'!AB85,'＠グループ、表示名'!$D$4:$D$250,0)-1,0)))</f>
        <v>Analog204</v>
      </c>
      <c r="AC85" s="69" t="str">
        <f ca="1">IF('＠MFP (LSI name)'!AC85="","",IF(COUNTIF('＠MFP (LSI name)'!AC85,"Serial*")+COUNTIF('＠MFP (LSI name)'!AC85,"Analog*")&gt;0,'＠MFP (LSI name)'!AC85,OFFSET('＠グループ、表示名'!$H$4,MATCH('＠MFP (LSI name)'!AC85,'＠グループ、表示名'!$D$4:$D$250,0)-1,0)))</f>
        <v>ADIN14</v>
      </c>
      <c r="AD85" s="69" t="str">
        <f ca="1">IF('＠MFP (LSI name)'!AD85="","",IF(COUNTIF('＠MFP (LSI name)'!AD85,"Serial*")+COUNTIF('＠MFP (LSI name)'!AD85,"Analog*")&gt;0,'＠MFP (LSI name)'!AD85,OFFSET('＠グループ、表示名'!$H$4,MATCH('＠MFP (LSI name)'!AD85,'＠グループ、表示名'!$D$4:$D$250,0)-1,0)))</f>
        <v/>
      </c>
      <c r="AE85" s="18" t="str">
        <f ca="1">IF('＠MFP (LSI name)'!AE85="","",IF(COUNTIF('＠MFP (LSI name)'!AE85,"Serial*")+COUNTIF('＠MFP (LSI name)'!AE85,"Analog*")&gt;0,'＠MFP (LSI name)'!AE85,OFFSET('＠グループ、表示名'!$H$4,MATCH('＠MFP (LSI name)'!AE85,'＠グループ、表示名'!$D$4:$D$250,0)-1,0)))</f>
        <v/>
      </c>
      <c r="AF85" s="69" t="str">
        <f ca="1">IF('＠MFP (LSI name)'!AF85="","",IF(COUNTIF('＠MFP (LSI name)'!AF85,"Serial*")+COUNTIF('＠MFP (LSI name)'!AF85,"Analog*")&gt;0,'＠MFP (LSI name)'!AF85,OFFSET('＠グループ、表示名'!$H$4,MATCH('＠MFP (LSI name)'!AF85,'＠グループ、表示名'!$D$4:$D$250,0)-1,0)))</f>
        <v/>
      </c>
      <c r="AG85" s="69" t="str">
        <f ca="1">IF('＠MFP (LSI name)'!AG85="","",IF(COUNTIF('＠MFP (LSI name)'!AG85,"Serial*")+COUNTIF('＠MFP (LSI name)'!AG85,"Analog*")&gt;0,'＠MFP (LSI name)'!AG85,OFFSET('＠グループ、表示名'!$H$4,MATCH('＠MFP (LSI name)'!AG85,'＠グループ、表示名'!$D$4:$D$250,0)-1,0)))</f>
        <v/>
      </c>
      <c r="AH85" s="69" t="str">
        <f ca="1">IF('＠MFP (LSI name)'!AH85="","",IF(COUNTIF('＠MFP (LSI name)'!AH85,"Serial*")+COUNTIF('＠MFP (LSI name)'!AH85,"Analog*")&gt;0,'＠MFP (LSI name)'!AH85,OFFSET('＠グループ、表示名'!$H$4,MATCH('＠MFP (LSI name)'!AH85,'＠グループ、表示名'!$D$4:$D$250,0)-1,0)))</f>
        <v/>
      </c>
      <c r="AI85" s="69" t="str">
        <f ca="1">IF('＠MFP (LSI name)'!AI85="","",IF(COUNTIF('＠MFP (LSI name)'!AI85,"Serial*")+COUNTIF('＠MFP (LSI name)'!AI85,"Analog*")&gt;0,'＠MFP (LSI name)'!AI85,OFFSET('＠グループ、表示名'!$H$4,MATCH('＠MFP (LSI name)'!AI85,'＠グループ、表示名'!$D$4:$D$250,0)-1,0)))</f>
        <v/>
      </c>
      <c r="AJ85" s="18" t="str">
        <f ca="1">IF('＠MFP (LSI name)'!AJ85="","",IF(COUNTIF('＠MFP (LSI name)'!AJ85,"Serial*")+COUNTIF('＠MFP (LSI name)'!AJ85,"Analog*")&gt;0,'＠MFP (LSI name)'!AJ85,OFFSET('＠グループ、表示名'!$H$4,MATCH('＠MFP (LSI name)'!AJ85,'＠グループ、表示名'!$D$4:$D$250,0)-1,0)))</f>
        <v/>
      </c>
      <c r="AK85" s="69" t="str">
        <f ca="1">IF('＠MFP (LSI name)'!AK85="","",IF(COUNTIF('＠MFP (LSI name)'!AK85,"Serial*")+COUNTIF('＠MFP (LSI name)'!AK85,"Analog*")&gt;0,'＠MFP (LSI name)'!AK85,OFFSET('＠グループ、表示名'!$H$4,MATCH('＠MFP (LSI name)'!AK85,'＠グループ、表示名'!$D$4:$D$250,0)-1,0)))</f>
        <v/>
      </c>
      <c r="AL85" s="9" t="str">
        <f t="shared" si="8"/>
        <v>IOP6MD[3]</v>
      </c>
      <c r="AM85" s="9" t="str">
        <f t="shared" si="9"/>
        <v>IOP6MD[2]</v>
      </c>
      <c r="AN85" s="9" t="str">
        <f t="shared" si="10"/>
        <v>IOP6MD[1]</v>
      </c>
      <c r="AO85" s="9" t="str">
        <f t="shared" si="11"/>
        <v>IOP6MD[0]</v>
      </c>
      <c r="AP85" s="86"/>
    </row>
    <row r="86" spans="1:42" ht="16.149999999999999">
      <c r="A86" s="61">
        <v>78</v>
      </c>
      <c r="B86" s="7">
        <v>78</v>
      </c>
      <c r="C86" s="7">
        <v>61</v>
      </c>
      <c r="D86" s="87"/>
      <c r="E86" s="87"/>
      <c r="F86" s="7">
        <v>78</v>
      </c>
      <c r="G86" s="7">
        <v>61</v>
      </c>
      <c r="H86" s="87"/>
      <c r="I86" s="45" t="s">
        <v>566</v>
      </c>
      <c r="J86" s="45" t="s">
        <v>567</v>
      </c>
      <c r="K86" s="69" t="str">
        <f ca="1">IF('＠MFP (LSI name)'!K86="","",IF(COUNTIF('＠MFP (LSI name)'!K86,"Serial*")+COUNTIF('＠MFP (LSI name)'!K86,"Analog*")&gt;0,'＠MFP (LSI name)'!K86,OFFSET('＠グループ、表示名'!$H$4,MATCH('＠MFP (LSI name)'!K86,'＠グループ、表示名'!$D$4:$D$250,0)-1,0)))</f>
        <v>IRQ03</v>
      </c>
      <c r="L86" s="69" t="str">
        <f ca="1">IF('＠MFP (LSI name)'!L86="","",IF(COUNTIF('＠MFP (LSI name)'!L86,"Serial*")+COUNTIF('＠MFP (LSI name)'!L86,"Analog*")&gt;0,'＠MFP (LSI name)'!L86,OFFSET('＠グループ、表示名'!$H$4,MATCH('＠MFP (LSI name)'!L86,'＠グループ、表示名'!$D$4:$D$250,0)-1,0)))</f>
        <v>Analog205</v>
      </c>
      <c r="M86" s="69" t="str">
        <f ca="1">IF('＠MFP (LSI name)'!M86="","",IF(COUNTIF('＠MFP (LSI name)'!M86,"Serial*")+COUNTIF('＠MFP (LSI name)'!M86,"Analog*")&gt;0,'＠MFP (LSI name)'!M86,OFFSET('＠グループ、表示名'!$H$4,MATCH('＠MFP (LSI name)'!M86,'＠グループ、表示名'!$D$4:$D$250,0)-1,0)))</f>
        <v/>
      </c>
      <c r="N86" s="69" t="str">
        <f ca="1">IF('＠MFP (LSI name)'!N86="","",IF(COUNTIF('＠MFP (LSI name)'!N86,"Serial*")+COUNTIF('＠MFP (LSI name)'!N86,"Analog*")&gt;0,'＠MFP (LSI name)'!N86,OFFSET('＠グループ、表示名'!$H$4,MATCH('＠MFP (LSI name)'!N86,'＠グループ、表示名'!$D$4:$D$250,0)-1,0)))</f>
        <v/>
      </c>
      <c r="O86" s="69" t="str">
        <f ca="1">IF('＠MFP (LSI name)'!O86="","",IF(COUNTIF('＠MFP (LSI name)'!O86,"Serial*")+COUNTIF('＠MFP (LSI name)'!O86,"Analog*")&gt;0,'＠MFP (LSI name)'!O86,OFFSET('＠グループ、表示名'!$H$4,MATCH('＠MFP (LSI name)'!O86,'＠グループ、表示名'!$D$4:$D$250,0)-1,0)))</f>
        <v/>
      </c>
      <c r="P86" s="69" t="str">
        <f ca="1">IF('＠MFP (LSI name)'!P86="","",IF(COUNTIF('＠MFP (LSI name)'!P86,"Serial*")+COUNTIF('＠MFP (LSI name)'!P86,"Analog*")&gt;0,'＠MFP (LSI name)'!P86,OFFSET('＠グループ、表示名'!$H$4,MATCH('＠MFP (LSI name)'!P86,'＠グループ、表示名'!$D$4:$D$250,0)-1,0)))</f>
        <v/>
      </c>
      <c r="Q86" s="69" t="str">
        <f ca="1">IF('＠MFP (LSI name)'!Q86="","",IF(COUNTIF('＠MFP (LSI name)'!Q86,"Serial*")+COUNTIF('＠MFP (LSI name)'!Q86,"Analog*")&gt;0,'＠MFP (LSI name)'!Q86,OFFSET('＠グループ、表示名'!$H$4,MATCH('＠MFP (LSI name)'!Q86,'＠グループ、表示名'!$D$4:$D$250,0)-1,0)))</f>
        <v/>
      </c>
      <c r="R86" s="69" t="str">
        <f ca="1">IF('＠MFP (LSI name)'!R86="","",IF(COUNTIF('＠MFP (LSI name)'!R86,"Serial*")+COUNTIF('＠MFP (LSI name)'!R86,"Analog*")&gt;0,'＠MFP (LSI name)'!R86,OFFSET('＠グループ、表示名'!$H$4,MATCH('＠MFP (LSI name)'!R86,'＠グループ、表示名'!$D$4:$D$250,0)-1,0)))</f>
        <v/>
      </c>
      <c r="S86" s="69" t="str">
        <f ca="1">IF('＠MFP (LSI name)'!S86="","",IF(COUNTIF('＠MFP (LSI name)'!S86,"Serial*")+COUNTIF('＠MFP (LSI name)'!S86,"Analog*")&gt;0,'＠MFP (LSI name)'!S86,OFFSET('＠グループ、表示名'!$H$4,MATCH('＠MFP (LSI name)'!S86,'＠グループ、表示名'!$D$4:$D$250,0)-1,0)))</f>
        <v/>
      </c>
      <c r="T86" s="69" t="str">
        <f ca="1">IF('＠MFP (LSI name)'!T86="","",IF(COUNTIF('＠MFP (LSI name)'!T86,"Serial*")+COUNTIF('＠MFP (LSI name)'!T86,"Analog*")&gt;0,'＠MFP (LSI name)'!T86,OFFSET('＠グループ、表示名'!$H$4,MATCH('＠MFP (LSI name)'!T86,'＠グループ、表示名'!$D$4:$D$250,0)-1,0)))</f>
        <v/>
      </c>
      <c r="U86" s="69" t="str">
        <f ca="1">IF('＠MFP (LSI name)'!U86="","",IF(COUNTIF('＠MFP (LSI name)'!U86,"Serial*")+COUNTIF('＠MFP (LSI name)'!U86,"Analog*")&gt;0,'＠MFP (LSI name)'!U86,OFFSET('＠グループ、表示名'!$H$4,MATCH('＠MFP (LSI name)'!U86,'＠グループ、表示名'!$D$4:$D$250,0)-1,0)))</f>
        <v/>
      </c>
      <c r="V86" s="69" t="str">
        <f ca="1">IF('＠MFP (LSI name)'!V86="","",IF(COUNTIF('＠MFP (LSI name)'!V86,"Serial*")+COUNTIF('＠MFP (LSI name)'!V86,"Analog*")&gt;0,'＠MFP (LSI name)'!V86,OFFSET('＠グループ、表示名'!$H$4,MATCH('＠MFP (LSI name)'!V86,'＠グループ、表示名'!$D$4:$D$250,0)-1,0)))</f>
        <v/>
      </c>
      <c r="W86" s="69" t="str">
        <f ca="1">IF('＠MFP (LSI name)'!W86="","",IF(COUNTIF('＠MFP (LSI name)'!W86,"Serial*")+COUNTIF('＠MFP (LSI name)'!W86,"Analog*")&gt;0,'＠MFP (LSI name)'!W86,OFFSET('＠グループ、表示名'!$H$4,MATCH('＠MFP (LSI name)'!W86,'＠グループ、表示名'!$D$4:$D$250,0)-1,0)))</f>
        <v/>
      </c>
      <c r="X86" s="69" t="str">
        <f ca="1">IF('＠MFP (LSI name)'!X86="","",IF(COUNTIF('＠MFP (LSI name)'!X86,"Serial*")+COUNTIF('＠MFP (LSI name)'!X86,"Analog*")&gt;0,'＠MFP (LSI name)'!X86,OFFSET('＠グループ、表示名'!$H$4,MATCH('＠MFP (LSI name)'!X86,'＠グループ、表示名'!$D$4:$D$250,0)-1,0)))</f>
        <v/>
      </c>
      <c r="Y86" s="18" t="str">
        <f ca="1">IF('＠MFP (LSI name)'!Y86="","",IF(COUNTIF('＠MFP (LSI name)'!Y86,"Serial*")+COUNTIF('＠MFP (LSI name)'!Y86,"Analog*")&gt;0,'＠MFP (LSI name)'!Y86,OFFSET('＠グループ、表示名'!$H$4,MATCH('＠MFP (LSI name)'!Y86,'＠グループ、表示名'!$D$4:$D$250,0)-1,0)))</f>
        <v/>
      </c>
      <c r="Z86" s="18" t="str">
        <f ca="1">IF('＠MFP (LSI name)'!Z86="","",IF(COUNTIF('＠MFP (LSI name)'!Z86,"Serial*")+COUNTIF('＠MFP (LSI name)'!Z86,"Analog*")&gt;0,'＠MFP (LSI name)'!Z86,OFFSET('＠グループ、表示名'!$H$4,MATCH('＠MFP (LSI name)'!Z86,'＠グループ、表示名'!$D$4:$D$250,0)-1,0)))</f>
        <v/>
      </c>
      <c r="AA86" s="69" t="str">
        <f ca="1">IF('＠MFP (LSI name)'!AA86="","",IF(COUNTIF('＠MFP (LSI name)'!AA86,"Serial*")+COUNTIF('＠MFP (LSI name)'!AA86,"Analog*")&gt;0,'＠MFP (LSI name)'!AA86,OFFSET('＠グループ、表示名'!$H$4,MATCH('＠MFP (LSI name)'!AA86,'＠グループ、表示名'!$D$4:$D$250,0)-1,0)))</f>
        <v/>
      </c>
      <c r="AB86" s="69" t="str">
        <f ca="1">IF('＠MFP (LSI name)'!AB86="","",IF(COUNTIF('＠MFP (LSI name)'!AB86,"Serial*")+COUNTIF('＠MFP (LSI name)'!AB86,"Analog*")&gt;0,'＠MFP (LSI name)'!AB86,OFFSET('＠グループ、表示名'!$H$4,MATCH('＠MFP (LSI name)'!AB86,'＠グループ、表示名'!$D$4:$D$250,0)-1,0)))</f>
        <v>Analog205</v>
      </c>
      <c r="AC86" s="69" t="str">
        <f ca="1">IF('＠MFP (LSI name)'!AC86="","",IF(COUNTIF('＠MFP (LSI name)'!AC86,"Serial*")+COUNTIF('＠MFP (LSI name)'!AC86,"Analog*")&gt;0,'＠MFP (LSI name)'!AC86,OFFSET('＠グループ、表示名'!$H$4,MATCH('＠MFP (LSI name)'!AC86,'＠グループ、表示名'!$D$4:$D$250,0)-1,0)))</f>
        <v>ADIN13</v>
      </c>
      <c r="AD86" s="69" t="str">
        <f ca="1">IF('＠MFP (LSI name)'!AD86="","",IF(COUNTIF('＠MFP (LSI name)'!AD86,"Serial*")+COUNTIF('＠MFP (LSI name)'!AD86,"Analog*")&gt;0,'＠MFP (LSI name)'!AD86,OFFSET('＠グループ、表示名'!$H$4,MATCH('＠MFP (LSI name)'!AD86,'＠グループ、表示名'!$D$4:$D$250,0)-1,0)))</f>
        <v/>
      </c>
      <c r="AE86" s="18" t="str">
        <f ca="1">IF('＠MFP (LSI name)'!AE86="","",IF(COUNTIF('＠MFP (LSI name)'!AE86,"Serial*")+COUNTIF('＠MFP (LSI name)'!AE86,"Analog*")&gt;0,'＠MFP (LSI name)'!AE86,OFFSET('＠グループ、表示名'!$H$4,MATCH('＠MFP (LSI name)'!AE86,'＠グループ、表示名'!$D$4:$D$250,0)-1,0)))</f>
        <v/>
      </c>
      <c r="AF86" s="69" t="str">
        <f ca="1">IF('＠MFP (LSI name)'!AF86="","",IF(COUNTIF('＠MFP (LSI name)'!AF86,"Serial*")+COUNTIF('＠MFP (LSI name)'!AF86,"Analog*")&gt;0,'＠MFP (LSI name)'!AF86,OFFSET('＠グループ、表示名'!$H$4,MATCH('＠MFP (LSI name)'!AF86,'＠グループ、表示名'!$D$4:$D$250,0)-1,0)))</f>
        <v/>
      </c>
      <c r="AG86" s="69" t="str">
        <f ca="1">IF('＠MFP (LSI name)'!AG86="","",IF(COUNTIF('＠MFP (LSI name)'!AG86,"Serial*")+COUNTIF('＠MFP (LSI name)'!AG86,"Analog*")&gt;0,'＠MFP (LSI name)'!AG86,OFFSET('＠グループ、表示名'!$H$4,MATCH('＠MFP (LSI name)'!AG86,'＠グループ、表示名'!$D$4:$D$250,0)-1,0)))</f>
        <v/>
      </c>
      <c r="AH86" s="69" t="str">
        <f ca="1">IF('＠MFP (LSI name)'!AH86="","",IF(COUNTIF('＠MFP (LSI name)'!AH86,"Serial*")+COUNTIF('＠MFP (LSI name)'!AH86,"Analog*")&gt;0,'＠MFP (LSI name)'!AH86,OFFSET('＠グループ、表示名'!$H$4,MATCH('＠MFP (LSI name)'!AH86,'＠グループ、表示名'!$D$4:$D$250,0)-1,0)))</f>
        <v/>
      </c>
      <c r="AI86" s="69" t="str">
        <f ca="1">IF('＠MFP (LSI name)'!AI86="","",IF(COUNTIF('＠MFP (LSI name)'!AI86,"Serial*")+COUNTIF('＠MFP (LSI name)'!AI86,"Analog*")&gt;0,'＠MFP (LSI name)'!AI86,OFFSET('＠グループ、表示名'!$H$4,MATCH('＠MFP (LSI name)'!AI86,'＠グループ、表示名'!$D$4:$D$250,0)-1,0)))</f>
        <v/>
      </c>
      <c r="AJ86" s="18" t="str">
        <f ca="1">IF('＠MFP (LSI name)'!AJ86="","",IF(COUNTIF('＠MFP (LSI name)'!AJ86,"Serial*")+COUNTIF('＠MFP (LSI name)'!AJ86,"Analog*")&gt;0,'＠MFP (LSI name)'!AJ86,OFFSET('＠グループ、表示名'!$H$4,MATCH('＠MFP (LSI name)'!AJ86,'＠グループ、表示名'!$D$4:$D$250,0)-1,0)))</f>
        <v/>
      </c>
      <c r="AK86" s="69" t="str">
        <f ca="1">IF('＠MFP (LSI name)'!AK86="","",IF(COUNTIF('＠MFP (LSI name)'!AK86,"Serial*")+COUNTIF('＠MFP (LSI name)'!AK86,"Analog*")&gt;0,'＠MFP (LSI name)'!AK86,OFFSET('＠グループ、表示名'!$H$4,MATCH('＠MFP (LSI name)'!AK86,'＠グループ、表示名'!$D$4:$D$250,0)-1,0)))</f>
        <v/>
      </c>
      <c r="AL86" s="9" t="str">
        <f t="shared" si="8"/>
        <v>IOP5MD[23]</v>
      </c>
      <c r="AM86" s="9" t="str">
        <f t="shared" si="9"/>
        <v>IOP5MD[22]</v>
      </c>
      <c r="AN86" s="9" t="str">
        <f t="shared" si="10"/>
        <v>IOP5MD[21]</v>
      </c>
      <c r="AO86" s="9" t="str">
        <f t="shared" si="11"/>
        <v>IOP5MD[20]</v>
      </c>
      <c r="AP86" s="86"/>
    </row>
    <row r="87" spans="1:42" ht="16.149999999999999">
      <c r="A87" s="61">
        <v>79</v>
      </c>
      <c r="B87" s="7">
        <v>79</v>
      </c>
      <c r="C87" s="7">
        <v>62</v>
      </c>
      <c r="D87" s="87">
        <v>49</v>
      </c>
      <c r="E87" s="87"/>
      <c r="F87" s="7">
        <v>79</v>
      </c>
      <c r="G87" s="7">
        <v>62</v>
      </c>
      <c r="H87" s="87">
        <v>49</v>
      </c>
      <c r="I87" s="45" t="s">
        <v>568</v>
      </c>
      <c r="J87" s="45" t="s">
        <v>569</v>
      </c>
      <c r="K87" s="69" t="str">
        <f ca="1">IF('＠MFP (LSI name)'!K87="","",IF(COUNTIF('＠MFP (LSI name)'!K87,"Serial*")+COUNTIF('＠MFP (LSI name)'!K87,"Analog*")&gt;0,'＠MFP (LSI name)'!K87,OFFSET('＠グループ、表示名'!$H$4,MATCH('＠MFP (LSI name)'!K87,'＠グループ、表示名'!$D$4:$D$250,0)-1,0)))</f>
        <v>IRQ02</v>
      </c>
      <c r="L87" s="69" t="str">
        <f ca="1">IF('＠MFP (LSI name)'!L87="","",IF(COUNTIF('＠MFP (LSI name)'!L87,"Serial*")+COUNTIF('＠MFP (LSI name)'!L87,"Analog*")&gt;0,'＠MFP (LSI name)'!L87,OFFSET('＠グループ、表示名'!$H$4,MATCH('＠MFP (LSI name)'!L87,'＠グループ、表示名'!$D$4:$D$250,0)-1,0)))</f>
        <v>Analog206</v>
      </c>
      <c r="M87" s="69" t="str">
        <f ca="1">IF('＠MFP (LSI name)'!M87="","",IF(COUNTIF('＠MFP (LSI name)'!M87,"Serial*")+COUNTIF('＠MFP (LSI name)'!M87,"Analog*")&gt;0,'＠MFP (LSI name)'!M87,OFFSET('＠グループ、表示名'!$H$4,MATCH('＠MFP (LSI name)'!M87,'＠グループ、表示名'!$D$4:$D$250,0)-1,0)))</f>
        <v/>
      </c>
      <c r="N87" s="69" t="str">
        <f ca="1">IF('＠MFP (LSI name)'!N87="","",IF(COUNTIF('＠MFP (LSI name)'!N87,"Serial*")+COUNTIF('＠MFP (LSI name)'!N87,"Analog*")&gt;0,'＠MFP (LSI name)'!N87,OFFSET('＠グループ、表示名'!$H$4,MATCH('＠MFP (LSI name)'!N87,'＠グループ、表示名'!$D$4:$D$250,0)-1,0)))</f>
        <v/>
      </c>
      <c r="O87" s="69" t="str">
        <f ca="1">IF('＠MFP (LSI name)'!O87="","",IF(COUNTIF('＠MFP (LSI name)'!O87,"Serial*")+COUNTIF('＠MFP (LSI name)'!O87,"Analog*")&gt;0,'＠MFP (LSI name)'!O87,OFFSET('＠グループ、表示名'!$H$4,MATCH('＠MFP (LSI name)'!O87,'＠グループ、表示名'!$D$4:$D$250,0)-1,0)))</f>
        <v/>
      </c>
      <c r="P87" s="69" t="str">
        <f ca="1">IF('＠MFP (LSI name)'!P87="","",IF(COUNTIF('＠MFP (LSI name)'!P87,"Serial*")+COUNTIF('＠MFP (LSI name)'!P87,"Analog*")&gt;0,'＠MFP (LSI name)'!P87,OFFSET('＠グループ、表示名'!$H$4,MATCH('＠MFP (LSI name)'!P87,'＠グループ、表示名'!$D$4:$D$250,0)-1,0)))</f>
        <v/>
      </c>
      <c r="Q87" s="69" t="str">
        <f ca="1">IF('＠MFP (LSI name)'!Q87="","",IF(COUNTIF('＠MFP (LSI name)'!Q87,"Serial*")+COUNTIF('＠MFP (LSI name)'!Q87,"Analog*")&gt;0,'＠MFP (LSI name)'!Q87,OFFSET('＠グループ、表示名'!$H$4,MATCH('＠MFP (LSI name)'!Q87,'＠グループ、表示名'!$D$4:$D$250,0)-1,0)))</f>
        <v/>
      </c>
      <c r="R87" s="69" t="str">
        <f ca="1">IF('＠MFP (LSI name)'!R87="","",IF(COUNTIF('＠MFP (LSI name)'!R87,"Serial*")+COUNTIF('＠MFP (LSI name)'!R87,"Analog*")&gt;0,'＠MFP (LSI name)'!R87,OFFSET('＠グループ、表示名'!$H$4,MATCH('＠MFP (LSI name)'!R87,'＠グループ、表示名'!$D$4:$D$250,0)-1,0)))</f>
        <v/>
      </c>
      <c r="S87" s="69" t="str">
        <f ca="1">IF('＠MFP (LSI name)'!S87="","",IF(COUNTIF('＠MFP (LSI name)'!S87,"Serial*")+COUNTIF('＠MFP (LSI name)'!S87,"Analog*")&gt;0,'＠MFP (LSI name)'!S87,OFFSET('＠グループ、表示名'!$H$4,MATCH('＠MFP (LSI name)'!S87,'＠グループ、表示名'!$D$4:$D$250,0)-1,0)))</f>
        <v/>
      </c>
      <c r="T87" s="69" t="str">
        <f ca="1">IF('＠MFP (LSI name)'!T87="","",IF(COUNTIF('＠MFP (LSI name)'!T87,"Serial*")+COUNTIF('＠MFP (LSI name)'!T87,"Analog*")&gt;0,'＠MFP (LSI name)'!T87,OFFSET('＠グループ、表示名'!$H$4,MATCH('＠MFP (LSI name)'!T87,'＠グループ、表示名'!$D$4:$D$250,0)-1,0)))</f>
        <v/>
      </c>
      <c r="U87" s="69" t="str">
        <f ca="1">IF('＠MFP (LSI name)'!U87="","",IF(COUNTIF('＠MFP (LSI name)'!U87,"Serial*")+COUNTIF('＠MFP (LSI name)'!U87,"Analog*")&gt;0,'＠MFP (LSI name)'!U87,OFFSET('＠グループ、表示名'!$H$4,MATCH('＠MFP (LSI name)'!U87,'＠グループ、表示名'!$D$4:$D$250,0)-1,0)))</f>
        <v/>
      </c>
      <c r="V87" s="69" t="str">
        <f ca="1">IF('＠MFP (LSI name)'!V87="","",IF(COUNTIF('＠MFP (LSI name)'!V87,"Serial*")+COUNTIF('＠MFP (LSI name)'!V87,"Analog*")&gt;0,'＠MFP (LSI name)'!V87,OFFSET('＠グループ、表示名'!$H$4,MATCH('＠MFP (LSI name)'!V87,'＠グループ、表示名'!$D$4:$D$250,0)-1,0)))</f>
        <v/>
      </c>
      <c r="W87" s="69" t="str">
        <f ca="1">IF('＠MFP (LSI name)'!W87="","",IF(COUNTIF('＠MFP (LSI name)'!W87,"Serial*")+COUNTIF('＠MFP (LSI name)'!W87,"Analog*")&gt;0,'＠MFP (LSI name)'!W87,OFFSET('＠グループ、表示名'!$H$4,MATCH('＠MFP (LSI name)'!W87,'＠グループ、表示名'!$D$4:$D$250,0)-1,0)))</f>
        <v/>
      </c>
      <c r="X87" s="69" t="str">
        <f ca="1">IF('＠MFP (LSI name)'!X87="","",IF(COUNTIF('＠MFP (LSI name)'!X87,"Serial*")+COUNTIF('＠MFP (LSI name)'!X87,"Analog*")&gt;0,'＠MFP (LSI name)'!X87,OFFSET('＠グループ、表示名'!$H$4,MATCH('＠MFP (LSI name)'!X87,'＠グループ、表示名'!$D$4:$D$250,0)-1,0)))</f>
        <v/>
      </c>
      <c r="Y87" s="18" t="str">
        <f ca="1">IF('＠MFP (LSI name)'!Y87="","",IF(COUNTIF('＠MFP (LSI name)'!Y87,"Serial*")+COUNTIF('＠MFP (LSI name)'!Y87,"Analog*")&gt;0,'＠MFP (LSI name)'!Y87,OFFSET('＠グループ、表示名'!$H$4,MATCH('＠MFP (LSI name)'!Y87,'＠グループ、表示名'!$D$4:$D$250,0)-1,0)))</f>
        <v/>
      </c>
      <c r="Z87" s="18" t="str">
        <f ca="1">IF('＠MFP (LSI name)'!Z87="","",IF(COUNTIF('＠MFP (LSI name)'!Z87,"Serial*")+COUNTIF('＠MFP (LSI name)'!Z87,"Analog*")&gt;0,'＠MFP (LSI name)'!Z87,OFFSET('＠グループ、表示名'!$H$4,MATCH('＠MFP (LSI name)'!Z87,'＠グループ、表示名'!$D$4:$D$250,0)-1,0)))</f>
        <v/>
      </c>
      <c r="AA87" s="69" t="str">
        <f ca="1">IF('＠MFP (LSI name)'!AA87="","",IF(COUNTIF('＠MFP (LSI name)'!AA87,"Serial*")+COUNTIF('＠MFP (LSI name)'!AA87,"Analog*")&gt;0,'＠MFP (LSI name)'!AA87,OFFSET('＠グループ、表示名'!$H$4,MATCH('＠MFP (LSI name)'!AA87,'＠グループ、表示名'!$D$4:$D$250,0)-1,0)))</f>
        <v/>
      </c>
      <c r="AB87" s="69" t="str">
        <f ca="1">IF('＠MFP (LSI name)'!AB87="","",IF(COUNTIF('＠MFP (LSI name)'!AB87,"Serial*")+COUNTIF('＠MFP (LSI name)'!AB87,"Analog*")&gt;0,'＠MFP (LSI name)'!AB87,OFFSET('＠グループ、表示名'!$H$4,MATCH('＠MFP (LSI name)'!AB87,'＠グループ、表示名'!$D$4:$D$250,0)-1,0)))</f>
        <v>Analog206</v>
      </c>
      <c r="AC87" s="69" t="str">
        <f ca="1">IF('＠MFP (LSI name)'!AC87="","",IF(COUNTIF('＠MFP (LSI name)'!AC87,"Serial*")+COUNTIF('＠MFP (LSI name)'!AC87,"Analog*")&gt;0,'＠MFP (LSI name)'!AC87,OFFSET('＠グループ、表示名'!$H$4,MATCH('＠MFP (LSI name)'!AC87,'＠グループ、表示名'!$D$4:$D$250,0)-1,0)))</f>
        <v>ADIN12</v>
      </c>
      <c r="AD87" s="69" t="str">
        <f ca="1">IF('＠MFP (LSI name)'!AD87="","",IF(COUNTIF('＠MFP (LSI name)'!AD87,"Serial*")+COUNTIF('＠MFP (LSI name)'!AD87,"Analog*")&gt;0,'＠MFP (LSI name)'!AD87,OFFSET('＠グループ、表示名'!$H$4,MATCH('＠MFP (LSI name)'!AD87,'＠グループ、表示名'!$D$4:$D$250,0)-1,0)))</f>
        <v/>
      </c>
      <c r="AE87" s="18" t="str">
        <f ca="1">IF('＠MFP (LSI name)'!AE87="","",IF(COUNTIF('＠MFP (LSI name)'!AE87,"Serial*")+COUNTIF('＠MFP (LSI name)'!AE87,"Analog*")&gt;0,'＠MFP (LSI name)'!AE87,OFFSET('＠グループ、表示名'!$H$4,MATCH('＠MFP (LSI name)'!AE87,'＠グループ、表示名'!$D$4:$D$250,0)-1,0)))</f>
        <v/>
      </c>
      <c r="AF87" s="69" t="str">
        <f ca="1">IF('＠MFP (LSI name)'!AF87="","",IF(COUNTIF('＠MFP (LSI name)'!AF87,"Serial*")+COUNTIF('＠MFP (LSI name)'!AF87,"Analog*")&gt;0,'＠MFP (LSI name)'!AF87,OFFSET('＠グループ、表示名'!$H$4,MATCH('＠MFP (LSI name)'!AF87,'＠グループ、表示名'!$D$4:$D$250,0)-1,0)))</f>
        <v/>
      </c>
      <c r="AG87" s="69" t="str">
        <f ca="1">IF('＠MFP (LSI name)'!AG87="","",IF(COUNTIF('＠MFP (LSI name)'!AG87,"Serial*")+COUNTIF('＠MFP (LSI name)'!AG87,"Analog*")&gt;0,'＠MFP (LSI name)'!AG87,OFFSET('＠グループ、表示名'!$H$4,MATCH('＠MFP (LSI name)'!AG87,'＠グループ、表示名'!$D$4:$D$250,0)-1,0)))</f>
        <v/>
      </c>
      <c r="AH87" s="69" t="str">
        <f ca="1">IF('＠MFP (LSI name)'!AH87="","",IF(COUNTIF('＠MFP (LSI name)'!AH87,"Serial*")+COUNTIF('＠MFP (LSI name)'!AH87,"Analog*")&gt;0,'＠MFP (LSI name)'!AH87,OFFSET('＠グループ、表示名'!$H$4,MATCH('＠MFP (LSI name)'!AH87,'＠グループ、表示名'!$D$4:$D$250,0)-1,0)))</f>
        <v/>
      </c>
      <c r="AI87" s="69" t="str">
        <f ca="1">IF('＠MFP (LSI name)'!AI87="","",IF(COUNTIF('＠MFP (LSI name)'!AI87,"Serial*")+COUNTIF('＠MFP (LSI name)'!AI87,"Analog*")&gt;0,'＠MFP (LSI name)'!AI87,OFFSET('＠グループ、表示名'!$H$4,MATCH('＠MFP (LSI name)'!AI87,'＠グループ、表示名'!$D$4:$D$250,0)-1,0)))</f>
        <v/>
      </c>
      <c r="AJ87" s="18" t="str">
        <f ca="1">IF('＠MFP (LSI name)'!AJ87="","",IF(COUNTIF('＠MFP (LSI name)'!AJ87,"Serial*")+COUNTIF('＠MFP (LSI name)'!AJ87,"Analog*")&gt;0,'＠MFP (LSI name)'!AJ87,OFFSET('＠グループ、表示名'!$H$4,MATCH('＠MFP (LSI name)'!AJ87,'＠グループ、表示名'!$D$4:$D$250,0)-1,0)))</f>
        <v/>
      </c>
      <c r="AK87" s="69" t="str">
        <f ca="1">IF('＠MFP (LSI name)'!AK87="","",IF(COUNTIF('＠MFP (LSI name)'!AK87,"Serial*")+COUNTIF('＠MFP (LSI name)'!AK87,"Analog*")&gt;0,'＠MFP (LSI name)'!AK87,OFFSET('＠グループ、表示名'!$H$4,MATCH('＠MFP (LSI name)'!AK87,'＠グループ、表示名'!$D$4:$D$250,0)-1,0)))</f>
        <v/>
      </c>
      <c r="AL87" s="9" t="str">
        <f t="shared" si="8"/>
        <v>IOP5MD[19]</v>
      </c>
      <c r="AM87" s="9" t="str">
        <f t="shared" si="9"/>
        <v>IOP5MD[18]</v>
      </c>
      <c r="AN87" s="9" t="str">
        <f t="shared" si="10"/>
        <v>IOP5MD[17]</v>
      </c>
      <c r="AO87" s="9" t="str">
        <f t="shared" si="11"/>
        <v>IOP5MD[16]</v>
      </c>
      <c r="AP87" s="86"/>
    </row>
    <row r="88" spans="1:42" ht="16.149999999999999">
      <c r="A88" s="61">
        <v>80</v>
      </c>
      <c r="B88" s="7">
        <v>80</v>
      </c>
      <c r="C88" s="7">
        <v>63</v>
      </c>
      <c r="D88" s="87">
        <v>50</v>
      </c>
      <c r="E88" s="87"/>
      <c r="F88" s="7">
        <v>80</v>
      </c>
      <c r="G88" s="7">
        <v>63</v>
      </c>
      <c r="H88" s="87">
        <v>50</v>
      </c>
      <c r="I88" s="45" t="s">
        <v>570</v>
      </c>
      <c r="J88" s="45" t="s">
        <v>571</v>
      </c>
      <c r="K88" s="69" t="str">
        <f ca="1">IF('＠MFP (LSI name)'!K88="","",IF(COUNTIF('＠MFP (LSI name)'!K88,"Serial*")+COUNTIF('＠MFP (LSI name)'!K88,"Analog*")&gt;0,'＠MFP (LSI name)'!K88,OFFSET('＠グループ、表示名'!$H$4,MATCH('＠MFP (LSI name)'!K88,'＠グループ、表示名'!$D$4:$D$250,0)-1,0)))</f>
        <v>IRQ01</v>
      </c>
      <c r="L88" s="69" t="str">
        <f ca="1">IF('＠MFP (LSI name)'!L88="","",IF(COUNTIF('＠MFP (LSI name)'!L88,"Serial*")+COUNTIF('＠MFP (LSI name)'!L88,"Analog*")&gt;0,'＠MFP (LSI name)'!L88,OFFSET('＠グループ、表示名'!$H$4,MATCH('＠MFP (LSI name)'!L88,'＠グループ、表示名'!$D$4:$D$250,0)-1,0)))</f>
        <v>Analog207</v>
      </c>
      <c r="M88" s="69" t="str">
        <f ca="1">IF('＠MFP (LSI name)'!M88="","",IF(COUNTIF('＠MFP (LSI name)'!M88,"Serial*")+COUNTIF('＠MFP (LSI name)'!M88,"Analog*")&gt;0,'＠MFP (LSI name)'!M88,OFFSET('＠グループ、表示名'!$H$4,MATCH('＠MFP (LSI name)'!M88,'＠グループ、表示名'!$D$4:$D$250,0)-1,0)))</f>
        <v/>
      </c>
      <c r="N88" s="69" t="str">
        <f ca="1">IF('＠MFP (LSI name)'!N88="","",IF(COUNTIF('＠MFP (LSI name)'!N88,"Serial*")+COUNTIF('＠MFP (LSI name)'!N88,"Analog*")&gt;0,'＠MFP (LSI name)'!N88,OFFSET('＠グループ、表示名'!$H$4,MATCH('＠MFP (LSI name)'!N88,'＠グループ、表示名'!$D$4:$D$250,0)-1,0)))</f>
        <v/>
      </c>
      <c r="O88" s="69" t="str">
        <f ca="1">IF('＠MFP (LSI name)'!O88="","",IF(COUNTIF('＠MFP (LSI name)'!O88,"Serial*")+COUNTIF('＠MFP (LSI name)'!O88,"Analog*")&gt;0,'＠MFP (LSI name)'!O88,OFFSET('＠グループ、表示名'!$H$4,MATCH('＠MFP (LSI name)'!O88,'＠グループ、表示名'!$D$4:$D$250,0)-1,0)))</f>
        <v/>
      </c>
      <c r="P88" s="69" t="str">
        <f ca="1">IF('＠MFP (LSI name)'!P88="","",IF(COUNTIF('＠MFP (LSI name)'!P88,"Serial*")+COUNTIF('＠MFP (LSI name)'!P88,"Analog*")&gt;0,'＠MFP (LSI name)'!P88,OFFSET('＠グループ、表示名'!$H$4,MATCH('＠MFP (LSI name)'!P88,'＠グループ、表示名'!$D$4:$D$250,0)-1,0)))</f>
        <v/>
      </c>
      <c r="Q88" s="69" t="str">
        <f ca="1">IF('＠MFP (LSI name)'!Q88="","",IF(COUNTIF('＠MFP (LSI name)'!Q88,"Serial*")+COUNTIF('＠MFP (LSI name)'!Q88,"Analog*")&gt;0,'＠MFP (LSI name)'!Q88,OFFSET('＠グループ、表示名'!$H$4,MATCH('＠MFP (LSI name)'!Q88,'＠グループ、表示名'!$D$4:$D$250,0)-1,0)))</f>
        <v/>
      </c>
      <c r="R88" s="69" t="str">
        <f ca="1">IF('＠MFP (LSI name)'!R88="","",IF(COUNTIF('＠MFP (LSI name)'!R88,"Serial*")+COUNTIF('＠MFP (LSI name)'!R88,"Analog*")&gt;0,'＠MFP (LSI name)'!R88,OFFSET('＠グループ、表示名'!$H$4,MATCH('＠MFP (LSI name)'!R88,'＠グループ、表示名'!$D$4:$D$250,0)-1,0)))</f>
        <v/>
      </c>
      <c r="S88" s="69" t="str">
        <f ca="1">IF('＠MFP (LSI name)'!S88="","",IF(COUNTIF('＠MFP (LSI name)'!S88,"Serial*")+COUNTIF('＠MFP (LSI name)'!S88,"Analog*")&gt;0,'＠MFP (LSI name)'!S88,OFFSET('＠グループ、表示名'!$H$4,MATCH('＠MFP (LSI name)'!S88,'＠グループ、表示名'!$D$4:$D$250,0)-1,0)))</f>
        <v/>
      </c>
      <c r="T88" s="69" t="str">
        <f ca="1">IF('＠MFP (LSI name)'!T88="","",IF(COUNTIF('＠MFP (LSI name)'!T88,"Serial*")+COUNTIF('＠MFP (LSI name)'!T88,"Analog*")&gt;0,'＠MFP (LSI name)'!T88,OFFSET('＠グループ、表示名'!$H$4,MATCH('＠MFP (LSI name)'!T88,'＠グループ、表示名'!$D$4:$D$250,0)-1,0)))</f>
        <v/>
      </c>
      <c r="U88" s="69" t="str">
        <f ca="1">IF('＠MFP (LSI name)'!U88="","",IF(COUNTIF('＠MFP (LSI name)'!U88,"Serial*")+COUNTIF('＠MFP (LSI name)'!U88,"Analog*")&gt;0,'＠MFP (LSI name)'!U88,OFFSET('＠グループ、表示名'!$H$4,MATCH('＠MFP (LSI name)'!U88,'＠グループ、表示名'!$D$4:$D$250,0)-1,0)))</f>
        <v/>
      </c>
      <c r="V88" s="69" t="str">
        <f ca="1">IF('＠MFP (LSI name)'!V88="","",IF(COUNTIF('＠MFP (LSI name)'!V88,"Serial*")+COUNTIF('＠MFP (LSI name)'!V88,"Analog*")&gt;0,'＠MFP (LSI name)'!V88,OFFSET('＠グループ、表示名'!$H$4,MATCH('＠MFP (LSI name)'!V88,'＠グループ、表示名'!$D$4:$D$250,0)-1,0)))</f>
        <v/>
      </c>
      <c r="W88" s="69" t="str">
        <f ca="1">IF('＠MFP (LSI name)'!W88="","",IF(COUNTIF('＠MFP (LSI name)'!W88,"Serial*")+COUNTIF('＠MFP (LSI name)'!W88,"Analog*")&gt;0,'＠MFP (LSI name)'!W88,OFFSET('＠グループ、表示名'!$H$4,MATCH('＠MFP (LSI name)'!W88,'＠グループ、表示名'!$D$4:$D$250,0)-1,0)))</f>
        <v/>
      </c>
      <c r="X88" s="69" t="str">
        <f ca="1">IF('＠MFP (LSI name)'!X88="","",IF(COUNTIF('＠MFP (LSI name)'!X88,"Serial*")+COUNTIF('＠MFP (LSI name)'!X88,"Analog*")&gt;0,'＠MFP (LSI name)'!X88,OFFSET('＠グループ、表示名'!$H$4,MATCH('＠MFP (LSI name)'!X88,'＠グループ、表示名'!$D$4:$D$250,0)-1,0)))</f>
        <v/>
      </c>
      <c r="Y88" s="18" t="str">
        <f ca="1">IF('＠MFP (LSI name)'!Y88="","",IF(COUNTIF('＠MFP (LSI name)'!Y88,"Serial*")+COUNTIF('＠MFP (LSI name)'!Y88,"Analog*")&gt;0,'＠MFP (LSI name)'!Y88,OFFSET('＠グループ、表示名'!$H$4,MATCH('＠MFP (LSI name)'!Y88,'＠グループ、表示名'!$D$4:$D$250,0)-1,0)))</f>
        <v/>
      </c>
      <c r="Z88" s="18" t="str">
        <f ca="1">IF('＠MFP (LSI name)'!Z88="","",IF(COUNTIF('＠MFP (LSI name)'!Z88,"Serial*")+COUNTIF('＠MFP (LSI name)'!Z88,"Analog*")&gt;0,'＠MFP (LSI name)'!Z88,OFFSET('＠グループ、表示名'!$H$4,MATCH('＠MFP (LSI name)'!Z88,'＠グループ、表示名'!$D$4:$D$250,0)-1,0)))</f>
        <v/>
      </c>
      <c r="AA88" s="69" t="str">
        <f ca="1">IF('＠MFP (LSI name)'!AA88="","",IF(COUNTIF('＠MFP (LSI name)'!AA88,"Serial*")+COUNTIF('＠MFP (LSI name)'!AA88,"Analog*")&gt;0,'＠MFP (LSI name)'!AA88,OFFSET('＠グループ、表示名'!$H$4,MATCH('＠MFP (LSI name)'!AA88,'＠グループ、表示名'!$D$4:$D$250,0)-1,0)))</f>
        <v/>
      </c>
      <c r="AB88" s="69" t="str">
        <f ca="1">IF('＠MFP (LSI name)'!AB88="","",IF(COUNTIF('＠MFP (LSI name)'!AB88,"Serial*")+COUNTIF('＠MFP (LSI name)'!AB88,"Analog*")&gt;0,'＠MFP (LSI name)'!AB88,OFFSET('＠グループ、表示名'!$H$4,MATCH('＠MFP (LSI name)'!AB88,'＠グループ、表示名'!$D$4:$D$250,0)-1,0)))</f>
        <v>Analog207</v>
      </c>
      <c r="AC88" s="69" t="str">
        <f ca="1">IF('＠MFP (LSI name)'!AC88="","",IF(COUNTIF('＠MFP (LSI name)'!AC88,"Serial*")+COUNTIF('＠MFP (LSI name)'!AC88,"Analog*")&gt;0,'＠MFP (LSI name)'!AC88,OFFSET('＠グループ、表示名'!$H$4,MATCH('＠MFP (LSI name)'!AC88,'＠グループ、表示名'!$D$4:$D$250,0)-1,0)))</f>
        <v>ADIN11</v>
      </c>
      <c r="AD88" s="69" t="str">
        <f ca="1">IF('＠MFP (LSI name)'!AD88="","",IF(COUNTIF('＠MFP (LSI name)'!AD88,"Serial*")+COUNTIF('＠MFP (LSI name)'!AD88,"Analog*")&gt;0,'＠MFP (LSI name)'!AD88,OFFSET('＠グループ、表示名'!$H$4,MATCH('＠MFP (LSI name)'!AD88,'＠グループ、表示名'!$D$4:$D$250,0)-1,0)))</f>
        <v/>
      </c>
      <c r="AE88" s="18" t="str">
        <f ca="1">IF('＠MFP (LSI name)'!AE88="","",IF(COUNTIF('＠MFP (LSI name)'!AE88,"Serial*")+COUNTIF('＠MFP (LSI name)'!AE88,"Analog*")&gt;0,'＠MFP (LSI name)'!AE88,OFFSET('＠グループ、表示名'!$H$4,MATCH('＠MFP (LSI name)'!AE88,'＠グループ、表示名'!$D$4:$D$250,0)-1,0)))</f>
        <v/>
      </c>
      <c r="AF88" s="69" t="str">
        <f ca="1">IF('＠MFP (LSI name)'!AF88="","",IF(COUNTIF('＠MFP (LSI name)'!AF88,"Serial*")+COUNTIF('＠MFP (LSI name)'!AF88,"Analog*")&gt;0,'＠MFP (LSI name)'!AF88,OFFSET('＠グループ、表示名'!$H$4,MATCH('＠MFP (LSI name)'!AF88,'＠グループ、表示名'!$D$4:$D$250,0)-1,0)))</f>
        <v/>
      </c>
      <c r="AG88" s="69" t="str">
        <f ca="1">IF('＠MFP (LSI name)'!AG88="","",IF(COUNTIF('＠MFP (LSI name)'!AG88,"Serial*")+COUNTIF('＠MFP (LSI name)'!AG88,"Analog*")&gt;0,'＠MFP (LSI name)'!AG88,OFFSET('＠グループ、表示名'!$H$4,MATCH('＠MFP (LSI name)'!AG88,'＠グループ、表示名'!$D$4:$D$250,0)-1,0)))</f>
        <v/>
      </c>
      <c r="AH88" s="69" t="str">
        <f ca="1">IF('＠MFP (LSI name)'!AH88="","",IF(COUNTIF('＠MFP (LSI name)'!AH88,"Serial*")+COUNTIF('＠MFP (LSI name)'!AH88,"Analog*")&gt;0,'＠MFP (LSI name)'!AH88,OFFSET('＠グループ、表示名'!$H$4,MATCH('＠MFP (LSI name)'!AH88,'＠グループ、表示名'!$D$4:$D$250,0)-1,0)))</f>
        <v/>
      </c>
      <c r="AI88" s="69" t="str">
        <f ca="1">IF('＠MFP (LSI name)'!AI88="","",IF(COUNTIF('＠MFP (LSI name)'!AI88,"Serial*")+COUNTIF('＠MFP (LSI name)'!AI88,"Analog*")&gt;0,'＠MFP (LSI name)'!AI88,OFFSET('＠グループ、表示名'!$H$4,MATCH('＠MFP (LSI name)'!AI88,'＠グループ、表示名'!$D$4:$D$250,0)-1,0)))</f>
        <v/>
      </c>
      <c r="AJ88" s="18" t="str">
        <f ca="1">IF('＠MFP (LSI name)'!AJ88="","",IF(COUNTIF('＠MFP (LSI name)'!AJ88,"Serial*")+COUNTIF('＠MFP (LSI name)'!AJ88,"Analog*")&gt;0,'＠MFP (LSI name)'!AJ88,OFFSET('＠グループ、表示名'!$H$4,MATCH('＠MFP (LSI name)'!AJ88,'＠グループ、表示名'!$D$4:$D$250,0)-1,0)))</f>
        <v/>
      </c>
      <c r="AK88" s="69" t="str">
        <f ca="1">IF('＠MFP (LSI name)'!AK88="","",IF(COUNTIF('＠MFP (LSI name)'!AK88,"Serial*")+COUNTIF('＠MFP (LSI name)'!AK88,"Analog*")&gt;0,'＠MFP (LSI name)'!AK88,OFFSET('＠グループ、表示名'!$H$4,MATCH('＠MFP (LSI name)'!AK88,'＠グループ、表示名'!$D$4:$D$250,0)-1,0)))</f>
        <v/>
      </c>
      <c r="AL88" s="9" t="str">
        <f t="shared" si="8"/>
        <v>IOP5MD[15]</v>
      </c>
      <c r="AM88" s="9" t="str">
        <f t="shared" si="9"/>
        <v>IOP5MD[14]</v>
      </c>
      <c r="AN88" s="9" t="str">
        <f t="shared" si="10"/>
        <v>IOP5MD[13]</v>
      </c>
      <c r="AO88" s="9" t="str">
        <f t="shared" si="11"/>
        <v>IOP5MD[12]</v>
      </c>
      <c r="AP88" s="86"/>
    </row>
    <row r="89" spans="1:42" ht="16.149999999999999">
      <c r="A89" s="61">
        <v>81</v>
      </c>
      <c r="B89" s="7">
        <v>81</v>
      </c>
      <c r="C89" s="7">
        <v>64</v>
      </c>
      <c r="D89" s="87">
        <v>51</v>
      </c>
      <c r="E89" s="87">
        <v>37</v>
      </c>
      <c r="F89" s="7">
        <v>81</v>
      </c>
      <c r="G89" s="7">
        <v>64</v>
      </c>
      <c r="H89" s="87">
        <v>51</v>
      </c>
      <c r="I89" s="45" t="s">
        <v>572</v>
      </c>
      <c r="J89" s="45" t="s">
        <v>573</v>
      </c>
      <c r="K89" s="69" t="str">
        <f ca="1">IF('＠MFP (LSI name)'!K89="","",IF(COUNTIF('＠MFP (LSI name)'!K89,"Serial*")+COUNTIF('＠MFP (LSI name)'!K89,"Analog*")&gt;0,'＠MFP (LSI name)'!K89,OFFSET('＠グループ、表示名'!$H$4,MATCH('＠MFP (LSI name)'!K89,'＠グループ、表示名'!$D$4:$D$250,0)-1,0)))</f>
        <v>IRQ00</v>
      </c>
      <c r="L89" s="69" t="str">
        <f ca="1">IF('＠MFP (LSI name)'!L89="","",IF(COUNTIF('＠MFP (LSI name)'!L89,"Serial*")+COUNTIF('＠MFP (LSI name)'!L89,"Analog*")&gt;0,'＠MFP (LSI name)'!L89,OFFSET('＠グループ、表示名'!$H$4,MATCH('＠MFP (LSI name)'!L89,'＠グループ、表示名'!$D$4:$D$250,0)-1,0)))</f>
        <v>Analog208</v>
      </c>
      <c r="M89" s="69" t="str">
        <f ca="1">IF('＠MFP (LSI name)'!M89="","",IF(COUNTIF('＠MFP (LSI name)'!M89,"Serial*")+COUNTIF('＠MFP (LSI name)'!M89,"Analog*")&gt;0,'＠MFP (LSI name)'!M89,OFFSET('＠グループ、表示名'!$H$4,MATCH('＠MFP (LSI name)'!M89,'＠グループ、表示名'!$D$4:$D$250,0)-1,0)))</f>
        <v/>
      </c>
      <c r="N89" s="69" t="str">
        <f ca="1">IF('＠MFP (LSI name)'!N89="","",IF(COUNTIF('＠MFP (LSI name)'!N89,"Serial*")+COUNTIF('＠MFP (LSI name)'!N89,"Analog*")&gt;0,'＠MFP (LSI name)'!N89,OFFSET('＠グループ、表示名'!$H$4,MATCH('＠MFP (LSI name)'!N89,'＠グループ、表示名'!$D$4:$D$250,0)-1,0)))</f>
        <v/>
      </c>
      <c r="O89" s="69" t="str">
        <f ca="1">IF('＠MFP (LSI name)'!O89="","",IF(COUNTIF('＠MFP (LSI name)'!O89,"Serial*")+COUNTIF('＠MFP (LSI name)'!O89,"Analog*")&gt;0,'＠MFP (LSI name)'!O89,OFFSET('＠グループ、表示名'!$H$4,MATCH('＠MFP (LSI name)'!O89,'＠グループ、表示名'!$D$4:$D$250,0)-1,0)))</f>
        <v/>
      </c>
      <c r="P89" s="69" t="str">
        <f ca="1">IF('＠MFP (LSI name)'!P89="","",IF(COUNTIF('＠MFP (LSI name)'!P89,"Serial*")+COUNTIF('＠MFP (LSI name)'!P89,"Analog*")&gt;0,'＠MFP (LSI name)'!P89,OFFSET('＠グループ、表示名'!$H$4,MATCH('＠MFP (LSI name)'!P89,'＠グループ、表示名'!$D$4:$D$250,0)-1,0)))</f>
        <v/>
      </c>
      <c r="Q89" s="69" t="str">
        <f ca="1">IF('＠MFP (LSI name)'!Q89="","",IF(COUNTIF('＠MFP (LSI name)'!Q89,"Serial*")+COUNTIF('＠MFP (LSI name)'!Q89,"Analog*")&gt;0,'＠MFP (LSI name)'!Q89,OFFSET('＠グループ、表示名'!$H$4,MATCH('＠MFP (LSI name)'!Q89,'＠グループ、表示名'!$D$4:$D$250,0)-1,0)))</f>
        <v/>
      </c>
      <c r="R89" s="69" t="str">
        <f ca="1">IF('＠MFP (LSI name)'!R89="","",IF(COUNTIF('＠MFP (LSI name)'!R89,"Serial*")+COUNTIF('＠MFP (LSI name)'!R89,"Analog*")&gt;0,'＠MFP (LSI name)'!R89,OFFSET('＠グループ、表示名'!$H$4,MATCH('＠MFP (LSI name)'!R89,'＠グループ、表示名'!$D$4:$D$250,0)-1,0)))</f>
        <v/>
      </c>
      <c r="S89" s="69" t="str">
        <f ca="1">IF('＠MFP (LSI name)'!S89="","",IF(COUNTIF('＠MFP (LSI name)'!S89,"Serial*")+COUNTIF('＠MFP (LSI name)'!S89,"Analog*")&gt;0,'＠MFP (LSI name)'!S89,OFFSET('＠グループ、表示名'!$H$4,MATCH('＠MFP (LSI name)'!S89,'＠グループ、表示名'!$D$4:$D$250,0)-1,0)))</f>
        <v/>
      </c>
      <c r="T89" s="69" t="str">
        <f ca="1">IF('＠MFP (LSI name)'!T89="","",IF(COUNTIF('＠MFP (LSI name)'!T89,"Serial*")+COUNTIF('＠MFP (LSI name)'!T89,"Analog*")&gt;0,'＠MFP (LSI name)'!T89,OFFSET('＠グループ、表示名'!$H$4,MATCH('＠MFP (LSI name)'!T89,'＠グループ、表示名'!$D$4:$D$250,0)-1,0)))</f>
        <v/>
      </c>
      <c r="U89" s="69" t="str">
        <f ca="1">IF('＠MFP (LSI name)'!U89="","",IF(COUNTIF('＠MFP (LSI name)'!U89,"Serial*")+COUNTIF('＠MFP (LSI name)'!U89,"Analog*")&gt;0,'＠MFP (LSI name)'!U89,OFFSET('＠グループ、表示名'!$H$4,MATCH('＠MFP (LSI name)'!U89,'＠グループ、表示名'!$D$4:$D$250,0)-1,0)))</f>
        <v/>
      </c>
      <c r="V89" s="69" t="str">
        <f ca="1">IF('＠MFP (LSI name)'!V89="","",IF(COUNTIF('＠MFP (LSI name)'!V89,"Serial*")+COUNTIF('＠MFP (LSI name)'!V89,"Analog*")&gt;0,'＠MFP (LSI name)'!V89,OFFSET('＠グループ、表示名'!$H$4,MATCH('＠MFP (LSI name)'!V89,'＠グループ、表示名'!$D$4:$D$250,0)-1,0)))</f>
        <v/>
      </c>
      <c r="W89" s="69" t="str">
        <f ca="1">IF('＠MFP (LSI name)'!W89="","",IF(COUNTIF('＠MFP (LSI name)'!W89,"Serial*")+COUNTIF('＠MFP (LSI name)'!W89,"Analog*")&gt;0,'＠MFP (LSI name)'!W89,OFFSET('＠グループ、表示名'!$H$4,MATCH('＠MFP (LSI name)'!W89,'＠グループ、表示名'!$D$4:$D$250,0)-1,0)))</f>
        <v/>
      </c>
      <c r="X89" s="69" t="str">
        <f ca="1">IF('＠MFP (LSI name)'!X89="","",IF(COUNTIF('＠MFP (LSI name)'!X89,"Serial*")+COUNTIF('＠MFP (LSI name)'!X89,"Analog*")&gt;0,'＠MFP (LSI name)'!X89,OFFSET('＠グループ、表示名'!$H$4,MATCH('＠MFP (LSI name)'!X89,'＠グループ、表示名'!$D$4:$D$250,0)-1,0)))</f>
        <v/>
      </c>
      <c r="Y89" s="18" t="str">
        <f ca="1">IF('＠MFP (LSI name)'!Y89="","",IF(COUNTIF('＠MFP (LSI name)'!Y89,"Serial*")+COUNTIF('＠MFP (LSI name)'!Y89,"Analog*")&gt;0,'＠MFP (LSI name)'!Y89,OFFSET('＠グループ、表示名'!$H$4,MATCH('＠MFP (LSI name)'!Y89,'＠グループ、表示名'!$D$4:$D$250,0)-1,0)))</f>
        <v/>
      </c>
      <c r="Z89" s="18" t="str">
        <f ca="1">IF('＠MFP (LSI name)'!Z89="","",IF(COUNTIF('＠MFP (LSI name)'!Z89,"Serial*")+COUNTIF('＠MFP (LSI name)'!Z89,"Analog*")&gt;0,'＠MFP (LSI name)'!Z89,OFFSET('＠グループ、表示名'!$H$4,MATCH('＠MFP (LSI name)'!Z89,'＠グループ、表示名'!$D$4:$D$250,0)-1,0)))</f>
        <v/>
      </c>
      <c r="AA89" s="69" t="str">
        <f ca="1">IF('＠MFP (LSI name)'!AA89="","",IF(COUNTIF('＠MFP (LSI name)'!AA89,"Serial*")+COUNTIF('＠MFP (LSI name)'!AA89,"Analog*")&gt;0,'＠MFP (LSI name)'!AA89,OFFSET('＠グループ、表示名'!$H$4,MATCH('＠MFP (LSI name)'!AA89,'＠グループ、表示名'!$D$4:$D$250,0)-1,0)))</f>
        <v/>
      </c>
      <c r="AB89" s="69" t="str">
        <f ca="1">IF('＠MFP (LSI name)'!AB89="","",IF(COUNTIF('＠MFP (LSI name)'!AB89,"Serial*")+COUNTIF('＠MFP (LSI name)'!AB89,"Analog*")&gt;0,'＠MFP (LSI name)'!AB89,OFFSET('＠グループ、表示名'!$H$4,MATCH('＠MFP (LSI name)'!AB89,'＠グループ、表示名'!$D$4:$D$250,0)-1,0)))</f>
        <v>Analog208</v>
      </c>
      <c r="AC89" s="69" t="str">
        <f ca="1">IF('＠MFP (LSI name)'!AC89="","",IF(COUNTIF('＠MFP (LSI name)'!AC89,"Serial*")+COUNTIF('＠MFP (LSI name)'!AC89,"Analog*")&gt;0,'＠MFP (LSI name)'!AC89,OFFSET('＠グループ、表示名'!$H$4,MATCH('＠MFP (LSI name)'!AC89,'＠グループ、表示名'!$D$4:$D$250,0)-1,0)))</f>
        <v>ADIN10</v>
      </c>
      <c r="AD89" s="69" t="str">
        <f ca="1">IF('＠MFP (LSI name)'!AD89="","",IF(COUNTIF('＠MFP (LSI name)'!AD89,"Serial*")+COUNTIF('＠MFP (LSI name)'!AD89,"Analog*")&gt;0,'＠MFP (LSI name)'!AD89,OFFSET('＠グループ、表示名'!$H$4,MATCH('＠MFP (LSI name)'!AD89,'＠グループ、表示名'!$D$4:$D$250,0)-1,0)))</f>
        <v/>
      </c>
      <c r="AE89" s="18" t="str">
        <f ca="1">IF('＠MFP (LSI name)'!AE89="","",IF(COUNTIF('＠MFP (LSI name)'!AE89,"Serial*")+COUNTIF('＠MFP (LSI name)'!AE89,"Analog*")&gt;0,'＠MFP (LSI name)'!AE89,OFFSET('＠グループ、表示名'!$H$4,MATCH('＠MFP (LSI name)'!AE89,'＠グループ、表示名'!$D$4:$D$250,0)-1,0)))</f>
        <v/>
      </c>
      <c r="AF89" s="69" t="str">
        <f ca="1">IF('＠MFP (LSI name)'!AF89="","",IF(COUNTIF('＠MFP (LSI name)'!AF89,"Serial*")+COUNTIF('＠MFP (LSI name)'!AF89,"Analog*")&gt;0,'＠MFP (LSI name)'!AF89,OFFSET('＠グループ、表示名'!$H$4,MATCH('＠MFP (LSI name)'!AF89,'＠グループ、表示名'!$D$4:$D$250,0)-1,0)))</f>
        <v/>
      </c>
      <c r="AG89" s="69" t="str">
        <f ca="1">IF('＠MFP (LSI name)'!AG89="","",IF(COUNTIF('＠MFP (LSI name)'!AG89,"Serial*")+COUNTIF('＠MFP (LSI name)'!AG89,"Analog*")&gt;0,'＠MFP (LSI name)'!AG89,OFFSET('＠グループ、表示名'!$H$4,MATCH('＠MFP (LSI name)'!AG89,'＠グループ、表示名'!$D$4:$D$250,0)-1,0)))</f>
        <v/>
      </c>
      <c r="AH89" s="69" t="str">
        <f ca="1">IF('＠MFP (LSI name)'!AH89="","",IF(COUNTIF('＠MFP (LSI name)'!AH89,"Serial*")+COUNTIF('＠MFP (LSI name)'!AH89,"Analog*")&gt;0,'＠MFP (LSI name)'!AH89,OFFSET('＠グループ、表示名'!$H$4,MATCH('＠MFP (LSI name)'!AH89,'＠グループ、表示名'!$D$4:$D$250,0)-1,0)))</f>
        <v/>
      </c>
      <c r="AI89" s="69" t="str">
        <f ca="1">IF('＠MFP (LSI name)'!AI89="","",IF(COUNTIF('＠MFP (LSI name)'!AI89,"Serial*")+COUNTIF('＠MFP (LSI name)'!AI89,"Analog*")&gt;0,'＠MFP (LSI name)'!AI89,OFFSET('＠グループ、表示名'!$H$4,MATCH('＠MFP (LSI name)'!AI89,'＠グループ、表示名'!$D$4:$D$250,0)-1,0)))</f>
        <v/>
      </c>
      <c r="AJ89" s="18" t="str">
        <f ca="1">IF('＠MFP (LSI name)'!AJ89="","",IF(COUNTIF('＠MFP (LSI name)'!AJ89,"Serial*")+COUNTIF('＠MFP (LSI name)'!AJ89,"Analog*")&gt;0,'＠MFP (LSI name)'!AJ89,OFFSET('＠グループ、表示名'!$H$4,MATCH('＠MFP (LSI name)'!AJ89,'＠グループ、表示名'!$D$4:$D$250,0)-1,0)))</f>
        <v/>
      </c>
      <c r="AK89" s="69" t="str">
        <f ca="1">IF('＠MFP (LSI name)'!AK89="","",IF(COUNTIF('＠MFP (LSI name)'!AK89,"Serial*")+COUNTIF('＠MFP (LSI name)'!AK89,"Analog*")&gt;0,'＠MFP (LSI name)'!AK89,OFFSET('＠グループ、表示名'!$H$4,MATCH('＠MFP (LSI name)'!AK89,'＠グループ、表示名'!$D$4:$D$250,0)-1,0)))</f>
        <v/>
      </c>
      <c r="AL89" s="9" t="str">
        <f t="shared" si="8"/>
        <v>IOP5MD[11]</v>
      </c>
      <c r="AM89" s="9" t="str">
        <f t="shared" si="9"/>
        <v>IOP5MD[10]</v>
      </c>
      <c r="AN89" s="9" t="str">
        <f t="shared" si="10"/>
        <v>IOP5MD[9]</v>
      </c>
      <c r="AO89" s="9" t="str">
        <f t="shared" si="11"/>
        <v>IOP5MD[8]</v>
      </c>
      <c r="AP89" s="86"/>
    </row>
    <row r="90" spans="1:42" ht="16.149999999999999">
      <c r="A90" s="61">
        <v>82</v>
      </c>
      <c r="B90" s="7">
        <v>82</v>
      </c>
      <c r="C90" s="7">
        <v>65</v>
      </c>
      <c r="D90" s="87">
        <v>52</v>
      </c>
      <c r="E90" s="87">
        <v>38</v>
      </c>
      <c r="F90" s="7">
        <v>82</v>
      </c>
      <c r="G90" s="7">
        <v>65</v>
      </c>
      <c r="H90" s="87">
        <v>52</v>
      </c>
      <c r="I90" s="45" t="s">
        <v>574</v>
      </c>
      <c r="J90" s="45" t="s">
        <v>575</v>
      </c>
      <c r="K90" s="69" t="str">
        <f ca="1">IF('＠MFP (LSI name)'!K90="","",IF(COUNTIF('＠MFP (LSI name)'!K90,"Serial*")+COUNTIF('＠MFP (LSI name)'!K90,"Analog*")&gt;0,'＠MFP (LSI name)'!K90,OFFSET('＠グループ、表示名'!$H$4,MATCH('＠MFP (LSI name)'!K90,'＠グループ、表示名'!$D$4:$D$250,0)-1,0)))</f>
        <v>IRQ33</v>
      </c>
      <c r="L90" s="69" t="str">
        <f ca="1">IF('＠MFP (LSI name)'!L90="","",IF(COUNTIF('＠MFP (LSI name)'!L90,"Serial*")+COUNTIF('＠MFP (LSI name)'!L90,"Analog*")&gt;0,'＠MFP (LSI name)'!L90,OFFSET('＠グループ、表示名'!$H$4,MATCH('＠MFP (LSI name)'!L90,'＠グループ、表示名'!$D$4:$D$250,0)-1,0)))</f>
        <v>Analog209</v>
      </c>
      <c r="M90" s="69" t="str">
        <f ca="1">IF('＠MFP (LSI name)'!M90="","",IF(COUNTIF('＠MFP (LSI name)'!M90,"Serial*")+COUNTIF('＠MFP (LSI name)'!M90,"Analog*")&gt;0,'＠MFP (LSI name)'!M90,OFFSET('＠グループ、表示名'!$H$4,MATCH('＠MFP (LSI name)'!M90,'＠グループ、表示名'!$D$4:$D$250,0)-1,0)))</f>
        <v/>
      </c>
      <c r="N90" s="69" t="str">
        <f ca="1">IF('＠MFP (LSI name)'!N90="","",IF(COUNTIF('＠MFP (LSI name)'!N90,"Serial*")+COUNTIF('＠MFP (LSI name)'!N90,"Analog*")&gt;0,'＠MFP (LSI name)'!N90,OFFSET('＠グループ、表示名'!$H$4,MATCH('＠MFP (LSI name)'!N90,'＠グループ、表示名'!$D$4:$D$250,0)-1,0)))</f>
        <v/>
      </c>
      <c r="O90" s="69" t="str">
        <f ca="1">IF('＠MFP (LSI name)'!O90="","",IF(COUNTIF('＠MFP (LSI name)'!O90,"Serial*")+COUNTIF('＠MFP (LSI name)'!O90,"Analog*")&gt;0,'＠MFP (LSI name)'!O90,OFFSET('＠グループ、表示名'!$H$4,MATCH('＠MFP (LSI name)'!O90,'＠グループ、表示名'!$D$4:$D$250,0)-1,0)))</f>
        <v/>
      </c>
      <c r="P90" s="69" t="str">
        <f ca="1">IF('＠MFP (LSI name)'!P90="","",IF(COUNTIF('＠MFP (LSI name)'!P90,"Serial*")+COUNTIF('＠MFP (LSI name)'!P90,"Analog*")&gt;0,'＠MFP (LSI name)'!P90,OFFSET('＠グループ、表示名'!$H$4,MATCH('＠MFP (LSI name)'!P90,'＠グループ、表示名'!$D$4:$D$250,0)-1,0)))</f>
        <v/>
      </c>
      <c r="Q90" s="69" t="str">
        <f ca="1">IF('＠MFP (LSI name)'!Q90="","",IF(COUNTIF('＠MFP (LSI name)'!Q90,"Serial*")+COUNTIF('＠MFP (LSI name)'!Q90,"Analog*")&gt;0,'＠MFP (LSI name)'!Q90,OFFSET('＠グループ、表示名'!$H$4,MATCH('＠MFP (LSI name)'!Q90,'＠グループ、表示名'!$D$4:$D$250,0)-1,0)))</f>
        <v/>
      </c>
      <c r="R90" s="69" t="str">
        <f ca="1">IF('＠MFP (LSI name)'!R90="","",IF(COUNTIF('＠MFP (LSI name)'!R90,"Serial*")+COUNTIF('＠MFP (LSI name)'!R90,"Analog*")&gt;0,'＠MFP (LSI name)'!R90,OFFSET('＠グループ、表示名'!$H$4,MATCH('＠MFP (LSI name)'!R90,'＠グループ、表示名'!$D$4:$D$250,0)-1,0)))</f>
        <v/>
      </c>
      <c r="S90" s="69" t="str">
        <f ca="1">IF('＠MFP (LSI name)'!S90="","",IF(COUNTIF('＠MFP (LSI name)'!S90,"Serial*")+COUNTIF('＠MFP (LSI name)'!S90,"Analog*")&gt;0,'＠MFP (LSI name)'!S90,OFFSET('＠グループ、表示名'!$H$4,MATCH('＠MFP (LSI name)'!S90,'＠グループ、表示名'!$D$4:$D$250,0)-1,0)))</f>
        <v/>
      </c>
      <c r="T90" s="69" t="str">
        <f ca="1">IF('＠MFP (LSI name)'!T90="","",IF(COUNTIF('＠MFP (LSI name)'!T90,"Serial*")+COUNTIF('＠MFP (LSI name)'!T90,"Analog*")&gt;0,'＠MFP (LSI name)'!T90,OFFSET('＠グループ、表示名'!$H$4,MATCH('＠MFP (LSI name)'!T90,'＠グループ、表示名'!$D$4:$D$250,0)-1,0)))</f>
        <v/>
      </c>
      <c r="U90" s="69" t="str">
        <f ca="1">IF('＠MFP (LSI name)'!U90="","",IF(COUNTIF('＠MFP (LSI name)'!U90,"Serial*")+COUNTIF('＠MFP (LSI name)'!U90,"Analog*")&gt;0,'＠MFP (LSI name)'!U90,OFFSET('＠グループ、表示名'!$H$4,MATCH('＠MFP (LSI name)'!U90,'＠グループ、表示名'!$D$4:$D$250,0)-1,0)))</f>
        <v/>
      </c>
      <c r="V90" s="69" t="str">
        <f ca="1">IF('＠MFP (LSI name)'!V90="","",IF(COUNTIF('＠MFP (LSI name)'!V90,"Serial*")+COUNTIF('＠MFP (LSI name)'!V90,"Analog*")&gt;0,'＠MFP (LSI name)'!V90,OFFSET('＠グループ、表示名'!$H$4,MATCH('＠MFP (LSI name)'!V90,'＠グループ、表示名'!$D$4:$D$250,0)-1,0)))</f>
        <v/>
      </c>
      <c r="W90" s="69" t="str">
        <f ca="1">IF('＠MFP (LSI name)'!W90="","",IF(COUNTIF('＠MFP (LSI name)'!W90,"Serial*")+COUNTIF('＠MFP (LSI name)'!W90,"Analog*")&gt;0,'＠MFP (LSI name)'!W90,OFFSET('＠グループ、表示名'!$H$4,MATCH('＠MFP (LSI name)'!W90,'＠グループ、表示名'!$D$4:$D$250,0)-1,0)))</f>
        <v/>
      </c>
      <c r="X90" s="69" t="str">
        <f ca="1">IF('＠MFP (LSI name)'!X90="","",IF(COUNTIF('＠MFP (LSI name)'!X90,"Serial*")+COUNTIF('＠MFP (LSI name)'!X90,"Analog*")&gt;0,'＠MFP (LSI name)'!X90,OFFSET('＠グループ、表示名'!$H$4,MATCH('＠MFP (LSI name)'!X90,'＠グループ、表示名'!$D$4:$D$250,0)-1,0)))</f>
        <v/>
      </c>
      <c r="Y90" s="18" t="str">
        <f ca="1">IF('＠MFP (LSI name)'!Y90="","",IF(COUNTIF('＠MFP (LSI name)'!Y90,"Serial*")+COUNTIF('＠MFP (LSI name)'!Y90,"Analog*")&gt;0,'＠MFP (LSI name)'!Y90,OFFSET('＠グループ、表示名'!$H$4,MATCH('＠MFP (LSI name)'!Y90,'＠グループ、表示名'!$D$4:$D$250,0)-1,0)))</f>
        <v/>
      </c>
      <c r="Z90" s="18" t="str">
        <f ca="1">IF('＠MFP (LSI name)'!Z90="","",IF(COUNTIF('＠MFP (LSI name)'!Z90,"Serial*")+COUNTIF('＠MFP (LSI name)'!Z90,"Analog*")&gt;0,'＠MFP (LSI name)'!Z90,OFFSET('＠グループ、表示名'!$H$4,MATCH('＠MFP (LSI name)'!Z90,'＠グループ、表示名'!$D$4:$D$250,0)-1,0)))</f>
        <v/>
      </c>
      <c r="AA90" s="69" t="str">
        <f ca="1">IF('＠MFP (LSI name)'!AA90="","",IF(COUNTIF('＠MFP (LSI name)'!AA90,"Serial*")+COUNTIF('＠MFP (LSI name)'!AA90,"Analog*")&gt;0,'＠MFP (LSI name)'!AA90,OFFSET('＠グループ、表示名'!$H$4,MATCH('＠MFP (LSI name)'!AA90,'＠グループ、表示名'!$D$4:$D$250,0)-1,0)))</f>
        <v/>
      </c>
      <c r="AB90" s="69" t="str">
        <f ca="1">IF('＠MFP (LSI name)'!AB90="","",IF(COUNTIF('＠MFP (LSI name)'!AB90,"Serial*")+COUNTIF('＠MFP (LSI name)'!AB90,"Analog*")&gt;0,'＠MFP (LSI name)'!AB90,OFFSET('＠グループ、表示名'!$H$4,MATCH('＠MFP (LSI name)'!AB90,'＠グループ、表示名'!$D$4:$D$250,0)-1,0)))</f>
        <v>Analog209</v>
      </c>
      <c r="AC90" s="69" t="str">
        <f ca="1">IF('＠MFP (LSI name)'!AC90="","",IF(COUNTIF('＠MFP (LSI name)'!AC90,"Serial*")+COUNTIF('＠MFP (LSI name)'!AC90,"Analog*")&gt;0,'＠MFP (LSI name)'!AC90,OFFSET('＠グループ、表示名'!$H$4,MATCH('＠MFP (LSI name)'!AC90,'＠グループ、表示名'!$D$4:$D$250,0)-1,0)))</f>
        <v>ADIN09</v>
      </c>
      <c r="AD90" s="69" t="str">
        <f ca="1">IF('＠MFP (LSI name)'!AD90="","",IF(COUNTIF('＠MFP (LSI name)'!AD90,"Serial*")+COUNTIF('＠MFP (LSI name)'!AD90,"Analog*")&gt;0,'＠MFP (LSI name)'!AD90,OFFSET('＠グループ、表示名'!$H$4,MATCH('＠MFP (LSI name)'!AD90,'＠グループ、表示名'!$D$4:$D$250,0)-1,0)))</f>
        <v/>
      </c>
      <c r="AE90" s="18" t="str">
        <f ca="1">IF('＠MFP (LSI name)'!AE90="","",IF(COUNTIF('＠MFP (LSI name)'!AE90,"Serial*")+COUNTIF('＠MFP (LSI name)'!AE90,"Analog*")&gt;0,'＠MFP (LSI name)'!AE90,OFFSET('＠グループ、表示名'!$H$4,MATCH('＠MFP (LSI name)'!AE90,'＠グループ、表示名'!$D$4:$D$250,0)-1,0)))</f>
        <v/>
      </c>
      <c r="AF90" s="69" t="str">
        <f ca="1">IF('＠MFP (LSI name)'!AF90="","",IF(COUNTIF('＠MFP (LSI name)'!AF90,"Serial*")+COUNTIF('＠MFP (LSI name)'!AF90,"Analog*")&gt;0,'＠MFP (LSI name)'!AF90,OFFSET('＠グループ、表示名'!$H$4,MATCH('＠MFP (LSI name)'!AF90,'＠グループ、表示名'!$D$4:$D$250,0)-1,0)))</f>
        <v/>
      </c>
      <c r="AG90" s="69" t="str">
        <f ca="1">IF('＠MFP (LSI name)'!AG90="","",IF(COUNTIF('＠MFP (LSI name)'!AG90,"Serial*")+COUNTIF('＠MFP (LSI name)'!AG90,"Analog*")&gt;0,'＠MFP (LSI name)'!AG90,OFFSET('＠グループ、表示名'!$H$4,MATCH('＠MFP (LSI name)'!AG90,'＠グループ、表示名'!$D$4:$D$250,0)-1,0)))</f>
        <v/>
      </c>
      <c r="AH90" s="69" t="str">
        <f ca="1">IF('＠MFP (LSI name)'!AH90="","",IF(COUNTIF('＠MFP (LSI name)'!AH90,"Serial*")+COUNTIF('＠MFP (LSI name)'!AH90,"Analog*")&gt;0,'＠MFP (LSI name)'!AH90,OFFSET('＠グループ、表示名'!$H$4,MATCH('＠MFP (LSI name)'!AH90,'＠グループ、表示名'!$D$4:$D$250,0)-1,0)))</f>
        <v/>
      </c>
      <c r="AI90" s="69" t="str">
        <f ca="1">IF('＠MFP (LSI name)'!AI90="","",IF(COUNTIF('＠MFP (LSI name)'!AI90,"Serial*")+COUNTIF('＠MFP (LSI name)'!AI90,"Analog*")&gt;0,'＠MFP (LSI name)'!AI90,OFFSET('＠グループ、表示名'!$H$4,MATCH('＠MFP (LSI name)'!AI90,'＠グループ、表示名'!$D$4:$D$250,0)-1,0)))</f>
        <v/>
      </c>
      <c r="AJ90" s="18" t="str">
        <f ca="1">IF('＠MFP (LSI name)'!AJ90="","",IF(COUNTIF('＠MFP (LSI name)'!AJ90,"Serial*")+COUNTIF('＠MFP (LSI name)'!AJ90,"Analog*")&gt;0,'＠MFP (LSI name)'!AJ90,OFFSET('＠グループ、表示名'!$H$4,MATCH('＠MFP (LSI name)'!AJ90,'＠グループ、表示名'!$D$4:$D$250,0)-1,0)))</f>
        <v/>
      </c>
      <c r="AK90" s="69" t="str">
        <f ca="1">IF('＠MFP (LSI name)'!AK90="","",IF(COUNTIF('＠MFP (LSI name)'!AK90,"Serial*")+COUNTIF('＠MFP (LSI name)'!AK90,"Analog*")&gt;0,'＠MFP (LSI name)'!AK90,OFFSET('＠グループ、表示名'!$H$4,MATCH('＠MFP (LSI name)'!AK90,'＠グループ、表示名'!$D$4:$D$250,0)-1,0)))</f>
        <v/>
      </c>
      <c r="AL90" s="9" t="str">
        <f t="shared" si="8"/>
        <v>IOP5MD[7]</v>
      </c>
      <c r="AM90" s="9" t="str">
        <f t="shared" si="9"/>
        <v>IOP5MD[6]</v>
      </c>
      <c r="AN90" s="9" t="str">
        <f t="shared" si="10"/>
        <v>IOP5MD[5]</v>
      </c>
      <c r="AO90" s="9" t="str">
        <f t="shared" si="11"/>
        <v>IOP5MD[4]</v>
      </c>
      <c r="AP90" s="86"/>
    </row>
    <row r="91" spans="1:42" ht="16.149999999999999">
      <c r="A91" s="61">
        <v>83</v>
      </c>
      <c r="B91" s="7">
        <v>83</v>
      </c>
      <c r="C91" s="7">
        <v>66</v>
      </c>
      <c r="D91" s="87">
        <v>53</v>
      </c>
      <c r="E91" s="87">
        <v>39</v>
      </c>
      <c r="F91" s="7">
        <v>83</v>
      </c>
      <c r="G91" s="7">
        <v>66</v>
      </c>
      <c r="H91" s="87">
        <v>53</v>
      </c>
      <c r="I91" s="45" t="s">
        <v>576</v>
      </c>
      <c r="J91" s="45" t="s">
        <v>577</v>
      </c>
      <c r="K91" s="69" t="str">
        <f ca="1">IF('＠MFP (LSI name)'!K91="","",IF(COUNTIF('＠MFP (LSI name)'!K91,"Serial*")+COUNTIF('＠MFP (LSI name)'!K91,"Analog*")&gt;0,'＠MFP (LSI name)'!K91,OFFSET('＠グループ、表示名'!$H$4,MATCH('＠MFP (LSI name)'!K91,'＠グループ、表示名'!$D$4:$D$250,0)-1,0)))</f>
        <v>Analog103</v>
      </c>
      <c r="L91" s="69" t="str">
        <f ca="1">IF('＠MFP (LSI name)'!L91="","",IF(COUNTIF('＠MFP (LSI name)'!L91,"Serial*")+COUNTIF('＠MFP (LSI name)'!L91,"Analog*")&gt;0,'＠MFP (LSI name)'!L91,OFFSET('＠グループ、表示名'!$H$4,MATCH('＠MFP (LSI name)'!L91,'＠グループ、表示名'!$D$4:$D$250,0)-1,0)))</f>
        <v/>
      </c>
      <c r="M91" s="69" t="str">
        <f ca="1">IF('＠MFP (LSI name)'!M91="","",IF(COUNTIF('＠MFP (LSI name)'!M91,"Serial*")+COUNTIF('＠MFP (LSI name)'!M91,"Analog*")&gt;0,'＠MFP (LSI name)'!M91,OFFSET('＠グループ、表示名'!$H$4,MATCH('＠MFP (LSI name)'!M91,'＠グループ、表示名'!$D$4:$D$250,0)-1,0)))</f>
        <v/>
      </c>
      <c r="N91" s="69" t="str">
        <f ca="1">IF('＠MFP (LSI name)'!N91="","",IF(COUNTIF('＠MFP (LSI name)'!N91,"Serial*")+COUNTIF('＠MFP (LSI name)'!N91,"Analog*")&gt;0,'＠MFP (LSI name)'!N91,OFFSET('＠グループ、表示名'!$H$4,MATCH('＠MFP (LSI name)'!N91,'＠グループ、表示名'!$D$4:$D$250,0)-1,0)))</f>
        <v/>
      </c>
      <c r="O91" s="69" t="str">
        <f ca="1">IF('＠MFP (LSI name)'!O91="","",IF(COUNTIF('＠MFP (LSI name)'!O91,"Serial*")+COUNTIF('＠MFP (LSI name)'!O91,"Analog*")&gt;0,'＠MFP (LSI name)'!O91,OFFSET('＠グループ、表示名'!$H$4,MATCH('＠MFP (LSI name)'!O91,'＠グループ、表示名'!$D$4:$D$250,0)-1,0)))</f>
        <v/>
      </c>
      <c r="P91" s="69" t="str">
        <f ca="1">IF('＠MFP (LSI name)'!P91="","",IF(COUNTIF('＠MFP (LSI name)'!P91,"Serial*")+COUNTIF('＠MFP (LSI name)'!P91,"Analog*")&gt;0,'＠MFP (LSI name)'!P91,OFFSET('＠グループ、表示名'!$H$4,MATCH('＠MFP (LSI name)'!P91,'＠グループ、表示名'!$D$4:$D$250,0)-1,0)))</f>
        <v/>
      </c>
      <c r="Q91" s="69" t="str">
        <f ca="1">IF('＠MFP (LSI name)'!Q91="","",IF(COUNTIF('＠MFP (LSI name)'!Q91,"Serial*")+COUNTIF('＠MFP (LSI name)'!Q91,"Analog*")&gt;0,'＠MFP (LSI name)'!Q91,OFFSET('＠グループ、表示名'!$H$4,MATCH('＠MFP (LSI name)'!Q91,'＠グループ、表示名'!$D$4:$D$250,0)-1,0)))</f>
        <v/>
      </c>
      <c r="R91" s="69" t="str">
        <f ca="1">IF('＠MFP (LSI name)'!R91="","",IF(COUNTIF('＠MFP (LSI name)'!R91,"Serial*")+COUNTIF('＠MFP (LSI name)'!R91,"Analog*")&gt;0,'＠MFP (LSI name)'!R91,OFFSET('＠グループ、表示名'!$H$4,MATCH('＠MFP (LSI name)'!R91,'＠グループ、表示名'!$D$4:$D$250,0)-1,0)))</f>
        <v/>
      </c>
      <c r="S91" s="69" t="str">
        <f ca="1">IF('＠MFP (LSI name)'!S91="","",IF(COUNTIF('＠MFP (LSI name)'!S91,"Serial*")+COUNTIF('＠MFP (LSI name)'!S91,"Analog*")&gt;0,'＠MFP (LSI name)'!S91,OFFSET('＠グループ、表示名'!$H$4,MATCH('＠MFP (LSI name)'!S91,'＠グループ、表示名'!$D$4:$D$250,0)-1,0)))</f>
        <v/>
      </c>
      <c r="T91" s="69" t="str">
        <f ca="1">IF('＠MFP (LSI name)'!T91="","",IF(COUNTIF('＠MFP (LSI name)'!T91,"Serial*")+COUNTIF('＠MFP (LSI name)'!T91,"Analog*")&gt;0,'＠MFP (LSI name)'!T91,OFFSET('＠グループ、表示名'!$H$4,MATCH('＠MFP (LSI name)'!T91,'＠グループ、表示名'!$D$4:$D$250,0)-1,0)))</f>
        <v/>
      </c>
      <c r="U91" s="69" t="str">
        <f ca="1">IF('＠MFP (LSI name)'!U91="","",IF(COUNTIF('＠MFP (LSI name)'!U91,"Serial*")+COUNTIF('＠MFP (LSI name)'!U91,"Analog*")&gt;0,'＠MFP (LSI name)'!U91,OFFSET('＠グループ、表示名'!$H$4,MATCH('＠MFP (LSI name)'!U91,'＠グループ、表示名'!$D$4:$D$250,0)-1,0)))</f>
        <v/>
      </c>
      <c r="V91" s="69" t="str">
        <f ca="1">IF('＠MFP (LSI name)'!V91="","",IF(COUNTIF('＠MFP (LSI name)'!V91,"Serial*")+COUNTIF('＠MFP (LSI name)'!V91,"Analog*")&gt;0,'＠MFP (LSI name)'!V91,OFFSET('＠グループ、表示名'!$H$4,MATCH('＠MFP (LSI name)'!V91,'＠グループ、表示名'!$D$4:$D$250,0)-1,0)))</f>
        <v>Analog103</v>
      </c>
      <c r="W91" s="69" t="str">
        <f ca="1">IF('＠MFP (LSI name)'!W91="","",IF(COUNTIF('＠MFP (LSI name)'!W91,"Serial*")+COUNTIF('＠MFP (LSI name)'!W91,"Analog*")&gt;0,'＠MFP (LSI name)'!W91,OFFSET('＠グループ、表示名'!$H$4,MATCH('＠MFP (LSI name)'!W91,'＠グループ、表示名'!$D$4:$D$250,0)-1,0)))</f>
        <v>ADIN08</v>
      </c>
      <c r="X91" s="69" t="str">
        <f ca="1">IF('＠MFP (LSI name)'!X91="","",IF(COUNTIF('＠MFP (LSI name)'!X91,"Serial*")+COUNTIF('＠MFP (LSI name)'!X91,"Analog*")&gt;0,'＠MFP (LSI name)'!X91,OFFSET('＠グループ、表示名'!$H$4,MATCH('＠MFP (LSI name)'!X91,'＠グループ、表示名'!$D$4:$D$250,0)-1,0)))</f>
        <v>VGA1_VGAN1</v>
      </c>
      <c r="Y91" s="18" t="str">
        <f ca="1">IF('＠MFP (LSI name)'!Y91="","",IF(COUNTIF('＠MFP (LSI name)'!Y91,"Serial*")+COUNTIF('＠MFP (LSI name)'!Y91,"Analog*")&gt;0,'＠MFP (LSI name)'!Y91,OFFSET('＠グループ、表示名'!$H$4,MATCH('＠MFP (LSI name)'!Y91,'＠グループ、表示名'!$D$4:$D$250,0)-1,0)))</f>
        <v>CMP1_CMPIN10</v>
      </c>
      <c r="Z91" s="18" t="str">
        <f ca="1">IF('＠MFP (LSI name)'!Z91="","",IF(COUNTIF('＠MFP (LSI name)'!Z91,"Serial*")+COUNTIF('＠MFP (LSI name)'!Z91,"Analog*")&gt;0,'＠MFP (LSI name)'!Z91,OFFSET('＠グループ、表示名'!$H$4,MATCH('＠MFP (LSI name)'!Z91,'＠グループ、表示名'!$D$4:$D$250,0)-1,0)))</f>
        <v>CMP1_CMPREF10</v>
      </c>
      <c r="AA91" s="69" t="str">
        <f ca="1">IF('＠MFP (LSI name)'!AA91="","",IF(COUNTIF('＠MFP (LSI name)'!AA91,"Serial*")+COUNTIF('＠MFP (LSI name)'!AA91,"Analog*")&gt;0,'＠MFP (LSI name)'!AA91,OFFSET('＠グループ、表示名'!$H$4,MATCH('＠MFP (LSI name)'!AA91,'＠グループ、表示名'!$D$4:$D$250,0)-1,0)))</f>
        <v/>
      </c>
      <c r="AB91" s="69" t="str">
        <f ca="1">IF('＠MFP (LSI name)'!AB91="","",IF(COUNTIF('＠MFP (LSI name)'!AB91,"Serial*")+COUNTIF('＠MFP (LSI name)'!AB91,"Analog*")&gt;0,'＠MFP (LSI name)'!AB91,OFFSET('＠グループ、表示名'!$H$4,MATCH('＠MFP (LSI name)'!AB91,'＠グループ、表示名'!$D$4:$D$250,0)-1,0)))</f>
        <v/>
      </c>
      <c r="AC91" s="69" t="str">
        <f ca="1">IF('＠MFP (LSI name)'!AC91="","",IF(COUNTIF('＠MFP (LSI name)'!AC91,"Serial*")+COUNTIF('＠MFP (LSI name)'!AC91,"Analog*")&gt;0,'＠MFP (LSI name)'!AC91,OFFSET('＠グループ、表示名'!$H$4,MATCH('＠MFP (LSI name)'!AC91,'＠グループ、表示名'!$D$4:$D$250,0)-1,0)))</f>
        <v/>
      </c>
      <c r="AD91" s="69" t="str">
        <f ca="1">IF('＠MFP (LSI name)'!AD91="","",IF(COUNTIF('＠MFP (LSI name)'!AD91,"Serial*")+COUNTIF('＠MFP (LSI name)'!AD91,"Analog*")&gt;0,'＠MFP (LSI name)'!AD91,OFFSET('＠グループ、表示名'!$H$4,MATCH('＠MFP (LSI name)'!AD91,'＠グループ、表示名'!$D$4:$D$250,0)-1,0)))</f>
        <v/>
      </c>
      <c r="AE91" s="18" t="str">
        <f ca="1">IF('＠MFP (LSI name)'!AE91="","",IF(COUNTIF('＠MFP (LSI name)'!AE91,"Serial*")+COUNTIF('＠MFP (LSI name)'!AE91,"Analog*")&gt;0,'＠MFP (LSI name)'!AE91,OFFSET('＠グループ、表示名'!$H$4,MATCH('＠MFP (LSI name)'!AE91,'＠グループ、表示名'!$D$4:$D$250,0)-1,0)))</f>
        <v/>
      </c>
      <c r="AF91" s="69" t="str">
        <f ca="1">IF('＠MFP (LSI name)'!AF91="","",IF(COUNTIF('＠MFP (LSI name)'!AF91,"Serial*")+COUNTIF('＠MFP (LSI name)'!AF91,"Analog*")&gt;0,'＠MFP (LSI name)'!AF91,OFFSET('＠グループ、表示名'!$H$4,MATCH('＠MFP (LSI name)'!AF91,'＠グループ、表示名'!$D$4:$D$250,0)-1,0)))</f>
        <v/>
      </c>
      <c r="AG91" s="69" t="str">
        <f ca="1">IF('＠MFP (LSI name)'!AG91="","",IF(COUNTIF('＠MFP (LSI name)'!AG91,"Serial*")+COUNTIF('＠MFP (LSI name)'!AG91,"Analog*")&gt;0,'＠MFP (LSI name)'!AG91,OFFSET('＠グループ、表示名'!$H$4,MATCH('＠MFP (LSI name)'!AG91,'＠グループ、表示名'!$D$4:$D$250,0)-1,0)))</f>
        <v/>
      </c>
      <c r="AH91" s="69" t="str">
        <f ca="1">IF('＠MFP (LSI name)'!AH91="","",IF(COUNTIF('＠MFP (LSI name)'!AH91,"Serial*")+COUNTIF('＠MFP (LSI name)'!AH91,"Analog*")&gt;0,'＠MFP (LSI name)'!AH91,OFFSET('＠グループ、表示名'!$H$4,MATCH('＠MFP (LSI name)'!AH91,'＠グループ、表示名'!$D$4:$D$250,0)-1,0)))</f>
        <v/>
      </c>
      <c r="AI91" s="69" t="str">
        <f ca="1">IF('＠MFP (LSI name)'!AI91="","",IF(COUNTIF('＠MFP (LSI name)'!AI91,"Serial*")+COUNTIF('＠MFP (LSI name)'!AI91,"Analog*")&gt;0,'＠MFP (LSI name)'!AI91,OFFSET('＠グループ、表示名'!$H$4,MATCH('＠MFP (LSI name)'!AI91,'＠グループ、表示名'!$D$4:$D$250,0)-1,0)))</f>
        <v/>
      </c>
      <c r="AJ91" s="18" t="str">
        <f ca="1">IF('＠MFP (LSI name)'!AJ91="","",IF(COUNTIF('＠MFP (LSI name)'!AJ91,"Serial*")+COUNTIF('＠MFP (LSI name)'!AJ91,"Analog*")&gt;0,'＠MFP (LSI name)'!AJ91,OFFSET('＠グループ、表示名'!$H$4,MATCH('＠MFP (LSI name)'!AJ91,'＠グループ、表示名'!$D$4:$D$250,0)-1,0)))</f>
        <v/>
      </c>
      <c r="AK91" s="69" t="str">
        <f ca="1">IF('＠MFP (LSI name)'!AK91="","",IF(COUNTIF('＠MFP (LSI name)'!AK91,"Serial*")+COUNTIF('＠MFP (LSI name)'!AK91,"Analog*")&gt;0,'＠MFP (LSI name)'!AK91,OFFSET('＠グループ、表示名'!$H$4,MATCH('＠MFP (LSI name)'!AK91,'＠グループ、表示名'!$D$4:$D$250,0)-1,0)))</f>
        <v/>
      </c>
      <c r="AL91" s="9" t="str">
        <f t="shared" si="8"/>
        <v>IOP5MD[3]</v>
      </c>
      <c r="AM91" s="9" t="str">
        <f t="shared" si="9"/>
        <v>IOP5MD[2]</v>
      </c>
      <c r="AN91" s="9" t="str">
        <f t="shared" si="10"/>
        <v>IOP5MD[1]</v>
      </c>
      <c r="AO91" s="9" t="str">
        <f t="shared" si="11"/>
        <v>IOP5MD[0]</v>
      </c>
      <c r="AP91" s="86"/>
    </row>
    <row r="92" spans="1:42" ht="16.149999999999999">
      <c r="A92" s="61">
        <v>84</v>
      </c>
      <c r="B92" s="7">
        <v>84</v>
      </c>
      <c r="C92" s="7">
        <v>67</v>
      </c>
      <c r="D92" s="87"/>
      <c r="E92" s="87"/>
      <c r="F92" s="7">
        <v>84</v>
      </c>
      <c r="G92" s="7">
        <v>67</v>
      </c>
      <c r="H92" s="87"/>
      <c r="I92" s="45" t="s">
        <v>578</v>
      </c>
      <c r="J92" s="45" t="s">
        <v>579</v>
      </c>
      <c r="K92" s="69" t="str">
        <f ca="1">IF('＠MFP (LSI name)'!K92="","",IF(COUNTIF('＠MFP (LSI name)'!K92,"Serial*")+COUNTIF('＠MFP (LSI name)'!K92,"Analog*")&gt;0,'＠MFP (LSI name)'!K92,OFFSET('＠グループ、表示名'!$H$4,MATCH('＠MFP (LSI name)'!K92,'＠グループ、表示名'!$D$4:$D$250,0)-1,0)))</f>
        <v>Analog104</v>
      </c>
      <c r="L92" s="69" t="str">
        <f ca="1">IF('＠MFP (LSI name)'!L92="","",IF(COUNTIF('＠MFP (LSI name)'!L92,"Serial*")+COUNTIF('＠MFP (LSI name)'!L92,"Analog*")&gt;0,'＠MFP (LSI name)'!L92,OFFSET('＠グループ、表示名'!$H$4,MATCH('＠MFP (LSI name)'!L92,'＠グループ、表示名'!$D$4:$D$250,0)-1,0)))</f>
        <v/>
      </c>
      <c r="M92" s="69" t="str">
        <f ca="1">IF('＠MFP (LSI name)'!M92="","",IF(COUNTIF('＠MFP (LSI name)'!M92,"Serial*")+COUNTIF('＠MFP (LSI name)'!M92,"Analog*")&gt;0,'＠MFP (LSI name)'!M92,OFFSET('＠グループ、表示名'!$H$4,MATCH('＠MFP (LSI name)'!M92,'＠グループ、表示名'!$D$4:$D$250,0)-1,0)))</f>
        <v/>
      </c>
      <c r="N92" s="69" t="str">
        <f ca="1">IF('＠MFP (LSI name)'!N92="","",IF(COUNTIF('＠MFP (LSI name)'!N92,"Serial*")+COUNTIF('＠MFP (LSI name)'!N92,"Analog*")&gt;0,'＠MFP (LSI name)'!N92,OFFSET('＠グループ、表示名'!$H$4,MATCH('＠MFP (LSI name)'!N92,'＠グループ、表示名'!$D$4:$D$250,0)-1,0)))</f>
        <v/>
      </c>
      <c r="O92" s="69" t="str">
        <f ca="1">IF('＠MFP (LSI name)'!O92="","",IF(COUNTIF('＠MFP (LSI name)'!O92,"Serial*")+COUNTIF('＠MFP (LSI name)'!O92,"Analog*")&gt;0,'＠MFP (LSI name)'!O92,OFFSET('＠グループ、表示名'!$H$4,MATCH('＠MFP (LSI name)'!O92,'＠グループ、表示名'!$D$4:$D$250,0)-1,0)))</f>
        <v/>
      </c>
      <c r="P92" s="69" t="str">
        <f ca="1">IF('＠MFP (LSI name)'!P92="","",IF(COUNTIF('＠MFP (LSI name)'!P92,"Serial*")+COUNTIF('＠MFP (LSI name)'!P92,"Analog*")&gt;0,'＠MFP (LSI name)'!P92,OFFSET('＠グループ、表示名'!$H$4,MATCH('＠MFP (LSI name)'!P92,'＠グループ、表示名'!$D$4:$D$250,0)-1,0)))</f>
        <v/>
      </c>
      <c r="Q92" s="69" t="str">
        <f ca="1">IF('＠MFP (LSI name)'!Q92="","",IF(COUNTIF('＠MFP (LSI name)'!Q92,"Serial*")+COUNTIF('＠MFP (LSI name)'!Q92,"Analog*")&gt;0,'＠MFP (LSI name)'!Q92,OFFSET('＠グループ、表示名'!$H$4,MATCH('＠MFP (LSI name)'!Q92,'＠グループ、表示名'!$D$4:$D$250,0)-1,0)))</f>
        <v/>
      </c>
      <c r="R92" s="69" t="str">
        <f ca="1">IF('＠MFP (LSI name)'!R92="","",IF(COUNTIF('＠MFP (LSI name)'!R92,"Serial*")+COUNTIF('＠MFP (LSI name)'!R92,"Analog*")&gt;0,'＠MFP (LSI name)'!R92,OFFSET('＠グループ、表示名'!$H$4,MATCH('＠MFP (LSI name)'!R92,'＠グループ、表示名'!$D$4:$D$250,0)-1,0)))</f>
        <v/>
      </c>
      <c r="S92" s="69" t="str">
        <f ca="1">IF('＠MFP (LSI name)'!S92="","",IF(COUNTIF('＠MFP (LSI name)'!S92,"Serial*")+COUNTIF('＠MFP (LSI name)'!S92,"Analog*")&gt;0,'＠MFP (LSI name)'!S92,OFFSET('＠グループ、表示名'!$H$4,MATCH('＠MFP (LSI name)'!S92,'＠グループ、表示名'!$D$4:$D$250,0)-1,0)))</f>
        <v/>
      </c>
      <c r="T92" s="69" t="str">
        <f ca="1">IF('＠MFP (LSI name)'!T92="","",IF(COUNTIF('＠MFP (LSI name)'!T92,"Serial*")+COUNTIF('＠MFP (LSI name)'!T92,"Analog*")&gt;0,'＠MFP (LSI name)'!T92,OFFSET('＠グループ、表示名'!$H$4,MATCH('＠MFP (LSI name)'!T92,'＠グループ、表示名'!$D$4:$D$250,0)-1,0)))</f>
        <v/>
      </c>
      <c r="U92" s="69" t="str">
        <f ca="1">IF('＠MFP (LSI name)'!U92="","",IF(COUNTIF('＠MFP (LSI name)'!U92,"Serial*")+COUNTIF('＠MFP (LSI name)'!U92,"Analog*")&gt;0,'＠MFP (LSI name)'!U92,OFFSET('＠グループ、表示名'!$H$4,MATCH('＠MFP (LSI name)'!U92,'＠グループ、表示名'!$D$4:$D$250,0)-1,0)))</f>
        <v/>
      </c>
      <c r="V92" s="69" t="str">
        <f ca="1">IF('＠MFP (LSI name)'!V92="","",IF(COUNTIF('＠MFP (LSI name)'!V92,"Serial*")+COUNTIF('＠MFP (LSI name)'!V92,"Analog*")&gt;0,'＠MFP (LSI name)'!V92,OFFSET('＠グループ、表示名'!$H$4,MATCH('＠MFP (LSI name)'!V92,'＠グループ、表示名'!$D$4:$D$250,0)-1,0)))</f>
        <v>Analog104</v>
      </c>
      <c r="W92" s="69" t="str">
        <f ca="1">IF('＠MFP (LSI name)'!W92="","",IF(COUNTIF('＠MFP (LSI name)'!W92,"Serial*")+COUNTIF('＠MFP (LSI name)'!W92,"Analog*")&gt;0,'＠MFP (LSI name)'!W92,OFFSET('＠グループ、表示名'!$H$4,MATCH('＠MFP (LSI name)'!W92,'＠グループ、表示名'!$D$4:$D$250,0)-1,0)))</f>
        <v>ADIN07</v>
      </c>
      <c r="X92" s="69" t="str">
        <f ca="1">IF('＠MFP (LSI name)'!X92="","",IF(COUNTIF('＠MFP (LSI name)'!X92,"Serial*")+COUNTIF('＠MFP (LSI name)'!X92,"Analog*")&gt;0,'＠MFP (LSI name)'!X92,OFFSET('＠グループ、表示名'!$H$4,MATCH('＠MFP (LSI name)'!X92,'＠グループ、表示名'!$D$4:$D$250,0)-1,0)))</f>
        <v/>
      </c>
      <c r="Y92" s="18" t="str">
        <f ca="1">IF('＠MFP (LSI name)'!Y92="","",IF(COUNTIF('＠MFP (LSI name)'!Y92,"Serial*")+COUNTIF('＠MFP (LSI name)'!Y92,"Analog*")&gt;0,'＠MFP (LSI name)'!Y92,OFFSET('＠グループ、表示名'!$H$4,MATCH('＠MFP (LSI name)'!Y92,'＠グループ、表示名'!$D$4:$D$250,0)-1,0)))</f>
        <v/>
      </c>
      <c r="Z92" s="18" t="str">
        <f ca="1">IF('＠MFP (LSI name)'!Z92="","",IF(COUNTIF('＠MFP (LSI name)'!Z92,"Serial*")+COUNTIF('＠MFP (LSI name)'!Z92,"Analog*")&gt;0,'＠MFP (LSI name)'!Z92,OFFSET('＠グループ、表示名'!$H$4,MATCH('＠MFP (LSI name)'!Z92,'＠グループ、表示名'!$D$4:$D$250,0)-1,0)))</f>
        <v/>
      </c>
      <c r="AA92" s="69" t="str">
        <f ca="1">IF('＠MFP (LSI name)'!AA92="","",IF(COUNTIF('＠MFP (LSI name)'!AA92,"Serial*")+COUNTIF('＠MFP (LSI name)'!AA92,"Analog*")&gt;0,'＠MFP (LSI name)'!AA92,OFFSET('＠グループ、表示名'!$H$4,MATCH('＠MFP (LSI name)'!AA92,'＠グループ、表示名'!$D$4:$D$250,0)-1,0)))</f>
        <v/>
      </c>
      <c r="AB92" s="69" t="str">
        <f ca="1">IF('＠MFP (LSI name)'!AB92="","",IF(COUNTIF('＠MFP (LSI name)'!AB92,"Serial*")+COUNTIF('＠MFP (LSI name)'!AB92,"Analog*")&gt;0,'＠MFP (LSI name)'!AB92,OFFSET('＠グループ、表示名'!$H$4,MATCH('＠MFP (LSI name)'!AB92,'＠グループ、表示名'!$D$4:$D$250,0)-1,0)))</f>
        <v/>
      </c>
      <c r="AC92" s="69" t="str">
        <f ca="1">IF('＠MFP (LSI name)'!AC92="","",IF(COUNTIF('＠MFP (LSI name)'!AC92,"Serial*")+COUNTIF('＠MFP (LSI name)'!AC92,"Analog*")&gt;0,'＠MFP (LSI name)'!AC92,OFFSET('＠グループ、表示名'!$H$4,MATCH('＠MFP (LSI name)'!AC92,'＠グループ、表示名'!$D$4:$D$250,0)-1,0)))</f>
        <v/>
      </c>
      <c r="AD92" s="69" t="str">
        <f ca="1">IF('＠MFP (LSI name)'!AD92="","",IF(COUNTIF('＠MFP (LSI name)'!AD92,"Serial*")+COUNTIF('＠MFP (LSI name)'!AD92,"Analog*")&gt;0,'＠MFP (LSI name)'!AD92,OFFSET('＠グループ、表示名'!$H$4,MATCH('＠MFP (LSI name)'!AD92,'＠グループ、表示名'!$D$4:$D$250,0)-1,0)))</f>
        <v/>
      </c>
      <c r="AE92" s="18" t="str">
        <f ca="1">IF('＠MFP (LSI name)'!AE92="","",IF(COUNTIF('＠MFP (LSI name)'!AE92,"Serial*")+COUNTIF('＠MFP (LSI name)'!AE92,"Analog*")&gt;0,'＠MFP (LSI name)'!AE92,OFFSET('＠グループ、表示名'!$H$4,MATCH('＠MFP (LSI name)'!AE92,'＠グループ、表示名'!$D$4:$D$250,0)-1,0)))</f>
        <v/>
      </c>
      <c r="AF92" s="69" t="str">
        <f ca="1">IF('＠MFP (LSI name)'!AF92="","",IF(COUNTIF('＠MFP (LSI name)'!AF92,"Serial*")+COUNTIF('＠MFP (LSI name)'!AF92,"Analog*")&gt;0,'＠MFP (LSI name)'!AF92,OFFSET('＠グループ、表示名'!$H$4,MATCH('＠MFP (LSI name)'!AF92,'＠グループ、表示名'!$D$4:$D$250,0)-1,0)))</f>
        <v/>
      </c>
      <c r="AG92" s="69" t="str">
        <f ca="1">IF('＠MFP (LSI name)'!AG92="","",IF(COUNTIF('＠MFP (LSI name)'!AG92,"Serial*")+COUNTIF('＠MFP (LSI name)'!AG92,"Analog*")&gt;0,'＠MFP (LSI name)'!AG92,OFFSET('＠グループ、表示名'!$H$4,MATCH('＠MFP (LSI name)'!AG92,'＠グループ、表示名'!$D$4:$D$250,0)-1,0)))</f>
        <v/>
      </c>
      <c r="AH92" s="69" t="str">
        <f ca="1">IF('＠MFP (LSI name)'!AH92="","",IF(COUNTIF('＠MFP (LSI name)'!AH92,"Serial*")+COUNTIF('＠MFP (LSI name)'!AH92,"Analog*")&gt;0,'＠MFP (LSI name)'!AH92,OFFSET('＠グループ、表示名'!$H$4,MATCH('＠MFP (LSI name)'!AH92,'＠グループ、表示名'!$D$4:$D$250,0)-1,0)))</f>
        <v/>
      </c>
      <c r="AI92" s="69" t="str">
        <f ca="1">IF('＠MFP (LSI name)'!AI92="","",IF(COUNTIF('＠MFP (LSI name)'!AI92,"Serial*")+COUNTIF('＠MFP (LSI name)'!AI92,"Analog*")&gt;0,'＠MFP (LSI name)'!AI92,OFFSET('＠グループ、表示名'!$H$4,MATCH('＠MFP (LSI name)'!AI92,'＠グループ、表示名'!$D$4:$D$250,0)-1,0)))</f>
        <v/>
      </c>
      <c r="AJ92" s="18" t="str">
        <f ca="1">IF('＠MFP (LSI name)'!AJ92="","",IF(COUNTIF('＠MFP (LSI name)'!AJ92,"Serial*")+COUNTIF('＠MFP (LSI name)'!AJ92,"Analog*")&gt;0,'＠MFP (LSI name)'!AJ92,OFFSET('＠グループ、表示名'!$H$4,MATCH('＠MFP (LSI name)'!AJ92,'＠グループ、表示名'!$D$4:$D$250,0)-1,0)))</f>
        <v/>
      </c>
      <c r="AK92" s="69" t="str">
        <f ca="1">IF('＠MFP (LSI name)'!AK92="","",IF(COUNTIF('＠MFP (LSI name)'!AK92,"Serial*")+COUNTIF('＠MFP (LSI name)'!AK92,"Analog*")&gt;0,'＠MFP (LSI name)'!AK92,OFFSET('＠グループ、表示名'!$H$4,MATCH('＠MFP (LSI name)'!AK92,'＠グループ、表示名'!$D$4:$D$250,0)-1,0)))</f>
        <v/>
      </c>
      <c r="AL92" s="9" t="str">
        <f t="shared" si="8"/>
        <v>IOP4MD[31]</v>
      </c>
      <c r="AM92" s="9" t="str">
        <f t="shared" si="9"/>
        <v>IOP4MD[30]</v>
      </c>
      <c r="AN92" s="9" t="str">
        <f t="shared" si="10"/>
        <v>IOP4MD[29]</v>
      </c>
      <c r="AO92" s="9" t="str">
        <f t="shared" si="11"/>
        <v>IOP4MD[28]</v>
      </c>
      <c r="AP92" s="86"/>
    </row>
    <row r="93" spans="1:42" ht="16.149999999999999">
      <c r="A93" s="61">
        <v>85</v>
      </c>
      <c r="B93" s="7">
        <v>85</v>
      </c>
      <c r="C93" s="7">
        <v>68</v>
      </c>
      <c r="D93" s="87">
        <v>54</v>
      </c>
      <c r="E93" s="87">
        <v>40</v>
      </c>
      <c r="F93" s="7">
        <v>85</v>
      </c>
      <c r="G93" s="7">
        <v>68</v>
      </c>
      <c r="H93" s="87">
        <v>54</v>
      </c>
      <c r="I93" s="45" t="s">
        <v>580</v>
      </c>
      <c r="J93" s="45" t="s">
        <v>581</v>
      </c>
      <c r="K93" s="69" t="str">
        <f ca="1">IF('＠MFP (LSI name)'!K93="","",IF(COUNTIF('＠MFP (LSI name)'!K93,"Serial*")+COUNTIF('＠MFP (LSI name)'!K93,"Analog*")&gt;0,'＠MFP (LSI name)'!K93,OFFSET('＠グループ、表示名'!$H$4,MATCH('＠MFP (LSI name)'!K93,'＠グループ、表示名'!$D$4:$D$250,0)-1,0)))</f>
        <v>Analog105</v>
      </c>
      <c r="L93" s="69" t="str">
        <f ca="1">IF('＠MFP (LSI name)'!L93="","",IF(COUNTIF('＠MFP (LSI name)'!L93,"Serial*")+COUNTIF('＠MFP (LSI name)'!L93,"Analog*")&gt;0,'＠MFP (LSI name)'!L93,OFFSET('＠グループ、表示名'!$H$4,MATCH('＠MFP (LSI name)'!L93,'＠グループ、表示名'!$D$4:$D$250,0)-1,0)))</f>
        <v/>
      </c>
      <c r="M93" s="69" t="str">
        <f ca="1">IF('＠MFP (LSI name)'!M93="","",IF(COUNTIF('＠MFP (LSI name)'!M93,"Serial*")+COUNTIF('＠MFP (LSI name)'!M93,"Analog*")&gt;0,'＠MFP (LSI name)'!M93,OFFSET('＠グループ、表示名'!$H$4,MATCH('＠MFP (LSI name)'!M93,'＠グループ、表示名'!$D$4:$D$250,0)-1,0)))</f>
        <v/>
      </c>
      <c r="N93" s="69" t="str">
        <f ca="1">IF('＠MFP (LSI name)'!N93="","",IF(COUNTIF('＠MFP (LSI name)'!N93,"Serial*")+COUNTIF('＠MFP (LSI name)'!N93,"Analog*")&gt;0,'＠MFP (LSI name)'!N93,OFFSET('＠グループ、表示名'!$H$4,MATCH('＠MFP (LSI name)'!N93,'＠グループ、表示名'!$D$4:$D$250,0)-1,0)))</f>
        <v/>
      </c>
      <c r="O93" s="69" t="str">
        <f ca="1">IF('＠MFP (LSI name)'!O93="","",IF(COUNTIF('＠MFP (LSI name)'!O93,"Serial*")+COUNTIF('＠MFP (LSI name)'!O93,"Analog*")&gt;0,'＠MFP (LSI name)'!O93,OFFSET('＠グループ、表示名'!$H$4,MATCH('＠MFP (LSI name)'!O93,'＠グループ、表示名'!$D$4:$D$250,0)-1,0)))</f>
        <v/>
      </c>
      <c r="P93" s="69" t="str">
        <f ca="1">IF('＠MFP (LSI name)'!P93="","",IF(COUNTIF('＠MFP (LSI name)'!P93,"Serial*")+COUNTIF('＠MFP (LSI name)'!P93,"Analog*")&gt;0,'＠MFP (LSI name)'!P93,OFFSET('＠グループ、表示名'!$H$4,MATCH('＠MFP (LSI name)'!P93,'＠グループ、表示名'!$D$4:$D$250,0)-1,0)))</f>
        <v/>
      </c>
      <c r="Q93" s="69" t="str">
        <f ca="1">IF('＠MFP (LSI name)'!Q93="","",IF(COUNTIF('＠MFP (LSI name)'!Q93,"Serial*")+COUNTIF('＠MFP (LSI name)'!Q93,"Analog*")&gt;0,'＠MFP (LSI name)'!Q93,OFFSET('＠グループ、表示名'!$H$4,MATCH('＠MFP (LSI name)'!Q93,'＠グループ、表示名'!$D$4:$D$250,0)-1,0)))</f>
        <v/>
      </c>
      <c r="R93" s="69" t="str">
        <f ca="1">IF('＠MFP (LSI name)'!R93="","",IF(COUNTIF('＠MFP (LSI name)'!R93,"Serial*")+COUNTIF('＠MFP (LSI name)'!R93,"Analog*")&gt;0,'＠MFP (LSI name)'!R93,OFFSET('＠グループ、表示名'!$H$4,MATCH('＠MFP (LSI name)'!R93,'＠グループ、表示名'!$D$4:$D$250,0)-1,0)))</f>
        <v/>
      </c>
      <c r="S93" s="69" t="str">
        <f ca="1">IF('＠MFP (LSI name)'!S93="","",IF(COUNTIF('＠MFP (LSI name)'!S93,"Serial*")+COUNTIF('＠MFP (LSI name)'!S93,"Analog*")&gt;0,'＠MFP (LSI name)'!S93,OFFSET('＠グループ、表示名'!$H$4,MATCH('＠MFP (LSI name)'!S93,'＠グループ、表示名'!$D$4:$D$250,0)-1,0)))</f>
        <v/>
      </c>
      <c r="T93" s="69" t="str">
        <f ca="1">IF('＠MFP (LSI name)'!T93="","",IF(COUNTIF('＠MFP (LSI name)'!T93,"Serial*")+COUNTIF('＠MFP (LSI name)'!T93,"Analog*")&gt;0,'＠MFP (LSI name)'!T93,OFFSET('＠グループ、表示名'!$H$4,MATCH('＠MFP (LSI name)'!T93,'＠グループ、表示名'!$D$4:$D$250,0)-1,0)))</f>
        <v/>
      </c>
      <c r="U93" s="69" t="str">
        <f ca="1">IF('＠MFP (LSI name)'!U93="","",IF(COUNTIF('＠MFP (LSI name)'!U93,"Serial*")+COUNTIF('＠MFP (LSI name)'!U93,"Analog*")&gt;0,'＠MFP (LSI name)'!U93,OFFSET('＠グループ、表示名'!$H$4,MATCH('＠MFP (LSI name)'!U93,'＠グループ、表示名'!$D$4:$D$250,0)-1,0)))</f>
        <v/>
      </c>
      <c r="V93" s="69" t="str">
        <f ca="1">IF('＠MFP (LSI name)'!V93="","",IF(COUNTIF('＠MFP (LSI name)'!V93,"Serial*")+COUNTIF('＠MFP (LSI name)'!V93,"Analog*")&gt;0,'＠MFP (LSI name)'!V93,OFFSET('＠グループ、表示名'!$H$4,MATCH('＠MFP (LSI name)'!V93,'＠グループ、表示名'!$D$4:$D$250,0)-1,0)))</f>
        <v>Analog105</v>
      </c>
      <c r="W93" s="69" t="str">
        <f ca="1">IF('＠MFP (LSI name)'!W93="","",IF(COUNTIF('＠MFP (LSI name)'!W93,"Serial*")+COUNTIF('＠MFP (LSI name)'!W93,"Analog*")&gt;0,'＠MFP (LSI name)'!W93,OFFSET('＠グループ、表示名'!$H$4,MATCH('＠MFP (LSI name)'!W93,'＠グループ、表示名'!$D$4:$D$250,0)-1,0)))</f>
        <v>ADIN06</v>
      </c>
      <c r="X93" s="69" t="str">
        <f ca="1">IF('＠MFP (LSI name)'!X93="","",IF(COUNTIF('＠MFP (LSI name)'!X93,"Serial*")+COUNTIF('＠MFP (LSI name)'!X93,"Analog*")&gt;0,'＠MFP (LSI name)'!X93,OFFSET('＠グループ、表示名'!$H$4,MATCH('＠MFP (LSI name)'!X93,'＠グループ、表示名'!$D$4:$D$250,0)-1,0)))</f>
        <v>VGA1_VGAP10</v>
      </c>
      <c r="Y93" s="18" t="str">
        <f ca="1">IF('＠MFP (LSI name)'!Y93="","",IF(COUNTIF('＠MFP (LSI name)'!Y93,"Serial*")+COUNTIF('＠MFP (LSI name)'!Y93,"Analog*")&gt;0,'＠MFP (LSI name)'!Y93,OFFSET('＠グループ、表示名'!$H$4,MATCH('＠MFP (LSI name)'!Y93,'＠グループ、表示名'!$D$4:$D$250,0)-1,0)))</f>
        <v>CMP1_CMPIN11</v>
      </c>
      <c r="Z93" s="18" t="str">
        <f ca="1">IF('＠MFP (LSI name)'!Z93="","",IF(COUNTIF('＠MFP (LSI name)'!Z93,"Serial*")+COUNTIF('＠MFP (LSI name)'!Z93,"Analog*")&gt;0,'＠MFP (LSI name)'!Z93,OFFSET('＠グループ、表示名'!$H$4,MATCH('＠MFP (LSI name)'!Z93,'＠グループ、表示名'!$D$4:$D$250,0)-1,0)))</f>
        <v/>
      </c>
      <c r="AA93" s="69" t="str">
        <f ca="1">IF('＠MFP (LSI name)'!AA93="","",IF(COUNTIF('＠MFP (LSI name)'!AA93,"Serial*")+COUNTIF('＠MFP (LSI name)'!AA93,"Analog*")&gt;0,'＠MFP (LSI name)'!AA93,OFFSET('＠グループ、表示名'!$H$4,MATCH('＠MFP (LSI name)'!AA93,'＠グループ、表示名'!$D$4:$D$250,0)-1,0)))</f>
        <v/>
      </c>
      <c r="AB93" s="69" t="str">
        <f ca="1">IF('＠MFP (LSI name)'!AB93="","",IF(COUNTIF('＠MFP (LSI name)'!AB93,"Serial*")+COUNTIF('＠MFP (LSI name)'!AB93,"Analog*")&gt;0,'＠MFP (LSI name)'!AB93,OFFSET('＠グループ、表示名'!$H$4,MATCH('＠MFP (LSI name)'!AB93,'＠グループ、表示名'!$D$4:$D$250,0)-1,0)))</f>
        <v/>
      </c>
      <c r="AC93" s="69" t="str">
        <f ca="1">IF('＠MFP (LSI name)'!AC93="","",IF(COUNTIF('＠MFP (LSI name)'!AC93,"Serial*")+COUNTIF('＠MFP (LSI name)'!AC93,"Analog*")&gt;0,'＠MFP (LSI name)'!AC93,OFFSET('＠グループ、表示名'!$H$4,MATCH('＠MFP (LSI name)'!AC93,'＠グループ、表示名'!$D$4:$D$250,0)-1,0)))</f>
        <v/>
      </c>
      <c r="AD93" s="69" t="str">
        <f ca="1">IF('＠MFP (LSI name)'!AD93="","",IF(COUNTIF('＠MFP (LSI name)'!AD93,"Serial*")+COUNTIF('＠MFP (LSI name)'!AD93,"Analog*")&gt;0,'＠MFP (LSI name)'!AD93,OFFSET('＠グループ、表示名'!$H$4,MATCH('＠MFP (LSI name)'!AD93,'＠グループ、表示名'!$D$4:$D$250,0)-1,0)))</f>
        <v/>
      </c>
      <c r="AE93" s="18" t="str">
        <f ca="1">IF('＠MFP (LSI name)'!AE93="","",IF(COUNTIF('＠MFP (LSI name)'!AE93,"Serial*")+COUNTIF('＠MFP (LSI name)'!AE93,"Analog*")&gt;0,'＠MFP (LSI name)'!AE93,OFFSET('＠グループ、表示名'!$H$4,MATCH('＠MFP (LSI name)'!AE93,'＠グループ、表示名'!$D$4:$D$250,0)-1,0)))</f>
        <v/>
      </c>
      <c r="AF93" s="69" t="str">
        <f ca="1">IF('＠MFP (LSI name)'!AF93="","",IF(COUNTIF('＠MFP (LSI name)'!AF93,"Serial*")+COUNTIF('＠MFP (LSI name)'!AF93,"Analog*")&gt;0,'＠MFP (LSI name)'!AF93,OFFSET('＠グループ、表示名'!$H$4,MATCH('＠MFP (LSI name)'!AF93,'＠グループ、表示名'!$D$4:$D$250,0)-1,0)))</f>
        <v/>
      </c>
      <c r="AG93" s="69" t="str">
        <f ca="1">IF('＠MFP (LSI name)'!AG93="","",IF(COUNTIF('＠MFP (LSI name)'!AG93,"Serial*")+COUNTIF('＠MFP (LSI name)'!AG93,"Analog*")&gt;0,'＠MFP (LSI name)'!AG93,OFFSET('＠グループ、表示名'!$H$4,MATCH('＠MFP (LSI name)'!AG93,'＠グループ、表示名'!$D$4:$D$250,0)-1,0)))</f>
        <v/>
      </c>
      <c r="AH93" s="69" t="str">
        <f ca="1">IF('＠MFP (LSI name)'!AH93="","",IF(COUNTIF('＠MFP (LSI name)'!AH93,"Serial*")+COUNTIF('＠MFP (LSI name)'!AH93,"Analog*")&gt;0,'＠MFP (LSI name)'!AH93,OFFSET('＠グループ、表示名'!$H$4,MATCH('＠MFP (LSI name)'!AH93,'＠グループ、表示名'!$D$4:$D$250,0)-1,0)))</f>
        <v/>
      </c>
      <c r="AI93" s="69" t="str">
        <f ca="1">IF('＠MFP (LSI name)'!AI93="","",IF(COUNTIF('＠MFP (LSI name)'!AI93,"Serial*")+COUNTIF('＠MFP (LSI name)'!AI93,"Analog*")&gt;0,'＠MFP (LSI name)'!AI93,OFFSET('＠グループ、表示名'!$H$4,MATCH('＠MFP (LSI name)'!AI93,'＠グループ、表示名'!$D$4:$D$250,0)-1,0)))</f>
        <v/>
      </c>
      <c r="AJ93" s="18" t="str">
        <f ca="1">IF('＠MFP (LSI name)'!AJ93="","",IF(COUNTIF('＠MFP (LSI name)'!AJ93,"Serial*")+COUNTIF('＠MFP (LSI name)'!AJ93,"Analog*")&gt;0,'＠MFP (LSI name)'!AJ93,OFFSET('＠グループ、表示名'!$H$4,MATCH('＠MFP (LSI name)'!AJ93,'＠グループ、表示名'!$D$4:$D$250,0)-1,0)))</f>
        <v/>
      </c>
      <c r="AK93" s="69" t="str">
        <f ca="1">IF('＠MFP (LSI name)'!AK93="","",IF(COUNTIF('＠MFP (LSI name)'!AK93,"Serial*")+COUNTIF('＠MFP (LSI name)'!AK93,"Analog*")&gt;0,'＠MFP (LSI name)'!AK93,OFFSET('＠グループ、表示名'!$H$4,MATCH('＠MFP (LSI name)'!AK93,'＠グループ、表示名'!$D$4:$D$250,0)-1,0)))</f>
        <v/>
      </c>
      <c r="AL93" s="9" t="str">
        <f t="shared" si="8"/>
        <v>IOP4MD[27]</v>
      </c>
      <c r="AM93" s="9" t="str">
        <f t="shared" si="9"/>
        <v>IOP4MD[26]</v>
      </c>
      <c r="AN93" s="9" t="str">
        <f t="shared" si="10"/>
        <v>IOP4MD[25]</v>
      </c>
      <c r="AO93" s="9" t="str">
        <f t="shared" si="11"/>
        <v>IOP4MD[24]</v>
      </c>
      <c r="AP93" s="86"/>
    </row>
    <row r="94" spans="1:42" ht="16.149999999999999">
      <c r="A94" s="61">
        <v>86</v>
      </c>
      <c r="B94" s="7">
        <v>86</v>
      </c>
      <c r="C94" s="7">
        <v>69</v>
      </c>
      <c r="D94" s="87">
        <v>55</v>
      </c>
      <c r="E94" s="87">
        <v>41</v>
      </c>
      <c r="F94" s="7">
        <v>86</v>
      </c>
      <c r="G94" s="7">
        <v>69</v>
      </c>
      <c r="H94" s="87">
        <v>55</v>
      </c>
      <c r="I94" s="45" t="s">
        <v>582</v>
      </c>
      <c r="J94" s="45" t="s">
        <v>583</v>
      </c>
      <c r="K94" s="69" t="str">
        <f ca="1">IF('＠MFP (LSI name)'!K94="","",IF(COUNTIF('＠MFP (LSI name)'!K94,"Serial*")+COUNTIF('＠MFP (LSI name)'!K94,"Analog*")&gt;0,'＠MFP (LSI name)'!K94,OFFSET('＠グループ、表示名'!$H$4,MATCH('＠MFP (LSI name)'!K94,'＠グループ、表示名'!$D$4:$D$250,0)-1,0)))</f>
        <v>Analog106</v>
      </c>
      <c r="L94" s="69" t="str">
        <f ca="1">IF('＠MFP (LSI name)'!L94="","",IF(COUNTIF('＠MFP (LSI name)'!L94,"Serial*")+COUNTIF('＠MFP (LSI name)'!L94,"Analog*")&gt;0,'＠MFP (LSI name)'!L94,OFFSET('＠グループ、表示名'!$H$4,MATCH('＠MFP (LSI name)'!L94,'＠グループ、表示名'!$D$4:$D$250,0)-1,0)))</f>
        <v/>
      </c>
      <c r="M94" s="69" t="str">
        <f ca="1">IF('＠MFP (LSI name)'!M94="","",IF(COUNTIF('＠MFP (LSI name)'!M94,"Serial*")+COUNTIF('＠MFP (LSI name)'!M94,"Analog*")&gt;0,'＠MFP (LSI name)'!M94,OFFSET('＠グループ、表示名'!$H$4,MATCH('＠MFP (LSI name)'!M94,'＠グループ、表示名'!$D$4:$D$250,0)-1,0)))</f>
        <v/>
      </c>
      <c r="N94" s="69" t="str">
        <f ca="1">IF('＠MFP (LSI name)'!N94="","",IF(COUNTIF('＠MFP (LSI name)'!N94,"Serial*")+COUNTIF('＠MFP (LSI name)'!N94,"Analog*")&gt;0,'＠MFP (LSI name)'!N94,OFFSET('＠グループ、表示名'!$H$4,MATCH('＠MFP (LSI name)'!N94,'＠グループ、表示名'!$D$4:$D$250,0)-1,0)))</f>
        <v/>
      </c>
      <c r="O94" s="69" t="str">
        <f ca="1">IF('＠MFP (LSI name)'!O94="","",IF(COUNTIF('＠MFP (LSI name)'!O94,"Serial*")+COUNTIF('＠MFP (LSI name)'!O94,"Analog*")&gt;0,'＠MFP (LSI name)'!O94,OFFSET('＠グループ、表示名'!$H$4,MATCH('＠MFP (LSI name)'!O94,'＠グループ、表示名'!$D$4:$D$250,0)-1,0)))</f>
        <v/>
      </c>
      <c r="P94" s="69" t="str">
        <f ca="1">IF('＠MFP (LSI name)'!P94="","",IF(COUNTIF('＠MFP (LSI name)'!P94,"Serial*")+COUNTIF('＠MFP (LSI name)'!P94,"Analog*")&gt;0,'＠MFP (LSI name)'!P94,OFFSET('＠グループ、表示名'!$H$4,MATCH('＠MFP (LSI name)'!P94,'＠グループ、表示名'!$D$4:$D$250,0)-1,0)))</f>
        <v/>
      </c>
      <c r="Q94" s="69" t="str">
        <f ca="1">IF('＠MFP (LSI name)'!Q94="","",IF(COUNTIF('＠MFP (LSI name)'!Q94,"Serial*")+COUNTIF('＠MFP (LSI name)'!Q94,"Analog*")&gt;0,'＠MFP (LSI name)'!Q94,OFFSET('＠グループ、表示名'!$H$4,MATCH('＠MFP (LSI name)'!Q94,'＠グループ、表示名'!$D$4:$D$250,0)-1,0)))</f>
        <v/>
      </c>
      <c r="R94" s="69" t="str">
        <f ca="1">IF('＠MFP (LSI name)'!R94="","",IF(COUNTIF('＠MFP (LSI name)'!R94,"Serial*")+COUNTIF('＠MFP (LSI name)'!R94,"Analog*")&gt;0,'＠MFP (LSI name)'!R94,OFFSET('＠グループ、表示名'!$H$4,MATCH('＠MFP (LSI name)'!R94,'＠グループ、表示名'!$D$4:$D$250,0)-1,0)))</f>
        <v/>
      </c>
      <c r="S94" s="69" t="str">
        <f ca="1">IF('＠MFP (LSI name)'!S94="","",IF(COUNTIF('＠MFP (LSI name)'!S94,"Serial*")+COUNTIF('＠MFP (LSI name)'!S94,"Analog*")&gt;0,'＠MFP (LSI name)'!S94,OFFSET('＠グループ、表示名'!$H$4,MATCH('＠MFP (LSI name)'!S94,'＠グループ、表示名'!$D$4:$D$250,0)-1,0)))</f>
        <v/>
      </c>
      <c r="T94" s="69" t="str">
        <f ca="1">IF('＠MFP (LSI name)'!T94="","",IF(COUNTIF('＠MFP (LSI name)'!T94,"Serial*")+COUNTIF('＠MFP (LSI name)'!T94,"Analog*")&gt;0,'＠MFP (LSI name)'!T94,OFFSET('＠グループ、表示名'!$H$4,MATCH('＠MFP (LSI name)'!T94,'＠グループ、表示名'!$D$4:$D$250,0)-1,0)))</f>
        <v/>
      </c>
      <c r="U94" s="69" t="str">
        <f ca="1">IF('＠MFP (LSI name)'!U94="","",IF(COUNTIF('＠MFP (LSI name)'!U94,"Serial*")+COUNTIF('＠MFP (LSI name)'!U94,"Analog*")&gt;0,'＠MFP (LSI name)'!U94,OFFSET('＠グループ、表示名'!$H$4,MATCH('＠MFP (LSI name)'!U94,'＠グループ、表示名'!$D$4:$D$250,0)-1,0)))</f>
        <v/>
      </c>
      <c r="V94" s="69" t="str">
        <f ca="1">IF('＠MFP (LSI name)'!V94="","",IF(COUNTIF('＠MFP (LSI name)'!V94,"Serial*")+COUNTIF('＠MFP (LSI name)'!V94,"Analog*")&gt;0,'＠MFP (LSI name)'!V94,OFFSET('＠グループ、表示名'!$H$4,MATCH('＠MFP (LSI name)'!V94,'＠グループ、表示名'!$D$4:$D$250,0)-1,0)))</f>
        <v>Analog106</v>
      </c>
      <c r="W94" s="69" t="str">
        <f ca="1">IF('＠MFP (LSI name)'!W94="","",IF(COUNTIF('＠MFP (LSI name)'!W94,"Serial*")+COUNTIF('＠MFP (LSI name)'!W94,"Analog*")&gt;0,'＠MFP (LSI name)'!W94,OFFSET('＠グループ、表示名'!$H$4,MATCH('＠MFP (LSI name)'!W94,'＠グループ、表示名'!$D$4:$D$250,0)-1,0)))</f>
        <v>ADIN05</v>
      </c>
      <c r="X94" s="69" t="str">
        <f ca="1">IF('＠MFP (LSI name)'!X94="","",IF(COUNTIF('＠MFP (LSI name)'!X94,"Serial*")+COUNTIF('＠MFP (LSI name)'!X94,"Analog*")&gt;0,'＠MFP (LSI name)'!X94,OFFSET('＠グループ、表示名'!$H$4,MATCH('＠MFP (LSI name)'!X94,'＠グループ、表示名'!$D$4:$D$250,0)-1,0)))</f>
        <v>VGA1_VGAP11</v>
      </c>
      <c r="Y94" s="18" t="str">
        <f ca="1">IF('＠MFP (LSI name)'!Y94="","",IF(COUNTIF('＠MFP (LSI name)'!Y94,"Serial*")+COUNTIF('＠MFP (LSI name)'!Y94,"Analog*")&gt;0,'＠MFP (LSI name)'!Y94,OFFSET('＠グループ、表示名'!$H$4,MATCH('＠MFP (LSI name)'!Y94,'＠グループ、表示名'!$D$4:$D$250,0)-1,0)))</f>
        <v>CMP0_CMPIN00</v>
      </c>
      <c r="Z94" s="18" t="str">
        <f ca="1">IF('＠MFP (LSI name)'!Z94="","",IF(COUNTIF('＠MFP (LSI name)'!Z94,"Serial*")+COUNTIF('＠MFP (LSI name)'!Z94,"Analog*")&gt;0,'＠MFP (LSI name)'!Z94,OFFSET('＠グループ、表示名'!$H$4,MATCH('＠MFP (LSI name)'!Z94,'＠グループ、表示名'!$D$4:$D$250,0)-1,0)))</f>
        <v>CMP0_CMPIN01</v>
      </c>
      <c r="AA94" s="69" t="str">
        <f ca="1">IF('＠MFP (LSI name)'!AA94="","",IF(COUNTIF('＠MFP (LSI name)'!AA94,"Serial*")+COUNTIF('＠MFP (LSI name)'!AA94,"Analog*")&gt;0,'＠MFP (LSI name)'!AA94,OFFSET('＠グループ、表示名'!$H$4,MATCH('＠MFP (LSI name)'!AA94,'＠グループ、表示名'!$D$4:$D$250,0)-1,0)))</f>
        <v/>
      </c>
      <c r="AB94" s="69" t="str">
        <f ca="1">IF('＠MFP (LSI name)'!AB94="","",IF(COUNTIF('＠MFP (LSI name)'!AB94,"Serial*")+COUNTIF('＠MFP (LSI name)'!AB94,"Analog*")&gt;0,'＠MFP (LSI name)'!AB94,OFFSET('＠グループ、表示名'!$H$4,MATCH('＠MFP (LSI name)'!AB94,'＠グループ、表示名'!$D$4:$D$250,0)-1,0)))</f>
        <v/>
      </c>
      <c r="AC94" s="69" t="str">
        <f ca="1">IF('＠MFP (LSI name)'!AC94="","",IF(COUNTIF('＠MFP (LSI name)'!AC94,"Serial*")+COUNTIF('＠MFP (LSI name)'!AC94,"Analog*")&gt;0,'＠MFP (LSI name)'!AC94,OFFSET('＠グループ、表示名'!$H$4,MATCH('＠MFP (LSI name)'!AC94,'＠グループ、表示名'!$D$4:$D$250,0)-1,0)))</f>
        <v/>
      </c>
      <c r="AD94" s="69" t="str">
        <f ca="1">IF('＠MFP (LSI name)'!AD94="","",IF(COUNTIF('＠MFP (LSI name)'!AD94,"Serial*")+COUNTIF('＠MFP (LSI name)'!AD94,"Analog*")&gt;0,'＠MFP (LSI name)'!AD94,OFFSET('＠グループ、表示名'!$H$4,MATCH('＠MFP (LSI name)'!AD94,'＠グループ、表示名'!$D$4:$D$250,0)-1,0)))</f>
        <v/>
      </c>
      <c r="AE94" s="18" t="str">
        <f ca="1">IF('＠MFP (LSI name)'!AE94="","",IF(COUNTIF('＠MFP (LSI name)'!AE94,"Serial*")+COUNTIF('＠MFP (LSI name)'!AE94,"Analog*")&gt;0,'＠MFP (LSI name)'!AE94,OFFSET('＠グループ、表示名'!$H$4,MATCH('＠MFP (LSI name)'!AE94,'＠グループ、表示名'!$D$4:$D$250,0)-1,0)))</f>
        <v/>
      </c>
      <c r="AF94" s="69" t="str">
        <f ca="1">IF('＠MFP (LSI name)'!AF94="","",IF(COUNTIF('＠MFP (LSI name)'!AF94,"Serial*")+COUNTIF('＠MFP (LSI name)'!AF94,"Analog*")&gt;0,'＠MFP (LSI name)'!AF94,OFFSET('＠グループ、表示名'!$H$4,MATCH('＠MFP (LSI name)'!AF94,'＠グループ、表示名'!$D$4:$D$250,0)-1,0)))</f>
        <v/>
      </c>
      <c r="AG94" s="69" t="str">
        <f ca="1">IF('＠MFP (LSI name)'!AG94="","",IF(COUNTIF('＠MFP (LSI name)'!AG94,"Serial*")+COUNTIF('＠MFP (LSI name)'!AG94,"Analog*")&gt;0,'＠MFP (LSI name)'!AG94,OFFSET('＠グループ、表示名'!$H$4,MATCH('＠MFP (LSI name)'!AG94,'＠グループ、表示名'!$D$4:$D$250,0)-1,0)))</f>
        <v/>
      </c>
      <c r="AH94" s="69" t="str">
        <f ca="1">IF('＠MFP (LSI name)'!AH94="","",IF(COUNTIF('＠MFP (LSI name)'!AH94,"Serial*")+COUNTIF('＠MFP (LSI name)'!AH94,"Analog*")&gt;0,'＠MFP (LSI name)'!AH94,OFFSET('＠グループ、表示名'!$H$4,MATCH('＠MFP (LSI name)'!AH94,'＠グループ、表示名'!$D$4:$D$250,0)-1,0)))</f>
        <v/>
      </c>
      <c r="AI94" s="69" t="str">
        <f ca="1">IF('＠MFP (LSI name)'!AI94="","",IF(COUNTIF('＠MFP (LSI name)'!AI94,"Serial*")+COUNTIF('＠MFP (LSI name)'!AI94,"Analog*")&gt;0,'＠MFP (LSI name)'!AI94,OFFSET('＠グループ、表示名'!$H$4,MATCH('＠MFP (LSI name)'!AI94,'＠グループ、表示名'!$D$4:$D$250,0)-1,0)))</f>
        <v/>
      </c>
      <c r="AJ94" s="18" t="str">
        <f ca="1">IF('＠MFP (LSI name)'!AJ94="","",IF(COUNTIF('＠MFP (LSI name)'!AJ94,"Serial*")+COUNTIF('＠MFP (LSI name)'!AJ94,"Analog*")&gt;0,'＠MFP (LSI name)'!AJ94,OFFSET('＠グループ、表示名'!$H$4,MATCH('＠MFP (LSI name)'!AJ94,'＠グループ、表示名'!$D$4:$D$250,0)-1,0)))</f>
        <v/>
      </c>
      <c r="AK94" s="69" t="str">
        <f ca="1">IF('＠MFP (LSI name)'!AK94="","",IF(COUNTIF('＠MFP (LSI name)'!AK94,"Serial*")+COUNTIF('＠MFP (LSI name)'!AK94,"Analog*")&gt;0,'＠MFP (LSI name)'!AK94,OFFSET('＠グループ、表示名'!$H$4,MATCH('＠MFP (LSI name)'!AK94,'＠グループ、表示名'!$D$4:$D$250,0)-1,0)))</f>
        <v/>
      </c>
      <c r="AL94" s="9" t="str">
        <f t="shared" si="8"/>
        <v>IOP4MD[23]</v>
      </c>
      <c r="AM94" s="9" t="str">
        <f t="shared" si="9"/>
        <v>IOP4MD[22]</v>
      </c>
      <c r="AN94" s="9" t="str">
        <f t="shared" si="10"/>
        <v>IOP4MD[21]</v>
      </c>
      <c r="AO94" s="9" t="str">
        <f t="shared" si="11"/>
        <v>IOP4MD[20]</v>
      </c>
      <c r="AP94" s="86"/>
    </row>
    <row r="95" spans="1:42" ht="16.149999999999999">
      <c r="A95" s="61">
        <v>87</v>
      </c>
      <c r="B95" s="7">
        <v>87</v>
      </c>
      <c r="C95" s="7">
        <v>70</v>
      </c>
      <c r="D95" s="87">
        <v>56</v>
      </c>
      <c r="E95" s="87">
        <v>42</v>
      </c>
      <c r="F95" s="7">
        <v>87</v>
      </c>
      <c r="G95" s="7">
        <v>70</v>
      </c>
      <c r="H95" s="87">
        <v>56</v>
      </c>
      <c r="I95" s="45" t="s">
        <v>584</v>
      </c>
      <c r="J95" s="45" t="s">
        <v>585</v>
      </c>
      <c r="K95" s="69" t="str">
        <f ca="1">IF('＠MFP (LSI name)'!K95="","",IF(COUNTIF('＠MFP (LSI name)'!K95,"Serial*")+COUNTIF('＠MFP (LSI name)'!K95,"Analog*")&gt;0,'＠MFP (LSI name)'!K95,OFFSET('＠グループ、表示名'!$H$4,MATCH('＠MFP (LSI name)'!K95,'＠グループ、表示名'!$D$4:$D$250,0)-1,0)))</f>
        <v>Analog107</v>
      </c>
      <c r="L95" s="69" t="str">
        <f ca="1">IF('＠MFP (LSI name)'!L95="","",IF(COUNTIF('＠MFP (LSI name)'!L95,"Serial*")+COUNTIF('＠MFP (LSI name)'!L95,"Analog*")&gt;0,'＠MFP (LSI name)'!L95,OFFSET('＠グループ、表示名'!$H$4,MATCH('＠MFP (LSI name)'!L95,'＠グループ、表示名'!$D$4:$D$250,0)-1,0)))</f>
        <v/>
      </c>
      <c r="M95" s="69" t="str">
        <f ca="1">IF('＠MFP (LSI name)'!M95="","",IF(COUNTIF('＠MFP (LSI name)'!M95,"Serial*")+COUNTIF('＠MFP (LSI name)'!M95,"Analog*")&gt;0,'＠MFP (LSI name)'!M95,OFFSET('＠グループ、表示名'!$H$4,MATCH('＠MFP (LSI name)'!M95,'＠グループ、表示名'!$D$4:$D$250,0)-1,0)))</f>
        <v/>
      </c>
      <c r="N95" s="69" t="str">
        <f ca="1">IF('＠MFP (LSI name)'!N95="","",IF(COUNTIF('＠MFP (LSI name)'!N95,"Serial*")+COUNTIF('＠MFP (LSI name)'!N95,"Analog*")&gt;0,'＠MFP (LSI name)'!N95,OFFSET('＠グループ、表示名'!$H$4,MATCH('＠MFP (LSI name)'!N95,'＠グループ、表示名'!$D$4:$D$250,0)-1,0)))</f>
        <v/>
      </c>
      <c r="O95" s="69" t="str">
        <f ca="1">IF('＠MFP (LSI name)'!O95="","",IF(COUNTIF('＠MFP (LSI name)'!O95,"Serial*")+COUNTIF('＠MFP (LSI name)'!O95,"Analog*")&gt;0,'＠MFP (LSI name)'!O95,OFFSET('＠グループ、表示名'!$H$4,MATCH('＠MFP (LSI name)'!O95,'＠グループ、表示名'!$D$4:$D$250,0)-1,0)))</f>
        <v/>
      </c>
      <c r="P95" s="69" t="str">
        <f ca="1">IF('＠MFP (LSI name)'!P95="","",IF(COUNTIF('＠MFP (LSI name)'!P95,"Serial*")+COUNTIF('＠MFP (LSI name)'!P95,"Analog*")&gt;0,'＠MFP (LSI name)'!P95,OFFSET('＠グループ、表示名'!$H$4,MATCH('＠MFP (LSI name)'!P95,'＠グループ、表示名'!$D$4:$D$250,0)-1,0)))</f>
        <v/>
      </c>
      <c r="Q95" s="69" t="str">
        <f ca="1">IF('＠MFP (LSI name)'!Q95="","",IF(COUNTIF('＠MFP (LSI name)'!Q95,"Serial*")+COUNTIF('＠MFP (LSI name)'!Q95,"Analog*")&gt;0,'＠MFP (LSI name)'!Q95,OFFSET('＠グループ、表示名'!$H$4,MATCH('＠MFP (LSI name)'!Q95,'＠グループ、表示名'!$D$4:$D$250,0)-1,0)))</f>
        <v/>
      </c>
      <c r="R95" s="69" t="str">
        <f ca="1">IF('＠MFP (LSI name)'!R95="","",IF(COUNTIF('＠MFP (LSI name)'!R95,"Serial*")+COUNTIF('＠MFP (LSI name)'!R95,"Analog*")&gt;0,'＠MFP (LSI name)'!R95,OFFSET('＠グループ、表示名'!$H$4,MATCH('＠MFP (LSI name)'!R95,'＠グループ、表示名'!$D$4:$D$250,0)-1,0)))</f>
        <v/>
      </c>
      <c r="S95" s="69" t="str">
        <f ca="1">IF('＠MFP (LSI name)'!S95="","",IF(COUNTIF('＠MFP (LSI name)'!S95,"Serial*")+COUNTIF('＠MFP (LSI name)'!S95,"Analog*")&gt;0,'＠MFP (LSI name)'!S95,OFFSET('＠グループ、表示名'!$H$4,MATCH('＠MFP (LSI name)'!S95,'＠グループ、表示名'!$D$4:$D$250,0)-1,0)))</f>
        <v/>
      </c>
      <c r="T95" s="69" t="str">
        <f ca="1">IF('＠MFP (LSI name)'!T95="","",IF(COUNTIF('＠MFP (LSI name)'!T95,"Serial*")+COUNTIF('＠MFP (LSI name)'!T95,"Analog*")&gt;0,'＠MFP (LSI name)'!T95,OFFSET('＠グループ、表示名'!$H$4,MATCH('＠MFP (LSI name)'!T95,'＠グループ、表示名'!$D$4:$D$250,0)-1,0)))</f>
        <v/>
      </c>
      <c r="U95" s="69" t="str">
        <f ca="1">IF('＠MFP (LSI name)'!U95="","",IF(COUNTIF('＠MFP (LSI name)'!U95,"Serial*")+COUNTIF('＠MFP (LSI name)'!U95,"Analog*")&gt;0,'＠MFP (LSI name)'!U95,OFFSET('＠グループ、表示名'!$H$4,MATCH('＠MFP (LSI name)'!U95,'＠グループ、表示名'!$D$4:$D$250,0)-1,0)))</f>
        <v/>
      </c>
      <c r="V95" s="69" t="str">
        <f ca="1">IF('＠MFP (LSI name)'!V95="","",IF(COUNTIF('＠MFP (LSI name)'!V95,"Serial*")+COUNTIF('＠MFP (LSI name)'!V95,"Analog*")&gt;0,'＠MFP (LSI name)'!V95,OFFSET('＠グループ、表示名'!$H$4,MATCH('＠MFP (LSI name)'!V95,'＠グループ、表示名'!$D$4:$D$250,0)-1,0)))</f>
        <v>Analog107</v>
      </c>
      <c r="W95" s="69" t="str">
        <f ca="1">IF('＠MFP (LSI name)'!W95="","",IF(COUNTIF('＠MFP (LSI name)'!W95,"Serial*")+COUNTIF('＠MFP (LSI name)'!W95,"Analog*")&gt;0,'＠MFP (LSI name)'!W95,OFFSET('＠グループ、表示名'!$H$4,MATCH('＠MFP (LSI name)'!W95,'＠グループ、表示名'!$D$4:$D$250,0)-1,0)))</f>
        <v>ADIN04</v>
      </c>
      <c r="X95" s="69" t="str">
        <f ca="1">IF('＠MFP (LSI name)'!X95="","",IF(COUNTIF('＠MFP (LSI name)'!X95,"Serial*")+COUNTIF('＠MFP (LSI name)'!X95,"Analog*")&gt;0,'＠MFP (LSI name)'!X95,OFFSET('＠グループ、表示名'!$H$4,MATCH('＠MFP (LSI name)'!X95,'＠グループ、表示名'!$D$4:$D$250,0)-1,0)))</f>
        <v>VGA1_VGAP12</v>
      </c>
      <c r="Y95" s="18" t="str">
        <f ca="1">IF('＠MFP (LSI name)'!Y95="","",IF(COUNTIF('＠MFP (LSI name)'!Y95,"Serial*")+COUNTIF('＠MFP (LSI name)'!Y95,"Analog*")&gt;0,'＠MFP (LSI name)'!Y95,OFFSET('＠グループ、表示名'!$H$4,MATCH('＠MFP (LSI name)'!Y95,'＠グループ、表示名'!$D$4:$D$250,0)-1,0)))</f>
        <v>CMP1_CMPIN10</v>
      </c>
      <c r="Z95" s="18" t="str">
        <f ca="1">IF('＠MFP (LSI name)'!Z95="","",IF(COUNTIF('＠MFP (LSI name)'!Z95,"Serial*")+COUNTIF('＠MFP (LSI name)'!Z95,"Analog*")&gt;0,'＠MFP (LSI name)'!Z95,OFFSET('＠グループ、表示名'!$H$4,MATCH('＠MFP (LSI name)'!Z95,'＠グループ、表示名'!$D$4:$D$250,0)-1,0)))</f>
        <v>CMP1_CMPIN11</v>
      </c>
      <c r="AA95" s="69" t="str">
        <f ca="1">IF('＠MFP (LSI name)'!AA95="","",IF(COUNTIF('＠MFP (LSI name)'!AA95,"Serial*")+COUNTIF('＠MFP (LSI name)'!AA95,"Analog*")&gt;0,'＠MFP (LSI name)'!AA95,OFFSET('＠グループ、表示名'!$H$4,MATCH('＠MFP (LSI name)'!AA95,'＠グループ、表示名'!$D$4:$D$250,0)-1,0)))</f>
        <v/>
      </c>
      <c r="AB95" s="69" t="str">
        <f ca="1">IF('＠MFP (LSI name)'!AB95="","",IF(COUNTIF('＠MFP (LSI name)'!AB95,"Serial*")+COUNTIF('＠MFP (LSI name)'!AB95,"Analog*")&gt;0,'＠MFP (LSI name)'!AB95,OFFSET('＠グループ、表示名'!$H$4,MATCH('＠MFP (LSI name)'!AB95,'＠グループ、表示名'!$D$4:$D$250,0)-1,0)))</f>
        <v/>
      </c>
      <c r="AC95" s="69" t="str">
        <f ca="1">IF('＠MFP (LSI name)'!AC95="","",IF(COUNTIF('＠MFP (LSI name)'!AC95,"Serial*")+COUNTIF('＠MFP (LSI name)'!AC95,"Analog*")&gt;0,'＠MFP (LSI name)'!AC95,OFFSET('＠グループ、表示名'!$H$4,MATCH('＠MFP (LSI name)'!AC95,'＠グループ、表示名'!$D$4:$D$250,0)-1,0)))</f>
        <v/>
      </c>
      <c r="AD95" s="69" t="str">
        <f ca="1">IF('＠MFP (LSI name)'!AD95="","",IF(COUNTIF('＠MFP (LSI name)'!AD95,"Serial*")+COUNTIF('＠MFP (LSI name)'!AD95,"Analog*")&gt;0,'＠MFP (LSI name)'!AD95,OFFSET('＠グループ、表示名'!$H$4,MATCH('＠MFP (LSI name)'!AD95,'＠グループ、表示名'!$D$4:$D$250,0)-1,0)))</f>
        <v/>
      </c>
      <c r="AE95" s="18" t="str">
        <f ca="1">IF('＠MFP (LSI name)'!AE95="","",IF(COUNTIF('＠MFP (LSI name)'!AE95,"Serial*")+COUNTIF('＠MFP (LSI name)'!AE95,"Analog*")&gt;0,'＠MFP (LSI name)'!AE95,OFFSET('＠グループ、表示名'!$H$4,MATCH('＠MFP (LSI name)'!AE95,'＠グループ、表示名'!$D$4:$D$250,0)-1,0)))</f>
        <v/>
      </c>
      <c r="AF95" s="69" t="str">
        <f ca="1">IF('＠MFP (LSI name)'!AF95="","",IF(COUNTIF('＠MFP (LSI name)'!AF95,"Serial*")+COUNTIF('＠MFP (LSI name)'!AF95,"Analog*")&gt;0,'＠MFP (LSI name)'!AF95,OFFSET('＠グループ、表示名'!$H$4,MATCH('＠MFP (LSI name)'!AF95,'＠グループ、表示名'!$D$4:$D$250,0)-1,0)))</f>
        <v/>
      </c>
      <c r="AG95" s="69" t="str">
        <f ca="1">IF('＠MFP (LSI name)'!AG95="","",IF(COUNTIF('＠MFP (LSI name)'!AG95,"Serial*")+COUNTIF('＠MFP (LSI name)'!AG95,"Analog*")&gt;0,'＠MFP (LSI name)'!AG95,OFFSET('＠グループ、表示名'!$H$4,MATCH('＠MFP (LSI name)'!AG95,'＠グループ、表示名'!$D$4:$D$250,0)-1,0)))</f>
        <v/>
      </c>
      <c r="AH95" s="69" t="str">
        <f ca="1">IF('＠MFP (LSI name)'!AH95="","",IF(COUNTIF('＠MFP (LSI name)'!AH95,"Serial*")+COUNTIF('＠MFP (LSI name)'!AH95,"Analog*")&gt;0,'＠MFP (LSI name)'!AH95,OFFSET('＠グループ、表示名'!$H$4,MATCH('＠MFP (LSI name)'!AH95,'＠グループ、表示名'!$D$4:$D$250,0)-1,0)))</f>
        <v/>
      </c>
      <c r="AI95" s="69" t="str">
        <f ca="1">IF('＠MFP (LSI name)'!AI95="","",IF(COUNTIF('＠MFP (LSI name)'!AI95,"Serial*")+COUNTIF('＠MFP (LSI name)'!AI95,"Analog*")&gt;0,'＠MFP (LSI name)'!AI95,OFFSET('＠グループ、表示名'!$H$4,MATCH('＠MFP (LSI name)'!AI95,'＠グループ、表示名'!$D$4:$D$250,0)-1,0)))</f>
        <v/>
      </c>
      <c r="AJ95" s="18" t="str">
        <f ca="1">IF('＠MFP (LSI name)'!AJ95="","",IF(COUNTIF('＠MFP (LSI name)'!AJ95,"Serial*")+COUNTIF('＠MFP (LSI name)'!AJ95,"Analog*")&gt;0,'＠MFP (LSI name)'!AJ95,OFFSET('＠グループ、表示名'!$H$4,MATCH('＠MFP (LSI name)'!AJ95,'＠グループ、表示名'!$D$4:$D$250,0)-1,0)))</f>
        <v/>
      </c>
      <c r="AK95" s="69" t="str">
        <f ca="1">IF('＠MFP (LSI name)'!AK95="","",IF(COUNTIF('＠MFP (LSI name)'!AK95,"Serial*")+COUNTIF('＠MFP (LSI name)'!AK95,"Analog*")&gt;0,'＠MFP (LSI name)'!AK95,OFFSET('＠グループ、表示名'!$H$4,MATCH('＠MFP (LSI name)'!AK95,'＠グループ、表示名'!$D$4:$D$250,0)-1,0)))</f>
        <v/>
      </c>
      <c r="AL95" s="9" t="str">
        <f t="shared" si="8"/>
        <v>IOP4MD[19]</v>
      </c>
      <c r="AM95" s="9" t="str">
        <f t="shared" si="9"/>
        <v>IOP4MD[18]</v>
      </c>
      <c r="AN95" s="9" t="str">
        <f t="shared" si="10"/>
        <v>IOP4MD[17]</v>
      </c>
      <c r="AO95" s="9" t="str">
        <f t="shared" si="11"/>
        <v>IOP4MD[16]</v>
      </c>
      <c r="AP95" s="86"/>
    </row>
    <row r="96" spans="1:42" ht="16.149999999999999">
      <c r="A96" s="61">
        <v>88</v>
      </c>
      <c r="B96" s="7">
        <v>88</v>
      </c>
      <c r="C96" s="7">
        <v>71</v>
      </c>
      <c r="D96" s="87"/>
      <c r="E96" s="87"/>
      <c r="F96" s="7">
        <v>88</v>
      </c>
      <c r="G96" s="7">
        <v>71</v>
      </c>
      <c r="H96" s="87"/>
      <c r="I96" s="45" t="s">
        <v>586</v>
      </c>
      <c r="J96" s="45" t="s">
        <v>587</v>
      </c>
      <c r="K96" s="69" t="str">
        <f ca="1">IF('＠MFP (LSI name)'!K96="","",IF(COUNTIF('＠MFP (LSI name)'!K96,"Serial*")+COUNTIF('＠MFP (LSI name)'!K96,"Analog*")&gt;0,'＠MFP (LSI name)'!K96,OFFSET('＠グループ、表示名'!$H$4,MATCH('＠MFP (LSI name)'!K96,'＠グループ、表示名'!$D$4:$D$250,0)-1,0)))</f>
        <v>Analog108</v>
      </c>
      <c r="L96" s="69" t="str">
        <f ca="1">IF('＠MFP (LSI name)'!L96="","",IF(COUNTIF('＠MFP (LSI name)'!L96,"Serial*")+COUNTIF('＠MFP (LSI name)'!L96,"Analog*")&gt;0,'＠MFP (LSI name)'!L96,OFFSET('＠グループ、表示名'!$H$4,MATCH('＠MFP (LSI name)'!L96,'＠グループ、表示名'!$D$4:$D$250,0)-1,0)))</f>
        <v/>
      </c>
      <c r="M96" s="69" t="str">
        <f ca="1">IF('＠MFP (LSI name)'!M96="","",IF(COUNTIF('＠MFP (LSI name)'!M96,"Serial*")+COUNTIF('＠MFP (LSI name)'!M96,"Analog*")&gt;0,'＠MFP (LSI name)'!M96,OFFSET('＠グループ、表示名'!$H$4,MATCH('＠MFP (LSI name)'!M96,'＠グループ、表示名'!$D$4:$D$250,0)-1,0)))</f>
        <v/>
      </c>
      <c r="N96" s="69" t="str">
        <f ca="1">IF('＠MFP (LSI name)'!N96="","",IF(COUNTIF('＠MFP (LSI name)'!N96,"Serial*")+COUNTIF('＠MFP (LSI name)'!N96,"Analog*")&gt;0,'＠MFP (LSI name)'!N96,OFFSET('＠グループ、表示名'!$H$4,MATCH('＠MFP (LSI name)'!N96,'＠グループ、表示名'!$D$4:$D$250,0)-1,0)))</f>
        <v/>
      </c>
      <c r="O96" s="69" t="str">
        <f ca="1">IF('＠MFP (LSI name)'!O96="","",IF(COUNTIF('＠MFP (LSI name)'!O96,"Serial*")+COUNTIF('＠MFP (LSI name)'!O96,"Analog*")&gt;0,'＠MFP (LSI name)'!O96,OFFSET('＠グループ、表示名'!$H$4,MATCH('＠MFP (LSI name)'!O96,'＠グループ、表示名'!$D$4:$D$250,0)-1,0)))</f>
        <v/>
      </c>
      <c r="P96" s="69" t="str">
        <f ca="1">IF('＠MFP (LSI name)'!P96="","",IF(COUNTIF('＠MFP (LSI name)'!P96,"Serial*")+COUNTIF('＠MFP (LSI name)'!P96,"Analog*")&gt;0,'＠MFP (LSI name)'!P96,OFFSET('＠グループ、表示名'!$H$4,MATCH('＠MFP (LSI name)'!P96,'＠グループ、表示名'!$D$4:$D$250,0)-1,0)))</f>
        <v/>
      </c>
      <c r="Q96" s="69" t="str">
        <f ca="1">IF('＠MFP (LSI name)'!Q96="","",IF(COUNTIF('＠MFP (LSI name)'!Q96,"Serial*")+COUNTIF('＠MFP (LSI name)'!Q96,"Analog*")&gt;0,'＠MFP (LSI name)'!Q96,OFFSET('＠グループ、表示名'!$H$4,MATCH('＠MFP (LSI name)'!Q96,'＠グループ、表示名'!$D$4:$D$250,0)-1,0)))</f>
        <v/>
      </c>
      <c r="R96" s="69" t="str">
        <f ca="1">IF('＠MFP (LSI name)'!R96="","",IF(COUNTIF('＠MFP (LSI name)'!R96,"Serial*")+COUNTIF('＠MFP (LSI name)'!R96,"Analog*")&gt;0,'＠MFP (LSI name)'!R96,OFFSET('＠グループ、表示名'!$H$4,MATCH('＠MFP (LSI name)'!R96,'＠グループ、表示名'!$D$4:$D$250,0)-1,0)))</f>
        <v/>
      </c>
      <c r="S96" s="69" t="str">
        <f ca="1">IF('＠MFP (LSI name)'!S96="","",IF(COUNTIF('＠MFP (LSI name)'!S96,"Serial*")+COUNTIF('＠MFP (LSI name)'!S96,"Analog*")&gt;0,'＠MFP (LSI name)'!S96,OFFSET('＠グループ、表示名'!$H$4,MATCH('＠MFP (LSI name)'!S96,'＠グループ、表示名'!$D$4:$D$250,0)-1,0)))</f>
        <v/>
      </c>
      <c r="T96" s="69" t="str">
        <f ca="1">IF('＠MFP (LSI name)'!T96="","",IF(COUNTIF('＠MFP (LSI name)'!T96,"Serial*")+COUNTIF('＠MFP (LSI name)'!T96,"Analog*")&gt;0,'＠MFP (LSI name)'!T96,OFFSET('＠グループ、表示名'!$H$4,MATCH('＠MFP (LSI name)'!T96,'＠グループ、表示名'!$D$4:$D$250,0)-1,0)))</f>
        <v/>
      </c>
      <c r="U96" s="69" t="str">
        <f ca="1">IF('＠MFP (LSI name)'!U96="","",IF(COUNTIF('＠MFP (LSI name)'!U96,"Serial*")+COUNTIF('＠MFP (LSI name)'!U96,"Analog*")&gt;0,'＠MFP (LSI name)'!U96,OFFSET('＠グループ、表示名'!$H$4,MATCH('＠MFP (LSI name)'!U96,'＠グループ、表示名'!$D$4:$D$250,0)-1,0)))</f>
        <v/>
      </c>
      <c r="V96" s="69" t="str">
        <f ca="1">IF('＠MFP (LSI name)'!V96="","",IF(COUNTIF('＠MFP (LSI name)'!V96,"Serial*")+COUNTIF('＠MFP (LSI name)'!V96,"Analog*")&gt;0,'＠MFP (LSI name)'!V96,OFFSET('＠グループ、表示名'!$H$4,MATCH('＠MFP (LSI name)'!V96,'＠グループ、表示名'!$D$4:$D$250,0)-1,0)))</f>
        <v>Analog108</v>
      </c>
      <c r="W96" s="69" t="str">
        <f ca="1">IF('＠MFP (LSI name)'!W96="","",IF(COUNTIF('＠MFP (LSI name)'!W96,"Serial*")+COUNTIF('＠MFP (LSI name)'!W96,"Analog*")&gt;0,'＠MFP (LSI name)'!W96,OFFSET('＠グループ、表示名'!$H$4,MATCH('＠MFP (LSI name)'!W96,'＠グループ、表示名'!$D$4:$D$250,0)-1,0)))</f>
        <v>ADIN03</v>
      </c>
      <c r="X96" s="69" t="str">
        <f ca="1">IF('＠MFP (LSI name)'!X96="","",IF(COUNTIF('＠MFP (LSI name)'!X96,"Serial*")+COUNTIF('＠MFP (LSI name)'!X96,"Analog*")&gt;0,'＠MFP (LSI name)'!X96,OFFSET('＠グループ、表示名'!$H$4,MATCH('＠MFP (LSI name)'!X96,'＠グループ、表示名'!$D$4:$D$250,0)-1,0)))</f>
        <v/>
      </c>
      <c r="Y96" s="18" t="str">
        <f ca="1">IF('＠MFP (LSI name)'!Y96="","",IF(COUNTIF('＠MFP (LSI name)'!Y96,"Serial*")+COUNTIF('＠MFP (LSI name)'!Y96,"Analog*")&gt;0,'＠MFP (LSI name)'!Y96,OFFSET('＠グループ、表示名'!$H$4,MATCH('＠MFP (LSI name)'!Y96,'＠グループ、表示名'!$D$4:$D$250,0)-1,0)))</f>
        <v/>
      </c>
      <c r="Z96" s="18" t="str">
        <f ca="1">IF('＠MFP (LSI name)'!Z96="","",IF(COUNTIF('＠MFP (LSI name)'!Z96,"Serial*")+COUNTIF('＠MFP (LSI name)'!Z96,"Analog*")&gt;0,'＠MFP (LSI name)'!Z96,OFFSET('＠グループ、表示名'!$H$4,MATCH('＠MFP (LSI name)'!Z96,'＠グループ、表示名'!$D$4:$D$250,0)-1,0)))</f>
        <v/>
      </c>
      <c r="AA96" s="69" t="str">
        <f ca="1">IF('＠MFP (LSI name)'!AA96="","",IF(COUNTIF('＠MFP (LSI name)'!AA96,"Serial*")+COUNTIF('＠MFP (LSI name)'!AA96,"Analog*")&gt;0,'＠MFP (LSI name)'!AA96,OFFSET('＠グループ、表示名'!$H$4,MATCH('＠MFP (LSI name)'!AA96,'＠グループ、表示名'!$D$4:$D$250,0)-1,0)))</f>
        <v/>
      </c>
      <c r="AB96" s="69" t="str">
        <f ca="1">IF('＠MFP (LSI name)'!AB96="","",IF(COUNTIF('＠MFP (LSI name)'!AB96,"Serial*")+COUNTIF('＠MFP (LSI name)'!AB96,"Analog*")&gt;0,'＠MFP (LSI name)'!AB96,OFFSET('＠グループ、表示名'!$H$4,MATCH('＠MFP (LSI name)'!AB96,'＠グループ、表示名'!$D$4:$D$250,0)-1,0)))</f>
        <v/>
      </c>
      <c r="AC96" s="69" t="str">
        <f ca="1">IF('＠MFP (LSI name)'!AC96="","",IF(COUNTIF('＠MFP (LSI name)'!AC96,"Serial*")+COUNTIF('＠MFP (LSI name)'!AC96,"Analog*")&gt;0,'＠MFP (LSI name)'!AC96,OFFSET('＠グループ、表示名'!$H$4,MATCH('＠MFP (LSI name)'!AC96,'＠グループ、表示名'!$D$4:$D$250,0)-1,0)))</f>
        <v/>
      </c>
      <c r="AD96" s="69" t="str">
        <f ca="1">IF('＠MFP (LSI name)'!AD96="","",IF(COUNTIF('＠MFP (LSI name)'!AD96,"Serial*")+COUNTIF('＠MFP (LSI name)'!AD96,"Analog*")&gt;0,'＠MFP (LSI name)'!AD96,OFFSET('＠グループ、表示名'!$H$4,MATCH('＠MFP (LSI name)'!AD96,'＠グループ、表示名'!$D$4:$D$250,0)-1,0)))</f>
        <v/>
      </c>
      <c r="AE96" s="18" t="str">
        <f ca="1">IF('＠MFP (LSI name)'!AE96="","",IF(COUNTIF('＠MFP (LSI name)'!AE96,"Serial*")+COUNTIF('＠MFP (LSI name)'!AE96,"Analog*")&gt;0,'＠MFP (LSI name)'!AE96,OFFSET('＠グループ、表示名'!$H$4,MATCH('＠MFP (LSI name)'!AE96,'＠グループ、表示名'!$D$4:$D$250,0)-1,0)))</f>
        <v/>
      </c>
      <c r="AF96" s="69" t="str">
        <f ca="1">IF('＠MFP (LSI name)'!AF96="","",IF(COUNTIF('＠MFP (LSI name)'!AF96,"Serial*")+COUNTIF('＠MFP (LSI name)'!AF96,"Analog*")&gt;0,'＠MFP (LSI name)'!AF96,OFFSET('＠グループ、表示名'!$H$4,MATCH('＠MFP (LSI name)'!AF96,'＠グループ、表示名'!$D$4:$D$250,0)-1,0)))</f>
        <v/>
      </c>
      <c r="AG96" s="69" t="str">
        <f ca="1">IF('＠MFP (LSI name)'!AG96="","",IF(COUNTIF('＠MFP (LSI name)'!AG96,"Serial*")+COUNTIF('＠MFP (LSI name)'!AG96,"Analog*")&gt;0,'＠MFP (LSI name)'!AG96,OFFSET('＠グループ、表示名'!$H$4,MATCH('＠MFP (LSI name)'!AG96,'＠グループ、表示名'!$D$4:$D$250,0)-1,0)))</f>
        <v/>
      </c>
      <c r="AH96" s="69" t="str">
        <f ca="1">IF('＠MFP (LSI name)'!AH96="","",IF(COUNTIF('＠MFP (LSI name)'!AH96,"Serial*")+COUNTIF('＠MFP (LSI name)'!AH96,"Analog*")&gt;0,'＠MFP (LSI name)'!AH96,OFFSET('＠グループ、表示名'!$H$4,MATCH('＠MFP (LSI name)'!AH96,'＠グループ、表示名'!$D$4:$D$250,0)-1,0)))</f>
        <v/>
      </c>
      <c r="AI96" s="69" t="str">
        <f ca="1">IF('＠MFP (LSI name)'!AI96="","",IF(COUNTIF('＠MFP (LSI name)'!AI96,"Serial*")+COUNTIF('＠MFP (LSI name)'!AI96,"Analog*")&gt;0,'＠MFP (LSI name)'!AI96,OFFSET('＠グループ、表示名'!$H$4,MATCH('＠MFP (LSI name)'!AI96,'＠グループ、表示名'!$D$4:$D$250,0)-1,0)))</f>
        <v/>
      </c>
      <c r="AJ96" s="18" t="str">
        <f ca="1">IF('＠MFP (LSI name)'!AJ96="","",IF(COUNTIF('＠MFP (LSI name)'!AJ96,"Serial*")+COUNTIF('＠MFP (LSI name)'!AJ96,"Analog*")&gt;0,'＠MFP (LSI name)'!AJ96,OFFSET('＠グループ、表示名'!$H$4,MATCH('＠MFP (LSI name)'!AJ96,'＠グループ、表示名'!$D$4:$D$250,0)-1,0)))</f>
        <v/>
      </c>
      <c r="AK96" s="69" t="str">
        <f ca="1">IF('＠MFP (LSI name)'!AK96="","",IF(COUNTIF('＠MFP (LSI name)'!AK96,"Serial*")+COUNTIF('＠MFP (LSI name)'!AK96,"Analog*")&gt;0,'＠MFP (LSI name)'!AK96,OFFSET('＠グループ、表示名'!$H$4,MATCH('＠MFP (LSI name)'!AK96,'＠グループ、表示名'!$D$4:$D$250,0)-1,0)))</f>
        <v/>
      </c>
      <c r="AL96" s="9" t="str">
        <f t="shared" si="8"/>
        <v>IOP4MD[15]</v>
      </c>
      <c r="AM96" s="9" t="str">
        <f t="shared" si="9"/>
        <v>IOP4MD[14]</v>
      </c>
      <c r="AN96" s="9" t="str">
        <f t="shared" si="10"/>
        <v>IOP4MD[13]</v>
      </c>
      <c r="AO96" s="9" t="str">
        <f t="shared" si="11"/>
        <v>IOP4MD[12]</v>
      </c>
      <c r="AP96" s="86"/>
    </row>
    <row r="97" spans="1:42" ht="16.149999999999999">
      <c r="A97" s="61">
        <v>89</v>
      </c>
      <c r="B97" s="7">
        <v>89</v>
      </c>
      <c r="C97" s="7">
        <v>72</v>
      </c>
      <c r="D97" s="87">
        <v>57</v>
      </c>
      <c r="E97" s="87">
        <v>43</v>
      </c>
      <c r="F97" s="7">
        <v>89</v>
      </c>
      <c r="G97" s="7">
        <v>72</v>
      </c>
      <c r="H97" s="87">
        <v>57</v>
      </c>
      <c r="I97" s="45" t="s">
        <v>588</v>
      </c>
      <c r="J97" s="45" t="s">
        <v>589</v>
      </c>
      <c r="K97" s="69" t="str">
        <f ca="1">IF('＠MFP (LSI name)'!K97="","",IF(COUNTIF('＠MFP (LSI name)'!K97,"Serial*")+COUNTIF('＠MFP (LSI name)'!K97,"Analog*")&gt;0,'＠MFP (LSI name)'!K97,OFFSET('＠グループ、表示名'!$H$4,MATCH('＠MFP (LSI name)'!K97,'＠グループ、表示名'!$D$4:$D$250,0)-1,0)))</f>
        <v>Analog109</v>
      </c>
      <c r="L97" s="69" t="str">
        <f ca="1">IF('＠MFP (LSI name)'!L97="","",IF(COUNTIF('＠MFP (LSI name)'!L97,"Serial*")+COUNTIF('＠MFP (LSI name)'!L97,"Analog*")&gt;0,'＠MFP (LSI name)'!L97,OFFSET('＠グループ、表示名'!$H$4,MATCH('＠MFP (LSI name)'!L97,'＠グループ、表示名'!$D$4:$D$250,0)-1,0)))</f>
        <v/>
      </c>
      <c r="M97" s="69" t="str">
        <f ca="1">IF('＠MFP (LSI name)'!M97="","",IF(COUNTIF('＠MFP (LSI name)'!M97,"Serial*")+COUNTIF('＠MFP (LSI name)'!M97,"Analog*")&gt;0,'＠MFP (LSI name)'!M97,OFFSET('＠グループ、表示名'!$H$4,MATCH('＠MFP (LSI name)'!M97,'＠グループ、表示名'!$D$4:$D$250,0)-1,0)))</f>
        <v/>
      </c>
      <c r="N97" s="69" t="str">
        <f ca="1">IF('＠MFP (LSI name)'!N97="","",IF(COUNTIF('＠MFP (LSI name)'!N97,"Serial*")+COUNTIF('＠MFP (LSI name)'!N97,"Analog*")&gt;0,'＠MFP (LSI name)'!N97,OFFSET('＠グループ、表示名'!$H$4,MATCH('＠MFP (LSI name)'!N97,'＠グループ、表示名'!$D$4:$D$250,0)-1,0)))</f>
        <v/>
      </c>
      <c r="O97" s="69" t="str">
        <f ca="1">IF('＠MFP (LSI name)'!O97="","",IF(COUNTIF('＠MFP (LSI name)'!O97,"Serial*")+COUNTIF('＠MFP (LSI name)'!O97,"Analog*")&gt;0,'＠MFP (LSI name)'!O97,OFFSET('＠グループ、表示名'!$H$4,MATCH('＠MFP (LSI name)'!O97,'＠グループ、表示名'!$D$4:$D$250,0)-1,0)))</f>
        <v/>
      </c>
      <c r="P97" s="69" t="str">
        <f ca="1">IF('＠MFP (LSI name)'!P97="","",IF(COUNTIF('＠MFP (LSI name)'!P97,"Serial*")+COUNTIF('＠MFP (LSI name)'!P97,"Analog*")&gt;0,'＠MFP (LSI name)'!P97,OFFSET('＠グループ、表示名'!$H$4,MATCH('＠MFP (LSI name)'!P97,'＠グループ、表示名'!$D$4:$D$250,0)-1,0)))</f>
        <v/>
      </c>
      <c r="Q97" s="69" t="str">
        <f ca="1">IF('＠MFP (LSI name)'!Q97="","",IF(COUNTIF('＠MFP (LSI name)'!Q97,"Serial*")+COUNTIF('＠MFP (LSI name)'!Q97,"Analog*")&gt;0,'＠MFP (LSI name)'!Q97,OFFSET('＠グループ、表示名'!$H$4,MATCH('＠MFP (LSI name)'!Q97,'＠グループ、表示名'!$D$4:$D$250,0)-1,0)))</f>
        <v/>
      </c>
      <c r="R97" s="69" t="str">
        <f ca="1">IF('＠MFP (LSI name)'!R97="","",IF(COUNTIF('＠MFP (LSI name)'!R97,"Serial*")+COUNTIF('＠MFP (LSI name)'!R97,"Analog*")&gt;0,'＠MFP (LSI name)'!R97,OFFSET('＠グループ、表示名'!$H$4,MATCH('＠MFP (LSI name)'!R97,'＠グループ、表示名'!$D$4:$D$250,0)-1,0)))</f>
        <v/>
      </c>
      <c r="S97" s="69" t="str">
        <f ca="1">IF('＠MFP (LSI name)'!S97="","",IF(COUNTIF('＠MFP (LSI name)'!S97,"Serial*")+COUNTIF('＠MFP (LSI name)'!S97,"Analog*")&gt;0,'＠MFP (LSI name)'!S97,OFFSET('＠グループ、表示名'!$H$4,MATCH('＠MFP (LSI name)'!S97,'＠グループ、表示名'!$D$4:$D$250,0)-1,0)))</f>
        <v/>
      </c>
      <c r="T97" s="69" t="str">
        <f ca="1">IF('＠MFP (LSI name)'!T97="","",IF(COUNTIF('＠MFP (LSI name)'!T97,"Serial*")+COUNTIF('＠MFP (LSI name)'!T97,"Analog*")&gt;0,'＠MFP (LSI name)'!T97,OFFSET('＠グループ、表示名'!$H$4,MATCH('＠MFP (LSI name)'!T97,'＠グループ、表示名'!$D$4:$D$250,0)-1,0)))</f>
        <v/>
      </c>
      <c r="U97" s="69" t="str">
        <f ca="1">IF('＠MFP (LSI name)'!U97="","",IF(COUNTIF('＠MFP (LSI name)'!U97,"Serial*")+COUNTIF('＠MFP (LSI name)'!U97,"Analog*")&gt;0,'＠MFP (LSI name)'!U97,OFFSET('＠グループ、表示名'!$H$4,MATCH('＠MFP (LSI name)'!U97,'＠グループ、表示名'!$D$4:$D$250,0)-1,0)))</f>
        <v/>
      </c>
      <c r="V97" s="69" t="str">
        <f ca="1">IF('＠MFP (LSI name)'!V97="","",IF(COUNTIF('＠MFP (LSI name)'!V97,"Serial*")+COUNTIF('＠MFP (LSI name)'!V97,"Analog*")&gt;0,'＠MFP (LSI name)'!V97,OFFSET('＠グループ、表示名'!$H$4,MATCH('＠MFP (LSI name)'!V97,'＠グループ、表示名'!$D$4:$D$250,0)-1,0)))</f>
        <v>Analog109</v>
      </c>
      <c r="W97" s="69" t="str">
        <f ca="1">IF('＠MFP (LSI name)'!W97="","",IF(COUNTIF('＠MFP (LSI name)'!W97,"Serial*")+COUNTIF('＠MFP (LSI name)'!W97,"Analog*")&gt;0,'＠MFP (LSI name)'!W97,OFFSET('＠グループ、表示名'!$H$4,MATCH('＠MFP (LSI name)'!W97,'＠グループ、表示名'!$D$4:$D$250,0)-1,0)))</f>
        <v>ADIN02</v>
      </c>
      <c r="X97" s="69" t="str">
        <f ca="1">IF('＠MFP (LSI name)'!X97="","",IF(COUNTIF('＠MFP (LSI name)'!X97,"Serial*")+COUNTIF('＠MFP (LSI name)'!X97,"Analog*")&gt;0,'＠MFP (LSI name)'!X97,OFFSET('＠グループ、表示名'!$H$4,MATCH('＠MFP (LSI name)'!X97,'＠グループ、表示名'!$D$4:$D$250,0)-1,0)))</f>
        <v>VGA0_VGAP02</v>
      </c>
      <c r="Y97" s="18" t="str">
        <f ca="1">IF('＠MFP (LSI name)'!Y97="","",IF(COUNTIF('＠MFP (LSI name)'!Y97,"Serial*")+COUNTIF('＠MFP (LSI name)'!Y97,"Analog*")&gt;0,'＠MFP (LSI name)'!Y97,OFFSET('＠グループ、表示名'!$H$4,MATCH('＠MFP (LSI name)'!Y97,'＠グループ、表示名'!$D$4:$D$250,0)-1,0)))</f>
        <v/>
      </c>
      <c r="Z97" s="18" t="str">
        <f ca="1">IF('＠MFP (LSI name)'!Z97="","",IF(COUNTIF('＠MFP (LSI name)'!Z97,"Serial*")+COUNTIF('＠MFP (LSI name)'!Z97,"Analog*")&gt;0,'＠MFP (LSI name)'!Z97,OFFSET('＠グループ、表示名'!$H$4,MATCH('＠MFP (LSI name)'!Z97,'＠グループ、表示名'!$D$4:$D$250,0)-1,0)))</f>
        <v/>
      </c>
      <c r="AA97" s="69" t="str">
        <f ca="1">IF('＠MFP (LSI name)'!AA97="","",IF(COUNTIF('＠MFP (LSI name)'!AA97,"Serial*")+COUNTIF('＠MFP (LSI name)'!AA97,"Analog*")&gt;0,'＠MFP (LSI name)'!AA97,OFFSET('＠グループ、表示名'!$H$4,MATCH('＠MFP (LSI name)'!AA97,'＠グループ、表示名'!$D$4:$D$250,0)-1,0)))</f>
        <v/>
      </c>
      <c r="AB97" s="69" t="str">
        <f ca="1">IF('＠MFP (LSI name)'!AB97="","",IF(COUNTIF('＠MFP (LSI name)'!AB97,"Serial*")+COUNTIF('＠MFP (LSI name)'!AB97,"Analog*")&gt;0,'＠MFP (LSI name)'!AB97,OFFSET('＠グループ、表示名'!$H$4,MATCH('＠MFP (LSI name)'!AB97,'＠グループ、表示名'!$D$4:$D$250,0)-1,0)))</f>
        <v/>
      </c>
      <c r="AC97" s="69" t="str">
        <f ca="1">IF('＠MFP (LSI name)'!AC97="","",IF(COUNTIF('＠MFP (LSI name)'!AC97,"Serial*")+COUNTIF('＠MFP (LSI name)'!AC97,"Analog*")&gt;0,'＠MFP (LSI name)'!AC97,OFFSET('＠グループ、表示名'!$H$4,MATCH('＠MFP (LSI name)'!AC97,'＠グループ、表示名'!$D$4:$D$250,0)-1,0)))</f>
        <v/>
      </c>
      <c r="AD97" s="69" t="str">
        <f ca="1">IF('＠MFP (LSI name)'!AD97="","",IF(COUNTIF('＠MFP (LSI name)'!AD97,"Serial*")+COUNTIF('＠MFP (LSI name)'!AD97,"Analog*")&gt;0,'＠MFP (LSI name)'!AD97,OFFSET('＠グループ、表示名'!$H$4,MATCH('＠MFP (LSI name)'!AD97,'＠グループ、表示名'!$D$4:$D$250,0)-1,0)))</f>
        <v/>
      </c>
      <c r="AE97" s="18" t="str">
        <f ca="1">IF('＠MFP (LSI name)'!AE97="","",IF(COUNTIF('＠MFP (LSI name)'!AE97,"Serial*")+COUNTIF('＠MFP (LSI name)'!AE97,"Analog*")&gt;0,'＠MFP (LSI name)'!AE97,OFFSET('＠グループ、表示名'!$H$4,MATCH('＠MFP (LSI name)'!AE97,'＠グループ、表示名'!$D$4:$D$250,0)-1,0)))</f>
        <v/>
      </c>
      <c r="AF97" s="69" t="str">
        <f ca="1">IF('＠MFP (LSI name)'!AF97="","",IF(COUNTIF('＠MFP (LSI name)'!AF97,"Serial*")+COUNTIF('＠MFP (LSI name)'!AF97,"Analog*")&gt;0,'＠MFP (LSI name)'!AF97,OFFSET('＠グループ、表示名'!$H$4,MATCH('＠MFP (LSI name)'!AF97,'＠グループ、表示名'!$D$4:$D$250,0)-1,0)))</f>
        <v/>
      </c>
      <c r="AG97" s="69" t="str">
        <f ca="1">IF('＠MFP (LSI name)'!AG97="","",IF(COUNTIF('＠MFP (LSI name)'!AG97,"Serial*")+COUNTIF('＠MFP (LSI name)'!AG97,"Analog*")&gt;0,'＠MFP (LSI name)'!AG97,OFFSET('＠グループ、表示名'!$H$4,MATCH('＠MFP (LSI name)'!AG97,'＠グループ、表示名'!$D$4:$D$250,0)-1,0)))</f>
        <v/>
      </c>
      <c r="AH97" s="69" t="str">
        <f ca="1">IF('＠MFP (LSI name)'!AH97="","",IF(COUNTIF('＠MFP (LSI name)'!AH97,"Serial*")+COUNTIF('＠MFP (LSI name)'!AH97,"Analog*")&gt;0,'＠MFP (LSI name)'!AH97,OFFSET('＠グループ、表示名'!$H$4,MATCH('＠MFP (LSI name)'!AH97,'＠グループ、表示名'!$D$4:$D$250,0)-1,0)))</f>
        <v/>
      </c>
      <c r="AI97" s="69" t="str">
        <f ca="1">IF('＠MFP (LSI name)'!AI97="","",IF(COUNTIF('＠MFP (LSI name)'!AI97,"Serial*")+COUNTIF('＠MFP (LSI name)'!AI97,"Analog*")&gt;0,'＠MFP (LSI name)'!AI97,OFFSET('＠グループ、表示名'!$H$4,MATCH('＠MFP (LSI name)'!AI97,'＠グループ、表示名'!$D$4:$D$250,0)-1,0)))</f>
        <v/>
      </c>
      <c r="AJ97" s="18" t="str">
        <f ca="1">IF('＠MFP (LSI name)'!AJ97="","",IF(COUNTIF('＠MFP (LSI name)'!AJ97,"Serial*")+COUNTIF('＠MFP (LSI name)'!AJ97,"Analog*")&gt;0,'＠MFP (LSI name)'!AJ97,OFFSET('＠グループ、表示名'!$H$4,MATCH('＠MFP (LSI name)'!AJ97,'＠グループ、表示名'!$D$4:$D$250,0)-1,0)))</f>
        <v/>
      </c>
      <c r="AK97" s="69" t="str">
        <f ca="1">IF('＠MFP (LSI name)'!AK97="","",IF(COUNTIF('＠MFP (LSI name)'!AK97,"Serial*")+COUNTIF('＠MFP (LSI name)'!AK97,"Analog*")&gt;0,'＠MFP (LSI name)'!AK97,OFFSET('＠グループ、表示名'!$H$4,MATCH('＠MFP (LSI name)'!AK97,'＠グループ、表示名'!$D$4:$D$250,0)-1,0)))</f>
        <v/>
      </c>
      <c r="AL97" s="9" t="str">
        <f t="shared" si="8"/>
        <v>IOP4MD[11]</v>
      </c>
      <c r="AM97" s="9" t="str">
        <f t="shared" si="9"/>
        <v>IOP4MD[10]</v>
      </c>
      <c r="AN97" s="9" t="str">
        <f t="shared" si="10"/>
        <v>IOP4MD[9]</v>
      </c>
      <c r="AO97" s="9" t="str">
        <f t="shared" si="11"/>
        <v>IOP4MD[8]</v>
      </c>
      <c r="AP97" s="86"/>
    </row>
    <row r="98" spans="1:42" ht="16.149999999999999">
      <c r="A98" s="61">
        <v>90</v>
      </c>
      <c r="B98" s="7">
        <v>90</v>
      </c>
      <c r="C98" s="7">
        <v>73</v>
      </c>
      <c r="D98" s="87">
        <v>58</v>
      </c>
      <c r="E98" s="87">
        <v>44</v>
      </c>
      <c r="F98" s="7">
        <v>90</v>
      </c>
      <c r="G98" s="7">
        <v>73</v>
      </c>
      <c r="H98" s="87">
        <v>58</v>
      </c>
      <c r="I98" s="45" t="s">
        <v>590</v>
      </c>
      <c r="J98" s="45" t="s">
        <v>591</v>
      </c>
      <c r="K98" s="69" t="str">
        <f ca="1">IF('＠MFP (LSI name)'!K98="","",IF(COUNTIF('＠MFP (LSI name)'!K98,"Serial*")+COUNTIF('＠MFP (LSI name)'!K98,"Analog*")&gt;0,'＠MFP (LSI name)'!K98,OFFSET('＠グループ、表示名'!$H$4,MATCH('＠MFP (LSI name)'!K98,'＠グループ、表示名'!$D$4:$D$250,0)-1,0)))</f>
        <v>Analog110</v>
      </c>
      <c r="L98" s="69" t="str">
        <f ca="1">IF('＠MFP (LSI name)'!L98="","",IF(COUNTIF('＠MFP (LSI name)'!L98,"Serial*")+COUNTIF('＠MFP (LSI name)'!L98,"Analog*")&gt;0,'＠MFP (LSI name)'!L98,OFFSET('＠グループ、表示名'!$H$4,MATCH('＠MFP (LSI name)'!L98,'＠グループ、表示名'!$D$4:$D$250,0)-1,0)))</f>
        <v/>
      </c>
      <c r="M98" s="69" t="str">
        <f ca="1">IF('＠MFP (LSI name)'!M98="","",IF(COUNTIF('＠MFP (LSI name)'!M98,"Serial*")+COUNTIF('＠MFP (LSI name)'!M98,"Analog*")&gt;0,'＠MFP (LSI name)'!M98,OFFSET('＠グループ、表示名'!$H$4,MATCH('＠MFP (LSI name)'!M98,'＠グループ、表示名'!$D$4:$D$250,0)-1,0)))</f>
        <v/>
      </c>
      <c r="N98" s="69" t="str">
        <f ca="1">IF('＠MFP (LSI name)'!N98="","",IF(COUNTIF('＠MFP (LSI name)'!N98,"Serial*")+COUNTIF('＠MFP (LSI name)'!N98,"Analog*")&gt;0,'＠MFP (LSI name)'!N98,OFFSET('＠グループ、表示名'!$H$4,MATCH('＠MFP (LSI name)'!N98,'＠グループ、表示名'!$D$4:$D$250,0)-1,0)))</f>
        <v/>
      </c>
      <c r="O98" s="69" t="str">
        <f ca="1">IF('＠MFP (LSI name)'!O98="","",IF(COUNTIF('＠MFP (LSI name)'!O98,"Serial*")+COUNTIF('＠MFP (LSI name)'!O98,"Analog*")&gt;0,'＠MFP (LSI name)'!O98,OFFSET('＠グループ、表示名'!$H$4,MATCH('＠MFP (LSI name)'!O98,'＠グループ、表示名'!$D$4:$D$250,0)-1,0)))</f>
        <v/>
      </c>
      <c r="P98" s="69" t="str">
        <f ca="1">IF('＠MFP (LSI name)'!P98="","",IF(COUNTIF('＠MFP (LSI name)'!P98,"Serial*")+COUNTIF('＠MFP (LSI name)'!P98,"Analog*")&gt;0,'＠MFP (LSI name)'!P98,OFFSET('＠グループ、表示名'!$H$4,MATCH('＠MFP (LSI name)'!P98,'＠グループ、表示名'!$D$4:$D$250,0)-1,0)))</f>
        <v/>
      </c>
      <c r="Q98" s="69" t="str">
        <f ca="1">IF('＠MFP (LSI name)'!Q98="","",IF(COUNTIF('＠MFP (LSI name)'!Q98,"Serial*")+COUNTIF('＠MFP (LSI name)'!Q98,"Analog*")&gt;0,'＠MFP (LSI name)'!Q98,OFFSET('＠グループ、表示名'!$H$4,MATCH('＠MFP (LSI name)'!Q98,'＠グループ、表示名'!$D$4:$D$250,0)-1,0)))</f>
        <v/>
      </c>
      <c r="R98" s="69" t="str">
        <f ca="1">IF('＠MFP (LSI name)'!R98="","",IF(COUNTIF('＠MFP (LSI name)'!R98,"Serial*")+COUNTIF('＠MFP (LSI name)'!R98,"Analog*")&gt;0,'＠MFP (LSI name)'!R98,OFFSET('＠グループ、表示名'!$H$4,MATCH('＠MFP (LSI name)'!R98,'＠グループ、表示名'!$D$4:$D$250,0)-1,0)))</f>
        <v/>
      </c>
      <c r="S98" s="69" t="str">
        <f ca="1">IF('＠MFP (LSI name)'!S98="","",IF(COUNTIF('＠MFP (LSI name)'!S98,"Serial*")+COUNTIF('＠MFP (LSI name)'!S98,"Analog*")&gt;0,'＠MFP (LSI name)'!S98,OFFSET('＠グループ、表示名'!$H$4,MATCH('＠MFP (LSI name)'!S98,'＠グループ、表示名'!$D$4:$D$250,0)-1,0)))</f>
        <v/>
      </c>
      <c r="T98" s="69" t="str">
        <f ca="1">IF('＠MFP (LSI name)'!T98="","",IF(COUNTIF('＠MFP (LSI name)'!T98,"Serial*")+COUNTIF('＠MFP (LSI name)'!T98,"Analog*")&gt;0,'＠MFP (LSI name)'!T98,OFFSET('＠グループ、表示名'!$H$4,MATCH('＠MFP (LSI name)'!T98,'＠グループ、表示名'!$D$4:$D$250,0)-1,0)))</f>
        <v/>
      </c>
      <c r="U98" s="69" t="str">
        <f ca="1">IF('＠MFP (LSI name)'!U98="","",IF(COUNTIF('＠MFP (LSI name)'!U98,"Serial*")+COUNTIF('＠MFP (LSI name)'!U98,"Analog*")&gt;0,'＠MFP (LSI name)'!U98,OFFSET('＠グループ、表示名'!$H$4,MATCH('＠MFP (LSI name)'!U98,'＠グループ、表示名'!$D$4:$D$250,0)-1,0)))</f>
        <v/>
      </c>
      <c r="V98" s="69" t="str">
        <f ca="1">IF('＠MFP (LSI name)'!V98="","",IF(COUNTIF('＠MFP (LSI name)'!V98,"Serial*")+COUNTIF('＠MFP (LSI name)'!V98,"Analog*")&gt;0,'＠MFP (LSI name)'!V98,OFFSET('＠グループ、表示名'!$H$4,MATCH('＠MFP (LSI name)'!V98,'＠グループ、表示名'!$D$4:$D$250,0)-1,0)))</f>
        <v>Analog110</v>
      </c>
      <c r="W98" s="69" t="str">
        <f ca="1">IF('＠MFP (LSI name)'!W98="","",IF(COUNTIF('＠MFP (LSI name)'!W98,"Serial*")+COUNTIF('＠MFP (LSI name)'!W98,"Analog*")&gt;0,'＠MFP (LSI name)'!W98,OFFSET('＠グループ、表示名'!$H$4,MATCH('＠MFP (LSI name)'!W98,'＠グループ、表示名'!$D$4:$D$250,0)-1,0)))</f>
        <v>ADIN01</v>
      </c>
      <c r="X98" s="69" t="str">
        <f ca="1">IF('＠MFP (LSI name)'!X98="","",IF(COUNTIF('＠MFP (LSI name)'!X98,"Serial*")+COUNTIF('＠MFP (LSI name)'!X98,"Analog*")&gt;0,'＠MFP (LSI name)'!X98,OFFSET('＠グループ、表示名'!$H$4,MATCH('＠MFP (LSI name)'!X98,'＠グループ、表示名'!$D$4:$D$250,0)-1,0)))</f>
        <v>VGA0_VGAP01</v>
      </c>
      <c r="Y98" s="18" t="str">
        <f ca="1">IF('＠MFP (LSI name)'!Y98="","",IF(COUNTIF('＠MFP (LSI name)'!Y98,"Serial*")+COUNTIF('＠MFP (LSI name)'!Y98,"Analog*")&gt;0,'＠MFP (LSI name)'!Y98,OFFSET('＠グループ、表示名'!$H$4,MATCH('＠MFP (LSI name)'!Y98,'＠グループ、表示名'!$D$4:$D$250,0)-1,0)))</f>
        <v/>
      </c>
      <c r="Z98" s="18" t="str">
        <f ca="1">IF('＠MFP (LSI name)'!Z98="","",IF(COUNTIF('＠MFP (LSI name)'!Z98,"Serial*")+COUNTIF('＠MFP (LSI name)'!Z98,"Analog*")&gt;0,'＠MFP (LSI name)'!Z98,OFFSET('＠グループ、表示名'!$H$4,MATCH('＠MFP (LSI name)'!Z98,'＠グループ、表示名'!$D$4:$D$250,0)-1,0)))</f>
        <v/>
      </c>
      <c r="AA98" s="69" t="str">
        <f ca="1">IF('＠MFP (LSI name)'!AA98="","",IF(COUNTIF('＠MFP (LSI name)'!AA98,"Serial*")+COUNTIF('＠MFP (LSI name)'!AA98,"Analog*")&gt;0,'＠MFP (LSI name)'!AA98,OFFSET('＠グループ、表示名'!$H$4,MATCH('＠MFP (LSI name)'!AA98,'＠グループ、表示名'!$D$4:$D$250,0)-1,0)))</f>
        <v/>
      </c>
      <c r="AB98" s="69" t="str">
        <f ca="1">IF('＠MFP (LSI name)'!AB98="","",IF(COUNTIF('＠MFP (LSI name)'!AB98,"Serial*")+COUNTIF('＠MFP (LSI name)'!AB98,"Analog*")&gt;0,'＠MFP (LSI name)'!AB98,OFFSET('＠グループ、表示名'!$H$4,MATCH('＠MFP (LSI name)'!AB98,'＠グループ、表示名'!$D$4:$D$250,0)-1,0)))</f>
        <v/>
      </c>
      <c r="AC98" s="69" t="str">
        <f ca="1">IF('＠MFP (LSI name)'!AC98="","",IF(COUNTIF('＠MFP (LSI name)'!AC98,"Serial*")+COUNTIF('＠MFP (LSI name)'!AC98,"Analog*")&gt;0,'＠MFP (LSI name)'!AC98,OFFSET('＠グループ、表示名'!$H$4,MATCH('＠MFP (LSI name)'!AC98,'＠グループ、表示名'!$D$4:$D$250,0)-1,0)))</f>
        <v/>
      </c>
      <c r="AD98" s="69" t="str">
        <f ca="1">IF('＠MFP (LSI name)'!AD98="","",IF(COUNTIF('＠MFP (LSI name)'!AD98,"Serial*")+COUNTIF('＠MFP (LSI name)'!AD98,"Analog*")&gt;0,'＠MFP (LSI name)'!AD98,OFFSET('＠グループ、表示名'!$H$4,MATCH('＠MFP (LSI name)'!AD98,'＠グループ、表示名'!$D$4:$D$250,0)-1,0)))</f>
        <v/>
      </c>
      <c r="AE98" s="18" t="str">
        <f ca="1">IF('＠MFP (LSI name)'!AE98="","",IF(COUNTIF('＠MFP (LSI name)'!AE98,"Serial*")+COUNTIF('＠MFP (LSI name)'!AE98,"Analog*")&gt;0,'＠MFP (LSI name)'!AE98,OFFSET('＠グループ、表示名'!$H$4,MATCH('＠MFP (LSI name)'!AE98,'＠グループ、表示名'!$D$4:$D$250,0)-1,0)))</f>
        <v/>
      </c>
      <c r="AF98" s="69" t="str">
        <f ca="1">IF('＠MFP (LSI name)'!AF98="","",IF(COUNTIF('＠MFP (LSI name)'!AF98,"Serial*")+COUNTIF('＠MFP (LSI name)'!AF98,"Analog*")&gt;0,'＠MFP (LSI name)'!AF98,OFFSET('＠グループ、表示名'!$H$4,MATCH('＠MFP (LSI name)'!AF98,'＠グループ、表示名'!$D$4:$D$250,0)-1,0)))</f>
        <v/>
      </c>
      <c r="AG98" s="69" t="str">
        <f ca="1">IF('＠MFP (LSI name)'!AG98="","",IF(COUNTIF('＠MFP (LSI name)'!AG98,"Serial*")+COUNTIF('＠MFP (LSI name)'!AG98,"Analog*")&gt;0,'＠MFP (LSI name)'!AG98,OFFSET('＠グループ、表示名'!$H$4,MATCH('＠MFP (LSI name)'!AG98,'＠グループ、表示名'!$D$4:$D$250,0)-1,0)))</f>
        <v/>
      </c>
      <c r="AH98" s="69" t="str">
        <f ca="1">IF('＠MFP (LSI name)'!AH98="","",IF(COUNTIF('＠MFP (LSI name)'!AH98,"Serial*")+COUNTIF('＠MFP (LSI name)'!AH98,"Analog*")&gt;0,'＠MFP (LSI name)'!AH98,OFFSET('＠グループ、表示名'!$H$4,MATCH('＠MFP (LSI name)'!AH98,'＠グループ、表示名'!$D$4:$D$250,0)-1,0)))</f>
        <v/>
      </c>
      <c r="AI98" s="69" t="str">
        <f ca="1">IF('＠MFP (LSI name)'!AI98="","",IF(COUNTIF('＠MFP (LSI name)'!AI98,"Serial*")+COUNTIF('＠MFP (LSI name)'!AI98,"Analog*")&gt;0,'＠MFP (LSI name)'!AI98,OFFSET('＠グループ、表示名'!$H$4,MATCH('＠MFP (LSI name)'!AI98,'＠グループ、表示名'!$D$4:$D$250,0)-1,0)))</f>
        <v/>
      </c>
      <c r="AJ98" s="18" t="str">
        <f ca="1">IF('＠MFP (LSI name)'!AJ98="","",IF(COUNTIF('＠MFP (LSI name)'!AJ98,"Serial*")+COUNTIF('＠MFP (LSI name)'!AJ98,"Analog*")&gt;0,'＠MFP (LSI name)'!AJ98,OFFSET('＠グループ、表示名'!$H$4,MATCH('＠MFP (LSI name)'!AJ98,'＠グループ、表示名'!$D$4:$D$250,0)-1,0)))</f>
        <v/>
      </c>
      <c r="AK98" s="69" t="str">
        <f ca="1">IF('＠MFP (LSI name)'!AK98="","",IF(COUNTIF('＠MFP (LSI name)'!AK98,"Serial*")+COUNTIF('＠MFP (LSI name)'!AK98,"Analog*")&gt;0,'＠MFP (LSI name)'!AK98,OFFSET('＠グループ、表示名'!$H$4,MATCH('＠MFP (LSI name)'!AK98,'＠グループ、表示名'!$D$4:$D$250,0)-1,0)))</f>
        <v/>
      </c>
      <c r="AL98" s="9" t="str">
        <f t="shared" si="8"/>
        <v>IOP4MD[7]</v>
      </c>
      <c r="AM98" s="9" t="str">
        <f t="shared" si="9"/>
        <v>IOP4MD[6]</v>
      </c>
      <c r="AN98" s="9" t="str">
        <f t="shared" si="10"/>
        <v>IOP4MD[5]</v>
      </c>
      <c r="AO98" s="9" t="str">
        <f t="shared" si="11"/>
        <v>IOP4MD[4]</v>
      </c>
      <c r="AP98" s="86"/>
    </row>
    <row r="99" spans="1:42" ht="16.149999999999999">
      <c r="A99" s="61">
        <v>91</v>
      </c>
      <c r="B99" s="7">
        <v>91</v>
      </c>
      <c r="C99" s="7">
        <v>74</v>
      </c>
      <c r="D99" s="87">
        <v>59</v>
      </c>
      <c r="E99" s="87">
        <v>45</v>
      </c>
      <c r="F99" s="7">
        <v>91</v>
      </c>
      <c r="G99" s="7">
        <v>74</v>
      </c>
      <c r="H99" s="87">
        <v>59</v>
      </c>
      <c r="I99" s="45" t="s">
        <v>592</v>
      </c>
      <c r="J99" s="45" t="s">
        <v>593</v>
      </c>
      <c r="K99" s="69" t="str">
        <f ca="1">IF('＠MFP (LSI name)'!K99="","",IF(COUNTIF('＠MFP (LSI name)'!K99,"Serial*")+COUNTIF('＠MFP (LSI name)'!K99,"Analog*")&gt;0,'＠MFP (LSI name)'!K99,OFFSET('＠グループ、表示名'!$H$4,MATCH('＠MFP (LSI name)'!K99,'＠グループ、表示名'!$D$4:$D$250,0)-1,0)))</f>
        <v>Analog111</v>
      </c>
      <c r="L99" s="69" t="str">
        <f ca="1">IF('＠MFP (LSI name)'!L99="","",IF(COUNTIF('＠MFP (LSI name)'!L99,"Serial*")+COUNTIF('＠MFP (LSI name)'!L99,"Analog*")&gt;0,'＠MFP (LSI name)'!L99,OFFSET('＠グループ、表示名'!$H$4,MATCH('＠MFP (LSI name)'!L99,'＠グループ、表示名'!$D$4:$D$250,0)-1,0)))</f>
        <v/>
      </c>
      <c r="M99" s="69" t="str">
        <f ca="1">IF('＠MFP (LSI name)'!M99="","",IF(COUNTIF('＠MFP (LSI name)'!M99,"Serial*")+COUNTIF('＠MFP (LSI name)'!M99,"Analog*")&gt;0,'＠MFP (LSI name)'!M99,OFFSET('＠グループ、表示名'!$H$4,MATCH('＠MFP (LSI name)'!M99,'＠グループ、表示名'!$D$4:$D$250,0)-1,0)))</f>
        <v/>
      </c>
      <c r="N99" s="69" t="str">
        <f ca="1">IF('＠MFP (LSI name)'!N99="","",IF(COUNTIF('＠MFP (LSI name)'!N99,"Serial*")+COUNTIF('＠MFP (LSI name)'!N99,"Analog*")&gt;0,'＠MFP (LSI name)'!N99,OFFSET('＠グループ、表示名'!$H$4,MATCH('＠MFP (LSI name)'!N99,'＠グループ、表示名'!$D$4:$D$250,0)-1,0)))</f>
        <v/>
      </c>
      <c r="O99" s="69" t="str">
        <f ca="1">IF('＠MFP (LSI name)'!O99="","",IF(COUNTIF('＠MFP (LSI name)'!O99,"Serial*")+COUNTIF('＠MFP (LSI name)'!O99,"Analog*")&gt;0,'＠MFP (LSI name)'!O99,OFFSET('＠グループ、表示名'!$H$4,MATCH('＠MFP (LSI name)'!O99,'＠グループ、表示名'!$D$4:$D$250,0)-1,0)))</f>
        <v/>
      </c>
      <c r="P99" s="69" t="str">
        <f ca="1">IF('＠MFP (LSI name)'!P99="","",IF(COUNTIF('＠MFP (LSI name)'!P99,"Serial*")+COUNTIF('＠MFP (LSI name)'!P99,"Analog*")&gt;0,'＠MFP (LSI name)'!P99,OFFSET('＠グループ、表示名'!$H$4,MATCH('＠MFP (LSI name)'!P99,'＠グループ、表示名'!$D$4:$D$250,0)-1,0)))</f>
        <v/>
      </c>
      <c r="Q99" s="69" t="str">
        <f ca="1">IF('＠MFP (LSI name)'!Q99="","",IF(COUNTIF('＠MFP (LSI name)'!Q99,"Serial*")+COUNTIF('＠MFP (LSI name)'!Q99,"Analog*")&gt;0,'＠MFP (LSI name)'!Q99,OFFSET('＠グループ、表示名'!$H$4,MATCH('＠MFP (LSI name)'!Q99,'＠グループ、表示名'!$D$4:$D$250,0)-1,0)))</f>
        <v/>
      </c>
      <c r="R99" s="69" t="str">
        <f ca="1">IF('＠MFP (LSI name)'!R99="","",IF(COUNTIF('＠MFP (LSI name)'!R99,"Serial*")+COUNTIF('＠MFP (LSI name)'!R99,"Analog*")&gt;0,'＠MFP (LSI name)'!R99,OFFSET('＠グループ、表示名'!$H$4,MATCH('＠MFP (LSI name)'!R99,'＠グループ、表示名'!$D$4:$D$250,0)-1,0)))</f>
        <v/>
      </c>
      <c r="S99" s="69" t="str">
        <f ca="1">IF('＠MFP (LSI name)'!S99="","",IF(COUNTIF('＠MFP (LSI name)'!S99,"Serial*")+COUNTIF('＠MFP (LSI name)'!S99,"Analog*")&gt;0,'＠MFP (LSI name)'!S99,OFFSET('＠グループ、表示名'!$H$4,MATCH('＠MFP (LSI name)'!S99,'＠グループ、表示名'!$D$4:$D$250,0)-1,0)))</f>
        <v/>
      </c>
      <c r="T99" s="69" t="str">
        <f ca="1">IF('＠MFP (LSI name)'!T99="","",IF(COUNTIF('＠MFP (LSI name)'!T99,"Serial*")+COUNTIF('＠MFP (LSI name)'!T99,"Analog*")&gt;0,'＠MFP (LSI name)'!T99,OFFSET('＠グループ、表示名'!$H$4,MATCH('＠MFP (LSI name)'!T99,'＠グループ、表示名'!$D$4:$D$250,0)-1,0)))</f>
        <v/>
      </c>
      <c r="U99" s="69" t="str">
        <f ca="1">IF('＠MFP (LSI name)'!U99="","",IF(COUNTIF('＠MFP (LSI name)'!U99,"Serial*")+COUNTIF('＠MFP (LSI name)'!U99,"Analog*")&gt;0,'＠MFP (LSI name)'!U99,OFFSET('＠グループ、表示名'!$H$4,MATCH('＠MFP (LSI name)'!U99,'＠グループ、表示名'!$D$4:$D$250,0)-1,0)))</f>
        <v/>
      </c>
      <c r="V99" s="69" t="str">
        <f ca="1">IF('＠MFP (LSI name)'!V99="","",IF(COUNTIF('＠MFP (LSI name)'!V99,"Serial*")+COUNTIF('＠MFP (LSI name)'!V99,"Analog*")&gt;0,'＠MFP (LSI name)'!V99,OFFSET('＠グループ、表示名'!$H$4,MATCH('＠MFP (LSI name)'!V99,'＠グループ、表示名'!$D$4:$D$250,0)-1,0)))</f>
        <v>Analog111</v>
      </c>
      <c r="W99" s="69" t="str">
        <f ca="1">IF('＠MFP (LSI name)'!W99="","",IF(COUNTIF('＠MFP (LSI name)'!W99,"Serial*")+COUNTIF('＠MFP (LSI name)'!W99,"Analog*")&gt;0,'＠MFP (LSI name)'!W99,OFFSET('＠グループ、表示名'!$H$4,MATCH('＠MFP (LSI name)'!W99,'＠グループ、表示名'!$D$4:$D$250,0)-1,0)))</f>
        <v>ADIN00</v>
      </c>
      <c r="X99" s="69" t="str">
        <f ca="1">IF('＠MFP (LSI name)'!X99="","",IF(COUNTIF('＠MFP (LSI name)'!X99,"Serial*")+COUNTIF('＠MFP (LSI name)'!X99,"Analog*")&gt;0,'＠MFP (LSI name)'!X99,OFFSET('＠グループ、表示名'!$H$4,MATCH('＠MFP (LSI name)'!X99,'＠グループ、表示名'!$D$4:$D$250,0)-1,0)))</f>
        <v>VGA0_VGAP00</v>
      </c>
      <c r="Y99" s="18" t="str">
        <f ca="1">IF('＠MFP (LSI name)'!Y99="","",IF(COUNTIF('＠MFP (LSI name)'!Y99,"Serial*")+COUNTIF('＠MFP (LSI name)'!Y99,"Analog*")&gt;0,'＠MFP (LSI name)'!Y99,OFFSET('＠グループ、表示名'!$H$4,MATCH('＠MFP (LSI name)'!Y99,'＠グループ、表示名'!$D$4:$D$250,0)-1,0)))</f>
        <v>CMP0_CMPIN01</v>
      </c>
      <c r="Z99" s="18" t="str">
        <f ca="1">IF('＠MFP (LSI name)'!Z99="","",IF(COUNTIF('＠MFP (LSI name)'!Z99,"Serial*")+COUNTIF('＠MFP (LSI name)'!Z99,"Analog*")&gt;0,'＠MFP (LSI name)'!Z99,OFFSET('＠グループ、表示名'!$H$4,MATCH('＠MFP (LSI name)'!Z99,'＠グループ、表示名'!$D$4:$D$250,0)-1,0)))</f>
        <v/>
      </c>
      <c r="AA99" s="69" t="str">
        <f ca="1">IF('＠MFP (LSI name)'!AA99="","",IF(COUNTIF('＠MFP (LSI name)'!AA99,"Serial*")+COUNTIF('＠MFP (LSI name)'!AA99,"Analog*")&gt;0,'＠MFP (LSI name)'!AA99,OFFSET('＠グループ、表示名'!$H$4,MATCH('＠MFP (LSI name)'!AA99,'＠グループ、表示名'!$D$4:$D$250,0)-1,0)))</f>
        <v/>
      </c>
      <c r="AB99" s="69" t="str">
        <f ca="1">IF('＠MFP (LSI name)'!AB99="","",IF(COUNTIF('＠MFP (LSI name)'!AB99,"Serial*")+COUNTIF('＠MFP (LSI name)'!AB99,"Analog*")&gt;0,'＠MFP (LSI name)'!AB99,OFFSET('＠グループ、表示名'!$H$4,MATCH('＠MFP (LSI name)'!AB99,'＠グループ、表示名'!$D$4:$D$250,0)-1,0)))</f>
        <v/>
      </c>
      <c r="AC99" s="69" t="str">
        <f ca="1">IF('＠MFP (LSI name)'!AC99="","",IF(COUNTIF('＠MFP (LSI name)'!AC99,"Serial*")+COUNTIF('＠MFP (LSI name)'!AC99,"Analog*")&gt;0,'＠MFP (LSI name)'!AC99,OFFSET('＠グループ、表示名'!$H$4,MATCH('＠MFP (LSI name)'!AC99,'＠グループ、表示名'!$D$4:$D$250,0)-1,0)))</f>
        <v/>
      </c>
      <c r="AD99" s="69" t="str">
        <f ca="1">IF('＠MFP (LSI name)'!AD99="","",IF(COUNTIF('＠MFP (LSI name)'!AD99,"Serial*")+COUNTIF('＠MFP (LSI name)'!AD99,"Analog*")&gt;0,'＠MFP (LSI name)'!AD99,OFFSET('＠グループ、表示名'!$H$4,MATCH('＠MFP (LSI name)'!AD99,'＠グループ、表示名'!$D$4:$D$250,0)-1,0)))</f>
        <v/>
      </c>
      <c r="AE99" s="18" t="str">
        <f ca="1">IF('＠MFP (LSI name)'!AE99="","",IF(COUNTIF('＠MFP (LSI name)'!AE99,"Serial*")+COUNTIF('＠MFP (LSI name)'!AE99,"Analog*")&gt;0,'＠MFP (LSI name)'!AE99,OFFSET('＠グループ、表示名'!$H$4,MATCH('＠MFP (LSI name)'!AE99,'＠グループ、表示名'!$D$4:$D$250,0)-1,0)))</f>
        <v/>
      </c>
      <c r="AF99" s="69" t="str">
        <f ca="1">IF('＠MFP (LSI name)'!AF99="","",IF(COUNTIF('＠MFP (LSI name)'!AF99,"Serial*")+COUNTIF('＠MFP (LSI name)'!AF99,"Analog*")&gt;0,'＠MFP (LSI name)'!AF99,OFFSET('＠グループ、表示名'!$H$4,MATCH('＠MFP (LSI name)'!AF99,'＠グループ、表示名'!$D$4:$D$250,0)-1,0)))</f>
        <v/>
      </c>
      <c r="AG99" s="69" t="str">
        <f ca="1">IF('＠MFP (LSI name)'!AG99="","",IF(COUNTIF('＠MFP (LSI name)'!AG99,"Serial*")+COUNTIF('＠MFP (LSI name)'!AG99,"Analog*")&gt;0,'＠MFP (LSI name)'!AG99,OFFSET('＠グループ、表示名'!$H$4,MATCH('＠MFP (LSI name)'!AG99,'＠グループ、表示名'!$D$4:$D$250,0)-1,0)))</f>
        <v/>
      </c>
      <c r="AH99" s="69" t="str">
        <f ca="1">IF('＠MFP (LSI name)'!AH99="","",IF(COUNTIF('＠MFP (LSI name)'!AH99,"Serial*")+COUNTIF('＠MFP (LSI name)'!AH99,"Analog*")&gt;0,'＠MFP (LSI name)'!AH99,OFFSET('＠グループ、表示名'!$H$4,MATCH('＠MFP (LSI name)'!AH99,'＠グループ、表示名'!$D$4:$D$250,0)-1,0)))</f>
        <v/>
      </c>
      <c r="AI99" s="69" t="str">
        <f ca="1">IF('＠MFP (LSI name)'!AI99="","",IF(COUNTIF('＠MFP (LSI name)'!AI99,"Serial*")+COUNTIF('＠MFP (LSI name)'!AI99,"Analog*")&gt;0,'＠MFP (LSI name)'!AI99,OFFSET('＠グループ、表示名'!$H$4,MATCH('＠MFP (LSI name)'!AI99,'＠グループ、表示名'!$D$4:$D$250,0)-1,0)))</f>
        <v/>
      </c>
      <c r="AJ99" s="18" t="str">
        <f ca="1">IF('＠MFP (LSI name)'!AJ99="","",IF(COUNTIF('＠MFP (LSI name)'!AJ99,"Serial*")+COUNTIF('＠MFP (LSI name)'!AJ99,"Analog*")&gt;0,'＠MFP (LSI name)'!AJ99,OFFSET('＠グループ、表示名'!$H$4,MATCH('＠MFP (LSI name)'!AJ99,'＠グループ、表示名'!$D$4:$D$250,0)-1,0)))</f>
        <v/>
      </c>
      <c r="AK99" s="69" t="str">
        <f ca="1">IF('＠MFP (LSI name)'!AK99="","",IF(COUNTIF('＠MFP (LSI name)'!AK99,"Serial*")+COUNTIF('＠MFP (LSI name)'!AK99,"Analog*")&gt;0,'＠MFP (LSI name)'!AK99,OFFSET('＠グループ、表示名'!$H$4,MATCH('＠MFP (LSI name)'!AK99,'＠グループ、表示名'!$D$4:$D$250,0)-1,0)))</f>
        <v/>
      </c>
      <c r="AL99" s="9" t="str">
        <f t="shared" si="8"/>
        <v>IOP4MD[3]</v>
      </c>
      <c r="AM99" s="9" t="str">
        <f t="shared" si="9"/>
        <v>IOP4MD[2]</v>
      </c>
      <c r="AN99" s="9" t="str">
        <f t="shared" si="10"/>
        <v>IOP4MD[1]</v>
      </c>
      <c r="AO99" s="9" t="str">
        <f t="shared" si="11"/>
        <v>IOP4MD[0]</v>
      </c>
      <c r="AP99" s="86"/>
    </row>
    <row r="100" spans="1:42" ht="16.149999999999999">
      <c r="A100" s="61">
        <v>92</v>
      </c>
      <c r="B100" s="7">
        <v>92</v>
      </c>
      <c r="C100" s="7">
        <v>75</v>
      </c>
      <c r="D100" s="87">
        <v>60</v>
      </c>
      <c r="E100" s="87">
        <v>46</v>
      </c>
      <c r="F100" s="7">
        <v>92</v>
      </c>
      <c r="G100" s="7">
        <v>75</v>
      </c>
      <c r="H100" s="87">
        <v>60</v>
      </c>
      <c r="I100" s="45" t="s">
        <v>216</v>
      </c>
      <c r="J100" s="45" t="s">
        <v>217</v>
      </c>
      <c r="K100" s="69" t="str">
        <f ca="1">IF('＠MFP (LSI name)'!K100="","",IF(COUNTIF('＠MFP (LSI name)'!K100,"Serial*")+COUNTIF('＠MFP (LSI name)'!K100,"Analog*")&gt;0,'＠MFP (LSI name)'!K100,OFFSET('＠グループ、表示名'!$H$4,MATCH('＠MFP (LSI name)'!K100,'＠グループ、表示名'!$D$4:$D$250,0)-1,0)))</f>
        <v>Analog112</v>
      </c>
      <c r="L100" s="69" t="str">
        <f ca="1">IF('＠MFP (LSI name)'!L100="","",IF(COUNTIF('＠MFP (LSI name)'!L100,"Serial*")+COUNTIF('＠MFP (LSI name)'!L100,"Analog*")&gt;0,'＠MFP (LSI name)'!L100,OFFSET('＠グループ、表示名'!$H$4,MATCH('＠MFP (LSI name)'!L100,'＠グループ、表示名'!$D$4:$D$250,0)-1,0)))</f>
        <v/>
      </c>
      <c r="M100" s="69" t="str">
        <f ca="1">IF('＠MFP (LSI name)'!M100="","",IF(COUNTIF('＠MFP (LSI name)'!M100,"Serial*")+COUNTIF('＠MFP (LSI name)'!M100,"Analog*")&gt;0,'＠MFP (LSI name)'!M100,OFFSET('＠グループ、表示名'!$H$4,MATCH('＠MFP (LSI name)'!M100,'＠グループ、表示名'!$D$4:$D$250,0)-1,0)))</f>
        <v/>
      </c>
      <c r="N100" s="69" t="str">
        <f ca="1">IF('＠MFP (LSI name)'!N100="","",IF(COUNTIF('＠MFP (LSI name)'!N100,"Serial*")+COUNTIF('＠MFP (LSI name)'!N100,"Analog*")&gt;0,'＠MFP (LSI name)'!N100,OFFSET('＠グループ、表示名'!$H$4,MATCH('＠MFP (LSI name)'!N100,'＠グループ、表示名'!$D$4:$D$250,0)-1,0)))</f>
        <v/>
      </c>
      <c r="O100" s="69" t="str">
        <f ca="1">IF('＠MFP (LSI name)'!O100="","",IF(COUNTIF('＠MFP (LSI name)'!O100,"Serial*")+COUNTIF('＠MFP (LSI name)'!O100,"Analog*")&gt;0,'＠MFP (LSI name)'!O100,OFFSET('＠グループ、表示名'!$H$4,MATCH('＠MFP (LSI name)'!O100,'＠グループ、表示名'!$D$4:$D$250,0)-1,0)))</f>
        <v/>
      </c>
      <c r="P100" s="69" t="str">
        <f ca="1">IF('＠MFP (LSI name)'!P100="","",IF(COUNTIF('＠MFP (LSI name)'!P100,"Serial*")+COUNTIF('＠MFP (LSI name)'!P100,"Analog*")&gt;0,'＠MFP (LSI name)'!P100,OFFSET('＠グループ、表示名'!$H$4,MATCH('＠MFP (LSI name)'!P100,'＠グループ、表示名'!$D$4:$D$250,0)-1,0)))</f>
        <v/>
      </c>
      <c r="Q100" s="69" t="str">
        <f ca="1">IF('＠MFP (LSI name)'!Q100="","",IF(COUNTIF('＠MFP (LSI name)'!Q100,"Serial*")+COUNTIF('＠MFP (LSI name)'!Q100,"Analog*")&gt;0,'＠MFP (LSI name)'!Q100,OFFSET('＠グループ、表示名'!$H$4,MATCH('＠MFP (LSI name)'!Q100,'＠グループ、表示名'!$D$4:$D$250,0)-1,0)))</f>
        <v/>
      </c>
      <c r="R100" s="69" t="str">
        <f ca="1">IF('＠MFP (LSI name)'!R100="","",IF(COUNTIF('＠MFP (LSI name)'!R100,"Serial*")+COUNTIF('＠MFP (LSI name)'!R100,"Analog*")&gt;0,'＠MFP (LSI name)'!R100,OFFSET('＠グループ、表示名'!$H$4,MATCH('＠MFP (LSI name)'!R100,'＠グループ、表示名'!$D$4:$D$250,0)-1,0)))</f>
        <v/>
      </c>
      <c r="S100" s="69" t="str">
        <f ca="1">IF('＠MFP (LSI name)'!S100="","",IF(COUNTIF('＠MFP (LSI name)'!S100,"Serial*")+COUNTIF('＠MFP (LSI name)'!S100,"Analog*")&gt;0,'＠MFP (LSI name)'!S100,OFFSET('＠グループ、表示名'!$H$4,MATCH('＠MFP (LSI name)'!S100,'＠グループ、表示名'!$D$4:$D$250,0)-1,0)))</f>
        <v/>
      </c>
      <c r="T100" s="69" t="str">
        <f ca="1">IF('＠MFP (LSI name)'!T100="","",IF(COUNTIF('＠MFP (LSI name)'!T100,"Serial*")+COUNTIF('＠MFP (LSI name)'!T100,"Analog*")&gt;0,'＠MFP (LSI name)'!T100,OFFSET('＠グループ、表示名'!$H$4,MATCH('＠MFP (LSI name)'!T100,'＠グループ、表示名'!$D$4:$D$250,0)-1,0)))</f>
        <v/>
      </c>
      <c r="U100" s="69" t="str">
        <f ca="1">IF('＠MFP (LSI name)'!U100="","",IF(COUNTIF('＠MFP (LSI name)'!U100,"Serial*")+COUNTIF('＠MFP (LSI name)'!U100,"Analog*")&gt;0,'＠MFP (LSI name)'!U100,OFFSET('＠グループ、表示名'!$H$4,MATCH('＠MFP (LSI name)'!U100,'＠グループ、表示名'!$D$4:$D$250,0)-1,0)))</f>
        <v/>
      </c>
      <c r="V100" s="69" t="str">
        <f ca="1">IF('＠MFP (LSI name)'!V100="","",IF(COUNTIF('＠MFP (LSI name)'!V100,"Serial*")+COUNTIF('＠MFP (LSI name)'!V100,"Analog*")&gt;0,'＠MFP (LSI name)'!V100,OFFSET('＠グループ、表示名'!$H$4,MATCH('＠MFP (LSI name)'!V100,'＠グループ、表示名'!$D$4:$D$250,0)-1,0)))</f>
        <v>Analog112</v>
      </c>
      <c r="W100" s="69" t="str">
        <f ca="1">IF('＠MFP (LSI name)'!W100="","",IF(COUNTIF('＠MFP (LSI name)'!W100,"Serial*")+COUNTIF('＠MFP (LSI name)'!W100,"Analog*")&gt;0,'＠MFP (LSI name)'!W100,OFFSET('＠グループ、表示名'!$H$4,MATCH('＠MFP (LSI name)'!W100,'＠グループ、表示名'!$D$4:$D$250,0)-1,0)))</f>
        <v>ADIN22</v>
      </c>
      <c r="X100" s="69" t="str">
        <f ca="1">IF('＠MFP (LSI name)'!X100="","",IF(COUNTIF('＠MFP (LSI name)'!X100,"Serial*")+COUNTIF('＠MFP (LSI name)'!X100,"Analog*")&gt;0,'＠MFP (LSI name)'!X100,OFFSET('＠グループ、表示名'!$H$4,MATCH('＠MFP (LSI name)'!X100,'＠グループ、表示名'!$D$4:$D$250,0)-1,0)))</f>
        <v>VGA0_VGAN0</v>
      </c>
      <c r="Y100" s="18" t="str">
        <f ca="1">IF('＠MFP (LSI name)'!Y100="","",IF(COUNTIF('＠MFP (LSI name)'!Y100,"Serial*")+COUNTIF('＠MFP (LSI name)'!Y100,"Analog*")&gt;0,'＠MFP (LSI name)'!Y100,OFFSET('＠グループ、表示名'!$H$4,MATCH('＠MFP (LSI name)'!Y100,'＠グループ、表示名'!$D$4:$D$250,0)-1,0)))</f>
        <v>CMP0_CMPIN00</v>
      </c>
      <c r="Z100" s="18" t="str">
        <f ca="1">IF('＠MFP (LSI name)'!Z100="","",IF(COUNTIF('＠MFP (LSI name)'!Z100,"Serial*")+COUNTIF('＠MFP (LSI name)'!Z100,"Analog*")&gt;0,'＠MFP (LSI name)'!Z100,OFFSET('＠グループ、表示名'!$H$4,MATCH('＠MFP (LSI name)'!Z100,'＠グループ、表示名'!$D$4:$D$250,0)-1,0)))</f>
        <v>CMP0_CMPREF00</v>
      </c>
      <c r="AA100" s="69" t="str">
        <f ca="1">IF('＠MFP (LSI name)'!AA100="","",IF(COUNTIF('＠MFP (LSI name)'!AA100,"Serial*")+COUNTIF('＠MFP (LSI name)'!AA100,"Analog*")&gt;0,'＠MFP (LSI name)'!AA100,OFFSET('＠グループ、表示名'!$H$4,MATCH('＠MFP (LSI name)'!AA100,'＠グループ、表示名'!$D$4:$D$250,0)-1,0)))</f>
        <v/>
      </c>
      <c r="AB100" s="69" t="str">
        <f ca="1">IF('＠MFP (LSI name)'!AB100="","",IF(COUNTIF('＠MFP (LSI name)'!AB100,"Serial*")+COUNTIF('＠MFP (LSI name)'!AB100,"Analog*")&gt;0,'＠MFP (LSI name)'!AB100,OFFSET('＠グループ、表示名'!$H$4,MATCH('＠MFP (LSI name)'!AB100,'＠グループ、表示名'!$D$4:$D$250,0)-1,0)))</f>
        <v/>
      </c>
      <c r="AC100" s="69" t="str">
        <f ca="1">IF('＠MFP (LSI name)'!AC100="","",IF(COUNTIF('＠MFP (LSI name)'!AC100,"Serial*")+COUNTIF('＠MFP (LSI name)'!AC100,"Analog*")&gt;0,'＠MFP (LSI name)'!AC100,OFFSET('＠グループ、表示名'!$H$4,MATCH('＠MFP (LSI name)'!AC100,'＠グループ、表示名'!$D$4:$D$250,0)-1,0)))</f>
        <v/>
      </c>
      <c r="AD100" s="69" t="str">
        <f ca="1">IF('＠MFP (LSI name)'!AD100="","",IF(COUNTIF('＠MFP (LSI name)'!AD100,"Serial*")+COUNTIF('＠MFP (LSI name)'!AD100,"Analog*")&gt;0,'＠MFP (LSI name)'!AD100,OFFSET('＠グループ、表示名'!$H$4,MATCH('＠MFP (LSI name)'!AD100,'＠グループ、表示名'!$D$4:$D$250,0)-1,0)))</f>
        <v/>
      </c>
      <c r="AE100" s="18" t="str">
        <f ca="1">IF('＠MFP (LSI name)'!AE100="","",IF(COUNTIF('＠MFP (LSI name)'!AE100,"Serial*")+COUNTIF('＠MFP (LSI name)'!AE100,"Analog*")&gt;0,'＠MFP (LSI name)'!AE100,OFFSET('＠グループ、表示名'!$H$4,MATCH('＠MFP (LSI name)'!AE100,'＠グループ、表示名'!$D$4:$D$250,0)-1,0)))</f>
        <v/>
      </c>
      <c r="AF100" s="69" t="str">
        <f ca="1">IF('＠MFP (LSI name)'!AF100="","",IF(COUNTIF('＠MFP (LSI name)'!AF100,"Serial*")+COUNTIF('＠MFP (LSI name)'!AF100,"Analog*")&gt;0,'＠MFP (LSI name)'!AF100,OFFSET('＠グループ、表示名'!$H$4,MATCH('＠MFP (LSI name)'!AF100,'＠グループ、表示名'!$D$4:$D$250,0)-1,0)))</f>
        <v/>
      </c>
      <c r="AG100" s="69" t="str">
        <f ca="1">IF('＠MFP (LSI name)'!AG100="","",IF(COUNTIF('＠MFP (LSI name)'!AG100,"Serial*")+COUNTIF('＠MFP (LSI name)'!AG100,"Analog*")&gt;0,'＠MFP (LSI name)'!AG100,OFFSET('＠グループ、表示名'!$H$4,MATCH('＠MFP (LSI name)'!AG100,'＠グループ、表示名'!$D$4:$D$250,0)-1,0)))</f>
        <v/>
      </c>
      <c r="AH100" s="69" t="str">
        <f ca="1">IF('＠MFP (LSI name)'!AH100="","",IF(COUNTIF('＠MFP (LSI name)'!AH100,"Serial*")+COUNTIF('＠MFP (LSI name)'!AH100,"Analog*")&gt;0,'＠MFP (LSI name)'!AH100,OFFSET('＠グループ、表示名'!$H$4,MATCH('＠MFP (LSI name)'!AH100,'＠グループ、表示名'!$D$4:$D$250,0)-1,0)))</f>
        <v/>
      </c>
      <c r="AI100" s="69" t="str">
        <f ca="1">IF('＠MFP (LSI name)'!AI100="","",IF(COUNTIF('＠MFP (LSI name)'!AI100,"Serial*")+COUNTIF('＠MFP (LSI name)'!AI100,"Analog*")&gt;0,'＠MFP (LSI name)'!AI100,OFFSET('＠グループ、表示名'!$H$4,MATCH('＠MFP (LSI name)'!AI100,'＠グループ、表示名'!$D$4:$D$250,0)-1,0)))</f>
        <v/>
      </c>
      <c r="AJ100" s="18" t="str">
        <f ca="1">IF('＠MFP (LSI name)'!AJ100="","",IF(COUNTIF('＠MFP (LSI name)'!AJ100,"Serial*")+COUNTIF('＠MFP (LSI name)'!AJ100,"Analog*")&gt;0,'＠MFP (LSI name)'!AJ100,OFFSET('＠グループ、表示名'!$H$4,MATCH('＠MFP (LSI name)'!AJ100,'＠グループ、表示名'!$D$4:$D$250,0)-1,0)))</f>
        <v/>
      </c>
      <c r="AK100" s="69" t="str">
        <f ca="1">IF('＠MFP (LSI name)'!AK100="","",IF(COUNTIF('＠MFP (LSI name)'!AK100,"Serial*")+COUNTIF('＠MFP (LSI name)'!AK100,"Analog*")&gt;0,'＠MFP (LSI name)'!AK100,OFFSET('＠グループ、表示名'!$H$4,MATCH('＠MFP (LSI name)'!AK100,'＠グループ、表示名'!$D$4:$D$250,0)-1,0)))</f>
        <v/>
      </c>
      <c r="AL100" s="9" t="str">
        <f t="shared" si="8"/>
        <v>IOPFMD[19]</v>
      </c>
      <c r="AM100" s="9" t="str">
        <f t="shared" si="9"/>
        <v>IOPFMD[18]</v>
      </c>
      <c r="AN100" s="9" t="str">
        <f t="shared" si="10"/>
        <v>IOPFMD[17]</v>
      </c>
      <c r="AO100" s="9" t="str">
        <f t="shared" si="11"/>
        <v>IOPFMD[16]</v>
      </c>
      <c r="AP100" s="86"/>
    </row>
    <row r="101" spans="1:42" ht="16.149999999999999">
      <c r="A101" s="61">
        <v>93</v>
      </c>
      <c r="B101" s="7">
        <v>93</v>
      </c>
      <c r="C101" s="7">
        <v>76</v>
      </c>
      <c r="D101" s="87">
        <v>61</v>
      </c>
      <c r="E101" s="87">
        <v>47</v>
      </c>
      <c r="F101" s="7">
        <v>93</v>
      </c>
      <c r="G101" s="7">
        <v>76</v>
      </c>
      <c r="H101" s="87">
        <v>61</v>
      </c>
      <c r="I101" s="45" t="s">
        <v>110</v>
      </c>
      <c r="J101" s="45" t="s">
        <v>492</v>
      </c>
      <c r="K101" s="69" t="str">
        <f ca="1">IF('＠MFP (LSI name)'!K101="","",IF(COUNTIF('＠MFP (LSI name)'!K101,"Serial*")+COUNTIF('＠MFP (LSI name)'!K101,"Analog*")&gt;0,'＠MFP (LSI name)'!K101,OFFSET('＠グループ、表示名'!$H$4,MATCH('＠MFP (LSI name)'!K101,'＠グループ、表示名'!$D$4:$D$250,0)-1,0)))</f>
        <v/>
      </c>
      <c r="L101" s="69" t="str">
        <f ca="1">IF('＠MFP (LSI name)'!L101="","",IF(COUNTIF('＠MFP (LSI name)'!L101,"Serial*")+COUNTIF('＠MFP (LSI name)'!L101,"Analog*")&gt;0,'＠MFP (LSI name)'!L101,OFFSET('＠グループ、表示名'!$H$4,MATCH('＠MFP (LSI name)'!L101,'＠グループ、表示名'!$D$4:$D$250,0)-1,0)))</f>
        <v/>
      </c>
      <c r="M101" s="69" t="str">
        <f ca="1">IF('＠MFP (LSI name)'!M101="","",IF(COUNTIF('＠MFP (LSI name)'!M101,"Serial*")+COUNTIF('＠MFP (LSI name)'!M101,"Analog*")&gt;0,'＠MFP (LSI name)'!M101,OFFSET('＠グループ、表示名'!$H$4,MATCH('＠MFP (LSI name)'!M101,'＠グループ、表示名'!$D$4:$D$250,0)-1,0)))</f>
        <v/>
      </c>
      <c r="N101" s="69" t="str">
        <f ca="1">IF('＠MFP (LSI name)'!N101="","",IF(COUNTIF('＠MFP (LSI name)'!N101,"Serial*")+COUNTIF('＠MFP (LSI name)'!N101,"Analog*")&gt;0,'＠MFP (LSI name)'!N101,OFFSET('＠グループ、表示名'!$H$4,MATCH('＠MFP (LSI name)'!N101,'＠グループ、表示名'!$D$4:$D$250,0)-1,0)))</f>
        <v/>
      </c>
      <c r="O101" s="69" t="str">
        <f ca="1">IF('＠MFP (LSI name)'!O101="","",IF(COUNTIF('＠MFP (LSI name)'!O101,"Serial*")+COUNTIF('＠MFP (LSI name)'!O101,"Analog*")&gt;0,'＠MFP (LSI name)'!O101,OFFSET('＠グループ、表示名'!$H$4,MATCH('＠MFP (LSI name)'!O101,'＠グループ、表示名'!$D$4:$D$250,0)-1,0)))</f>
        <v/>
      </c>
      <c r="P101" s="69" t="str">
        <f ca="1">IF('＠MFP (LSI name)'!P101="","",IF(COUNTIF('＠MFP (LSI name)'!P101,"Serial*")+COUNTIF('＠MFP (LSI name)'!P101,"Analog*")&gt;0,'＠MFP (LSI name)'!P101,OFFSET('＠グループ、表示名'!$H$4,MATCH('＠MFP (LSI name)'!P101,'＠グループ、表示名'!$D$4:$D$250,0)-1,0)))</f>
        <v/>
      </c>
      <c r="Q101" s="69" t="str">
        <f ca="1">IF('＠MFP (LSI name)'!Q101="","",IF(COUNTIF('＠MFP (LSI name)'!Q101,"Serial*")+COUNTIF('＠MFP (LSI name)'!Q101,"Analog*")&gt;0,'＠MFP (LSI name)'!Q101,OFFSET('＠グループ、表示名'!$H$4,MATCH('＠MFP (LSI name)'!Q101,'＠グループ、表示名'!$D$4:$D$250,0)-1,0)))</f>
        <v/>
      </c>
      <c r="R101" s="69" t="str">
        <f ca="1">IF('＠MFP (LSI name)'!R101="","",IF(COUNTIF('＠MFP (LSI name)'!R101,"Serial*")+COUNTIF('＠MFP (LSI name)'!R101,"Analog*")&gt;0,'＠MFP (LSI name)'!R101,OFFSET('＠グループ、表示名'!$H$4,MATCH('＠MFP (LSI name)'!R101,'＠グループ、表示名'!$D$4:$D$250,0)-1,0)))</f>
        <v/>
      </c>
      <c r="S101" s="69" t="str">
        <f ca="1">IF('＠MFP (LSI name)'!S101="","",IF(COUNTIF('＠MFP (LSI name)'!S101,"Serial*")+COUNTIF('＠MFP (LSI name)'!S101,"Analog*")&gt;0,'＠MFP (LSI name)'!S101,OFFSET('＠グループ、表示名'!$H$4,MATCH('＠MFP (LSI name)'!S101,'＠グループ、表示名'!$D$4:$D$250,0)-1,0)))</f>
        <v/>
      </c>
      <c r="T101" s="69" t="str">
        <f ca="1">IF('＠MFP (LSI name)'!T101="","",IF(COUNTIF('＠MFP (LSI name)'!T101,"Serial*")+COUNTIF('＠MFP (LSI name)'!T101,"Analog*")&gt;0,'＠MFP (LSI name)'!T101,OFFSET('＠グループ、表示名'!$H$4,MATCH('＠MFP (LSI name)'!T101,'＠グループ、表示名'!$D$4:$D$250,0)-1,0)))</f>
        <v/>
      </c>
      <c r="U101" s="69" t="str">
        <f ca="1">IF('＠MFP (LSI name)'!U101="","",IF(COUNTIF('＠MFP (LSI name)'!U101,"Serial*")+COUNTIF('＠MFP (LSI name)'!U101,"Analog*")&gt;0,'＠MFP (LSI name)'!U101,OFFSET('＠グループ、表示名'!$H$4,MATCH('＠MFP (LSI name)'!U101,'＠グループ、表示名'!$D$4:$D$250,0)-1,0)))</f>
        <v/>
      </c>
      <c r="V101" s="69" t="str">
        <f ca="1">IF('＠MFP (LSI name)'!V101="","",IF(COUNTIF('＠MFP (LSI name)'!V101,"Serial*")+COUNTIF('＠MFP (LSI name)'!V101,"Analog*")&gt;0,'＠MFP (LSI name)'!V101,OFFSET('＠グループ、表示名'!$H$4,MATCH('＠MFP (LSI name)'!V101,'＠グループ、表示名'!$D$4:$D$250,0)-1,0)))</f>
        <v/>
      </c>
      <c r="W101" s="69" t="str">
        <f ca="1">IF('＠MFP (LSI name)'!W101="","",IF(COUNTIF('＠MFP (LSI name)'!W101,"Serial*")+COUNTIF('＠MFP (LSI name)'!W101,"Analog*")&gt;0,'＠MFP (LSI name)'!W101,OFFSET('＠グループ、表示名'!$H$4,MATCH('＠MFP (LSI name)'!W101,'＠グループ、表示名'!$D$4:$D$250,0)-1,0)))</f>
        <v/>
      </c>
      <c r="X101" s="69" t="str">
        <f ca="1">IF('＠MFP (LSI name)'!X101="","",IF(COUNTIF('＠MFP (LSI name)'!X101,"Serial*")+COUNTIF('＠MFP (LSI name)'!X101,"Analog*")&gt;0,'＠MFP (LSI name)'!X101,OFFSET('＠グループ、表示名'!$H$4,MATCH('＠MFP (LSI name)'!X101,'＠グループ、表示名'!$D$4:$D$250,0)-1,0)))</f>
        <v/>
      </c>
      <c r="Y101" s="18" t="str">
        <f ca="1">IF('＠MFP (LSI name)'!Y101="","",IF(COUNTIF('＠MFP (LSI name)'!Y101,"Serial*")+COUNTIF('＠MFP (LSI name)'!Y101,"Analog*")&gt;0,'＠MFP (LSI name)'!Y101,OFFSET('＠グループ、表示名'!$H$4,MATCH('＠MFP (LSI name)'!Y101,'＠グループ、表示名'!$D$4:$D$250,0)-1,0)))</f>
        <v/>
      </c>
      <c r="Z101" s="18" t="str">
        <f ca="1">IF('＠MFP (LSI name)'!Z101="","",IF(COUNTIF('＠MFP (LSI name)'!Z101,"Serial*")+COUNTIF('＠MFP (LSI name)'!Z101,"Analog*")&gt;0,'＠MFP (LSI name)'!Z101,OFFSET('＠グループ、表示名'!$H$4,MATCH('＠MFP (LSI name)'!Z101,'＠グループ、表示名'!$D$4:$D$250,0)-1,0)))</f>
        <v/>
      </c>
      <c r="AA101" s="69" t="str">
        <f ca="1">IF('＠MFP (LSI name)'!AA101="","",IF(COUNTIF('＠MFP (LSI name)'!AA101,"Serial*")+COUNTIF('＠MFP (LSI name)'!AA101,"Analog*")&gt;0,'＠MFP (LSI name)'!AA101,OFFSET('＠グループ、表示名'!$H$4,MATCH('＠MFP (LSI name)'!AA101,'＠グループ、表示名'!$D$4:$D$250,0)-1,0)))</f>
        <v/>
      </c>
      <c r="AB101" s="69" t="str">
        <f ca="1">IF('＠MFP (LSI name)'!AB101="","",IF(COUNTIF('＠MFP (LSI name)'!AB101,"Serial*")+COUNTIF('＠MFP (LSI name)'!AB101,"Analog*")&gt;0,'＠MFP (LSI name)'!AB101,OFFSET('＠グループ、表示名'!$H$4,MATCH('＠MFP (LSI name)'!AB101,'＠グループ、表示名'!$D$4:$D$250,0)-1,0)))</f>
        <v/>
      </c>
      <c r="AC101" s="69" t="str">
        <f ca="1">IF('＠MFP (LSI name)'!AC101="","",IF(COUNTIF('＠MFP (LSI name)'!AC101,"Serial*")+COUNTIF('＠MFP (LSI name)'!AC101,"Analog*")&gt;0,'＠MFP (LSI name)'!AC101,OFFSET('＠グループ、表示名'!$H$4,MATCH('＠MFP (LSI name)'!AC101,'＠グループ、表示名'!$D$4:$D$250,0)-1,0)))</f>
        <v/>
      </c>
      <c r="AD101" s="69" t="str">
        <f ca="1">IF('＠MFP (LSI name)'!AD101="","",IF(COUNTIF('＠MFP (LSI name)'!AD101,"Serial*")+COUNTIF('＠MFP (LSI name)'!AD101,"Analog*")&gt;0,'＠MFP (LSI name)'!AD101,OFFSET('＠グループ、表示名'!$H$4,MATCH('＠MFP (LSI name)'!AD101,'＠グループ、表示名'!$D$4:$D$250,0)-1,0)))</f>
        <v/>
      </c>
      <c r="AE101" s="18" t="str">
        <f ca="1">IF('＠MFP (LSI name)'!AE101="","",IF(COUNTIF('＠MFP (LSI name)'!AE101,"Serial*")+COUNTIF('＠MFP (LSI name)'!AE101,"Analog*")&gt;0,'＠MFP (LSI name)'!AE101,OFFSET('＠グループ、表示名'!$H$4,MATCH('＠MFP (LSI name)'!AE101,'＠グループ、表示名'!$D$4:$D$250,0)-1,0)))</f>
        <v/>
      </c>
      <c r="AF101" s="69" t="str">
        <f ca="1">IF('＠MFP (LSI name)'!AF101="","",IF(COUNTIF('＠MFP (LSI name)'!AF101,"Serial*")+COUNTIF('＠MFP (LSI name)'!AF101,"Analog*")&gt;0,'＠MFP (LSI name)'!AF101,OFFSET('＠グループ、表示名'!$H$4,MATCH('＠MFP (LSI name)'!AF101,'＠グループ、表示名'!$D$4:$D$250,0)-1,0)))</f>
        <v/>
      </c>
      <c r="AG101" s="69" t="str">
        <f ca="1">IF('＠MFP (LSI name)'!AG101="","",IF(COUNTIF('＠MFP (LSI name)'!AG101,"Serial*")+COUNTIF('＠MFP (LSI name)'!AG101,"Analog*")&gt;0,'＠MFP (LSI name)'!AG101,OFFSET('＠グループ、表示名'!$H$4,MATCH('＠MFP (LSI name)'!AG101,'＠グループ、表示名'!$D$4:$D$250,0)-1,0)))</f>
        <v/>
      </c>
      <c r="AH101" s="69" t="str">
        <f ca="1">IF('＠MFP (LSI name)'!AH101="","",IF(COUNTIF('＠MFP (LSI name)'!AH101,"Serial*")+COUNTIF('＠MFP (LSI name)'!AH101,"Analog*")&gt;0,'＠MFP (LSI name)'!AH101,OFFSET('＠グループ、表示名'!$H$4,MATCH('＠MFP (LSI name)'!AH101,'＠グループ、表示名'!$D$4:$D$250,0)-1,0)))</f>
        <v/>
      </c>
      <c r="AI101" s="69" t="str">
        <f ca="1">IF('＠MFP (LSI name)'!AI101="","",IF(COUNTIF('＠MFP (LSI name)'!AI101,"Serial*")+COUNTIF('＠MFP (LSI name)'!AI101,"Analog*")&gt;0,'＠MFP (LSI name)'!AI101,OFFSET('＠グループ、表示名'!$H$4,MATCH('＠MFP (LSI name)'!AI101,'＠グループ、表示名'!$D$4:$D$250,0)-1,0)))</f>
        <v/>
      </c>
      <c r="AJ101" s="18" t="str">
        <f ca="1">IF('＠MFP (LSI name)'!AJ101="","",IF(COUNTIF('＠MFP (LSI name)'!AJ101,"Serial*")+COUNTIF('＠MFP (LSI name)'!AJ101,"Analog*")&gt;0,'＠MFP (LSI name)'!AJ101,OFFSET('＠グループ、表示名'!$H$4,MATCH('＠MFP (LSI name)'!AJ101,'＠グループ、表示名'!$D$4:$D$250,0)-1,0)))</f>
        <v/>
      </c>
      <c r="AK101" s="69" t="str">
        <f ca="1">IF('＠MFP (LSI name)'!AK101="","",IF(COUNTIF('＠MFP (LSI name)'!AK101,"Serial*")+COUNTIF('＠MFP (LSI name)'!AK101,"Analog*")&gt;0,'＠MFP (LSI name)'!AK101,OFFSET('＠グループ、表示名'!$H$4,MATCH('＠MFP (LSI name)'!AK101,'＠グループ、表示名'!$D$4:$D$250,0)-1,0)))</f>
        <v/>
      </c>
      <c r="AL101" s="9" t="str">
        <f t="shared" si="8"/>
        <v/>
      </c>
      <c r="AM101" s="9" t="str">
        <f t="shared" si="9"/>
        <v/>
      </c>
      <c r="AN101" s="9" t="str">
        <f t="shared" si="10"/>
        <v/>
      </c>
      <c r="AO101" s="9" t="str">
        <f t="shared" si="11"/>
        <v/>
      </c>
      <c r="AP101" s="86"/>
    </row>
    <row r="102" spans="1:42" ht="16.149999999999999">
      <c r="A102" s="61">
        <v>94</v>
      </c>
      <c r="B102" s="7">
        <v>94</v>
      </c>
      <c r="C102" s="7">
        <v>77</v>
      </c>
      <c r="D102" s="87">
        <v>62</v>
      </c>
      <c r="E102" s="87"/>
      <c r="F102" s="7">
        <v>94</v>
      </c>
      <c r="G102" s="7">
        <v>77</v>
      </c>
      <c r="H102" s="87">
        <v>62</v>
      </c>
      <c r="I102" s="45" t="s">
        <v>212</v>
      </c>
      <c r="J102" s="45" t="s">
        <v>213</v>
      </c>
      <c r="K102" s="69" t="str">
        <f ca="1">IF('＠MFP (LSI name)'!K102="","",IF(COUNTIF('＠MFP (LSI name)'!K102,"Serial*")+COUNTIF('＠MFP (LSI name)'!K102,"Analog*")&gt;0,'＠MFP (LSI name)'!K102,OFFSET('＠グループ、表示名'!$H$4,MATCH('＠MFP (LSI name)'!K102,'＠グループ、表示名'!$D$4:$D$250,0)-1,0)))</f>
        <v>IRQ34</v>
      </c>
      <c r="L102" s="69" t="str">
        <f ca="1">IF('＠MFP (LSI name)'!L102="","",IF(COUNTIF('＠MFP (LSI name)'!L102,"Serial*")+COUNTIF('＠MFP (LSI name)'!L102,"Analog*")&gt;0,'＠MFP (LSI name)'!L102,OFFSET('＠グループ、表示名'!$H$4,MATCH('＠MFP (LSI name)'!L102,'＠グループ、表示名'!$D$4:$D$250,0)-1,0)))</f>
        <v>TM03B</v>
      </c>
      <c r="M102" s="69" t="str">
        <f ca="1">IF('＠MFP (LSI name)'!M102="","",IF(COUNTIF('＠MFP (LSI name)'!M102,"Serial*")+COUNTIF('＠MFP (LSI name)'!M102,"Analog*")&gt;0,'＠MFP (LSI name)'!M102,OFFSET('＠グループ、表示名'!$H$4,MATCH('＠MFP (LSI name)'!M102,'＠グループ、表示名'!$D$4:$D$250,0)-1,0)))</f>
        <v>TM12B</v>
      </c>
      <c r="N102" s="69" t="str">
        <f ca="1">IF('＠MFP (LSI name)'!N102="","",IF(COUNTIF('＠MFP (LSI name)'!N102,"Serial*")+COUNTIF('＠MFP (LSI name)'!N102,"Analog*")&gt;0,'＠MFP (LSI name)'!N102,OFFSET('＠グループ、表示名'!$H$4,MATCH('＠MFP (LSI name)'!N102,'＠グループ、表示名'!$D$4:$D$250,0)-1,0)))</f>
        <v>GPWM0_GPWM01</v>
      </c>
      <c r="O102" s="69" t="str">
        <f ca="1">IF('＠MFP (LSI name)'!O102="","",IF(COUNTIF('＠MFP (LSI name)'!O102,"Serial*")+COUNTIF('＠MFP (LSI name)'!O102,"Analog*")&gt;0,'＠MFP (LSI name)'!O102,OFFSET('＠グループ、表示名'!$H$4,MATCH('＠MFP (LSI name)'!O102,'＠グループ、表示名'!$D$4:$D$250,0)-1,0)))</f>
        <v/>
      </c>
      <c r="P102" s="69" t="str">
        <f ca="1">IF('＠MFP (LSI name)'!P102="","",IF(COUNTIF('＠MFP (LSI name)'!P102,"Serial*")+COUNTIF('＠MFP (LSI name)'!P102,"Analog*")&gt;0,'＠MFP (LSI name)'!P102,OFFSET('＠グループ、表示名'!$H$4,MATCH('＠MFP (LSI name)'!P102,'＠グループ、表示名'!$D$4:$D$250,0)-1,0)))</f>
        <v/>
      </c>
      <c r="Q102" s="69" t="str">
        <f ca="1">IF('＠MFP (LSI name)'!Q102="","",IF(COUNTIF('＠MFP (LSI name)'!Q102,"Serial*")+COUNTIF('＠MFP (LSI name)'!Q102,"Analog*")&gt;0,'＠MFP (LSI name)'!Q102,OFFSET('＠グループ、表示名'!$H$4,MATCH('＠MFP (LSI name)'!Q102,'＠グループ、表示名'!$D$4:$D$250,0)-1,0)))</f>
        <v/>
      </c>
      <c r="R102" s="69" t="str">
        <f ca="1">IF('＠MFP (LSI name)'!R102="","",IF(COUNTIF('＠MFP (LSI name)'!R102,"Serial*")+COUNTIF('＠MFP (LSI name)'!R102,"Analog*")&gt;0,'＠MFP (LSI name)'!R102,OFFSET('＠グループ、表示名'!$H$4,MATCH('＠MFP (LSI name)'!R102,'＠グループ、表示名'!$D$4:$D$250,0)-1,0)))</f>
        <v/>
      </c>
      <c r="S102" s="69" t="str">
        <f ca="1">IF('＠MFP (LSI name)'!S102="","",IF(COUNTIF('＠MFP (LSI name)'!S102,"Serial*")+COUNTIF('＠MFP (LSI name)'!S102,"Analog*")&gt;0,'＠MFP (LSI name)'!S102,OFFSET('＠グループ、表示名'!$H$4,MATCH('＠MFP (LSI name)'!S102,'＠グループ、表示名'!$D$4:$D$250,0)-1,0)))</f>
        <v/>
      </c>
      <c r="T102" s="69" t="str">
        <f ca="1">IF('＠MFP (LSI name)'!T102="","",IF(COUNTIF('＠MFP (LSI name)'!T102,"Serial*")+COUNTIF('＠MFP (LSI name)'!T102,"Analog*")&gt;0,'＠MFP (LSI name)'!T102,OFFSET('＠グループ、表示名'!$H$4,MATCH('＠MFP (LSI name)'!T102,'＠グループ、表示名'!$D$4:$D$250,0)-1,0)))</f>
        <v/>
      </c>
      <c r="U102" s="69" t="str">
        <f ca="1">IF('＠MFP (LSI name)'!U102="","",IF(COUNTIF('＠MFP (LSI name)'!U102,"Serial*")+COUNTIF('＠MFP (LSI name)'!U102,"Analog*")&gt;0,'＠MFP (LSI name)'!U102,OFFSET('＠グループ、表示名'!$H$4,MATCH('＠MFP (LSI name)'!U102,'＠グループ、表示名'!$D$4:$D$250,0)-1,0)))</f>
        <v/>
      </c>
      <c r="V102" s="69" t="str">
        <f ca="1">IF('＠MFP (LSI name)'!V102="","",IF(COUNTIF('＠MFP (LSI name)'!V102,"Serial*")+COUNTIF('＠MFP (LSI name)'!V102,"Analog*")&gt;0,'＠MFP (LSI name)'!V102,OFFSET('＠グループ、表示名'!$H$4,MATCH('＠MFP (LSI name)'!V102,'＠グループ、表示名'!$D$4:$D$250,0)-1,0)))</f>
        <v/>
      </c>
      <c r="W102" s="69" t="str">
        <f ca="1">IF('＠MFP (LSI name)'!W102="","",IF(COUNTIF('＠MFP (LSI name)'!W102,"Serial*")+COUNTIF('＠MFP (LSI name)'!W102,"Analog*")&gt;0,'＠MFP (LSI name)'!W102,OFFSET('＠グループ、表示名'!$H$4,MATCH('＠MFP (LSI name)'!W102,'＠グループ、表示名'!$D$4:$D$250,0)-1,0)))</f>
        <v/>
      </c>
      <c r="X102" s="69" t="str">
        <f ca="1">IF('＠MFP (LSI name)'!X102="","",IF(COUNTIF('＠MFP (LSI name)'!X102,"Serial*")+COUNTIF('＠MFP (LSI name)'!X102,"Analog*")&gt;0,'＠MFP (LSI name)'!X102,OFFSET('＠グループ、表示名'!$H$4,MATCH('＠MFP (LSI name)'!X102,'＠グループ、表示名'!$D$4:$D$250,0)-1,0)))</f>
        <v/>
      </c>
      <c r="Y102" s="18" t="str">
        <f ca="1">IF('＠MFP (LSI name)'!Y102="","",IF(COUNTIF('＠MFP (LSI name)'!Y102,"Serial*")+COUNTIF('＠MFP (LSI name)'!Y102,"Analog*")&gt;0,'＠MFP (LSI name)'!Y102,OFFSET('＠グループ、表示名'!$H$4,MATCH('＠MFP (LSI name)'!Y102,'＠グループ、表示名'!$D$4:$D$250,0)-1,0)))</f>
        <v/>
      </c>
      <c r="Z102" s="18" t="str">
        <f ca="1">IF('＠MFP (LSI name)'!Z102="","",IF(COUNTIF('＠MFP (LSI name)'!Z102,"Serial*")+COUNTIF('＠MFP (LSI name)'!Z102,"Analog*")&gt;0,'＠MFP (LSI name)'!Z102,OFFSET('＠グループ、表示名'!$H$4,MATCH('＠MFP (LSI name)'!Z102,'＠グループ、表示名'!$D$4:$D$250,0)-1,0)))</f>
        <v/>
      </c>
      <c r="AA102" s="69" t="str">
        <f ca="1">IF('＠MFP (LSI name)'!AA102="","",IF(COUNTIF('＠MFP (LSI name)'!AA102,"Serial*")+COUNTIF('＠MFP (LSI name)'!AA102,"Analog*")&gt;0,'＠MFP (LSI name)'!AA102,OFFSET('＠グループ、表示名'!$H$4,MATCH('＠MFP (LSI name)'!AA102,'＠グループ、表示名'!$D$4:$D$250,0)-1,0)))</f>
        <v/>
      </c>
      <c r="AB102" s="69" t="str">
        <f ca="1">IF('＠MFP (LSI name)'!AB102="","",IF(COUNTIF('＠MFP (LSI name)'!AB102,"Serial*")+COUNTIF('＠MFP (LSI name)'!AB102,"Analog*")&gt;0,'＠MFP (LSI name)'!AB102,OFFSET('＠グループ、表示名'!$H$4,MATCH('＠MFP (LSI name)'!AB102,'＠グループ、表示名'!$D$4:$D$250,0)-1,0)))</f>
        <v/>
      </c>
      <c r="AC102" s="69" t="str">
        <f ca="1">IF('＠MFP (LSI name)'!AC102="","",IF(COUNTIF('＠MFP (LSI name)'!AC102,"Serial*")+COUNTIF('＠MFP (LSI name)'!AC102,"Analog*")&gt;0,'＠MFP (LSI name)'!AC102,OFFSET('＠グループ、表示名'!$H$4,MATCH('＠MFP (LSI name)'!AC102,'＠グループ、表示名'!$D$4:$D$250,0)-1,0)))</f>
        <v/>
      </c>
      <c r="AD102" s="69" t="str">
        <f ca="1">IF('＠MFP (LSI name)'!AD102="","",IF(COUNTIF('＠MFP (LSI name)'!AD102,"Serial*")+COUNTIF('＠MFP (LSI name)'!AD102,"Analog*")&gt;0,'＠MFP (LSI name)'!AD102,OFFSET('＠グループ、表示名'!$H$4,MATCH('＠MFP (LSI name)'!AD102,'＠グループ、表示名'!$D$4:$D$250,0)-1,0)))</f>
        <v/>
      </c>
      <c r="AE102" s="18" t="str">
        <f ca="1">IF('＠MFP (LSI name)'!AE102="","",IF(COUNTIF('＠MFP (LSI name)'!AE102,"Serial*")+COUNTIF('＠MFP (LSI name)'!AE102,"Analog*")&gt;0,'＠MFP (LSI name)'!AE102,OFFSET('＠グループ、表示名'!$H$4,MATCH('＠MFP (LSI name)'!AE102,'＠グループ、表示名'!$D$4:$D$250,0)-1,0)))</f>
        <v/>
      </c>
      <c r="AF102" s="69" t="str">
        <f ca="1">IF('＠MFP (LSI name)'!AF102="","",IF(COUNTIF('＠MFP (LSI name)'!AF102,"Serial*")+COUNTIF('＠MFP (LSI name)'!AF102,"Analog*")&gt;0,'＠MFP (LSI name)'!AF102,OFFSET('＠グループ、表示名'!$H$4,MATCH('＠MFP (LSI name)'!AF102,'＠グループ、表示名'!$D$4:$D$250,0)-1,0)))</f>
        <v/>
      </c>
      <c r="AG102" s="69" t="str">
        <f ca="1">IF('＠MFP (LSI name)'!AG102="","",IF(COUNTIF('＠MFP (LSI name)'!AG102,"Serial*")+COUNTIF('＠MFP (LSI name)'!AG102,"Analog*")&gt;0,'＠MFP (LSI name)'!AG102,OFFSET('＠グループ、表示名'!$H$4,MATCH('＠MFP (LSI name)'!AG102,'＠グループ、表示名'!$D$4:$D$250,0)-1,0)))</f>
        <v/>
      </c>
      <c r="AH102" s="69" t="str">
        <f ca="1">IF('＠MFP (LSI name)'!AH102="","",IF(COUNTIF('＠MFP (LSI name)'!AH102,"Serial*")+COUNTIF('＠MFP (LSI name)'!AH102,"Analog*")&gt;0,'＠MFP (LSI name)'!AH102,OFFSET('＠グループ、表示名'!$H$4,MATCH('＠MFP (LSI name)'!AH102,'＠グループ、表示名'!$D$4:$D$250,0)-1,0)))</f>
        <v/>
      </c>
      <c r="AI102" s="69" t="str">
        <f ca="1">IF('＠MFP (LSI name)'!AI102="","",IF(COUNTIF('＠MFP (LSI name)'!AI102,"Serial*")+COUNTIF('＠MFP (LSI name)'!AI102,"Analog*")&gt;0,'＠MFP (LSI name)'!AI102,OFFSET('＠グループ、表示名'!$H$4,MATCH('＠MFP (LSI name)'!AI102,'＠グループ、表示名'!$D$4:$D$250,0)-1,0)))</f>
        <v/>
      </c>
      <c r="AJ102" s="18" t="str">
        <f ca="1">IF('＠MFP (LSI name)'!AJ102="","",IF(COUNTIF('＠MFP (LSI name)'!AJ102,"Serial*")+COUNTIF('＠MFP (LSI name)'!AJ102,"Analog*")&gt;0,'＠MFP (LSI name)'!AJ102,OFFSET('＠グループ、表示名'!$H$4,MATCH('＠MFP (LSI name)'!AJ102,'＠グループ、表示名'!$D$4:$D$250,0)-1,0)))</f>
        <v/>
      </c>
      <c r="AK102" s="69" t="str">
        <f ca="1">IF('＠MFP (LSI name)'!AK102="","",IF(COUNTIF('＠MFP (LSI name)'!AK102,"Serial*")+COUNTIF('＠MFP (LSI name)'!AK102,"Analog*")&gt;0,'＠MFP (LSI name)'!AK102,OFFSET('＠グループ、表示名'!$H$4,MATCH('＠MFP (LSI name)'!AK102,'＠グループ、表示名'!$D$4:$D$250,0)-1,0)))</f>
        <v/>
      </c>
      <c r="AL102" s="9" t="str">
        <f t="shared" si="8"/>
        <v>IOPFMD[23]</v>
      </c>
      <c r="AM102" s="9" t="str">
        <f t="shared" si="9"/>
        <v>IOPFMD[22]</v>
      </c>
      <c r="AN102" s="9" t="str">
        <f t="shared" si="10"/>
        <v>IOPFMD[21]</v>
      </c>
      <c r="AO102" s="9" t="str">
        <f t="shared" si="11"/>
        <v>IOPFMD[20]</v>
      </c>
      <c r="AP102" s="86"/>
    </row>
    <row r="103" spans="1:42" ht="16.149999999999999">
      <c r="A103" s="61">
        <v>95</v>
      </c>
      <c r="B103" s="7">
        <v>95</v>
      </c>
      <c r="C103" s="7">
        <v>78</v>
      </c>
      <c r="D103" s="87">
        <v>63</v>
      </c>
      <c r="E103" s="87">
        <v>48</v>
      </c>
      <c r="F103" s="7">
        <v>95</v>
      </c>
      <c r="G103" s="7">
        <v>78</v>
      </c>
      <c r="H103" s="87">
        <v>63</v>
      </c>
      <c r="I103" s="45" t="s">
        <v>108</v>
      </c>
      <c r="J103" s="45" t="s">
        <v>109</v>
      </c>
      <c r="K103" s="69" t="str">
        <f ca="1">IF('＠MFP (LSI name)'!K103="","",IF(COUNTIF('＠MFP (LSI name)'!K103,"Serial*")+COUNTIF('＠MFP (LSI name)'!K103,"Analog*")&gt;0,'＠MFP (LSI name)'!K103,OFFSET('＠グループ、表示名'!$H$4,MATCH('＠MFP (LSI name)'!K103,'＠グループ、表示名'!$D$4:$D$250,0)-1,0)))</f>
        <v/>
      </c>
      <c r="L103" s="69" t="str">
        <f ca="1">IF('＠MFP (LSI name)'!L103="","",IF(COUNTIF('＠MFP (LSI name)'!L103,"Serial*")+COUNTIF('＠MFP (LSI name)'!L103,"Analog*")&gt;0,'＠MFP (LSI name)'!L103,OFFSET('＠グループ、表示名'!$H$4,MATCH('＠MFP (LSI name)'!L103,'＠グループ、表示名'!$D$4:$D$250,0)-1,0)))</f>
        <v/>
      </c>
      <c r="M103" s="69" t="str">
        <f ca="1">IF('＠MFP (LSI name)'!M103="","",IF(COUNTIF('＠MFP (LSI name)'!M103,"Serial*")+COUNTIF('＠MFP (LSI name)'!M103,"Analog*")&gt;0,'＠MFP (LSI name)'!M103,OFFSET('＠グループ、表示名'!$H$4,MATCH('＠MFP (LSI name)'!M103,'＠グループ、表示名'!$D$4:$D$250,0)-1,0)))</f>
        <v/>
      </c>
      <c r="N103" s="69" t="str">
        <f ca="1">IF('＠MFP (LSI name)'!N103="","",IF(COUNTIF('＠MFP (LSI name)'!N103,"Serial*")+COUNTIF('＠MFP (LSI name)'!N103,"Analog*")&gt;0,'＠MFP (LSI name)'!N103,OFFSET('＠グループ、表示名'!$H$4,MATCH('＠MFP (LSI name)'!N103,'＠グループ、表示名'!$D$4:$D$250,0)-1,0)))</f>
        <v/>
      </c>
      <c r="O103" s="69" t="str">
        <f ca="1">IF('＠MFP (LSI name)'!O103="","",IF(COUNTIF('＠MFP (LSI name)'!O103,"Serial*")+COUNTIF('＠MFP (LSI name)'!O103,"Analog*")&gt;0,'＠MFP (LSI name)'!O103,OFFSET('＠グループ、表示名'!$H$4,MATCH('＠MFP (LSI name)'!O103,'＠グループ、表示名'!$D$4:$D$250,0)-1,0)))</f>
        <v/>
      </c>
      <c r="P103" s="69" t="str">
        <f ca="1">IF('＠MFP (LSI name)'!P103="","",IF(COUNTIF('＠MFP (LSI name)'!P103,"Serial*")+COUNTIF('＠MFP (LSI name)'!P103,"Analog*")&gt;0,'＠MFP (LSI name)'!P103,OFFSET('＠グループ、表示名'!$H$4,MATCH('＠MFP (LSI name)'!P103,'＠グループ、表示名'!$D$4:$D$250,0)-1,0)))</f>
        <v/>
      </c>
      <c r="Q103" s="69" t="str">
        <f ca="1">IF('＠MFP (LSI name)'!Q103="","",IF(COUNTIF('＠MFP (LSI name)'!Q103,"Serial*")+COUNTIF('＠MFP (LSI name)'!Q103,"Analog*")&gt;0,'＠MFP (LSI name)'!Q103,OFFSET('＠グループ、表示名'!$H$4,MATCH('＠MFP (LSI name)'!Q103,'＠グループ、表示名'!$D$4:$D$250,0)-1,0)))</f>
        <v/>
      </c>
      <c r="R103" s="69" t="str">
        <f ca="1">IF('＠MFP (LSI name)'!R103="","",IF(COUNTIF('＠MFP (LSI name)'!R103,"Serial*")+COUNTIF('＠MFP (LSI name)'!R103,"Analog*")&gt;0,'＠MFP (LSI name)'!R103,OFFSET('＠グループ、表示名'!$H$4,MATCH('＠MFP (LSI name)'!R103,'＠グループ、表示名'!$D$4:$D$250,0)-1,0)))</f>
        <v/>
      </c>
      <c r="S103" s="69" t="str">
        <f ca="1">IF('＠MFP (LSI name)'!S103="","",IF(COUNTIF('＠MFP (LSI name)'!S103,"Serial*")+COUNTIF('＠MFP (LSI name)'!S103,"Analog*")&gt;0,'＠MFP (LSI name)'!S103,OFFSET('＠グループ、表示名'!$H$4,MATCH('＠MFP (LSI name)'!S103,'＠グループ、表示名'!$D$4:$D$250,0)-1,0)))</f>
        <v/>
      </c>
      <c r="T103" s="69" t="str">
        <f ca="1">IF('＠MFP (LSI name)'!T103="","",IF(COUNTIF('＠MFP (LSI name)'!T103,"Serial*")+COUNTIF('＠MFP (LSI name)'!T103,"Analog*")&gt;0,'＠MFP (LSI name)'!T103,OFFSET('＠グループ、表示名'!$H$4,MATCH('＠MFP (LSI name)'!T103,'＠グループ、表示名'!$D$4:$D$250,0)-1,0)))</f>
        <v/>
      </c>
      <c r="U103" s="69" t="str">
        <f ca="1">IF('＠MFP (LSI name)'!U103="","",IF(COUNTIF('＠MFP (LSI name)'!U103,"Serial*")+COUNTIF('＠MFP (LSI name)'!U103,"Analog*")&gt;0,'＠MFP (LSI name)'!U103,OFFSET('＠グループ、表示名'!$H$4,MATCH('＠MFP (LSI name)'!U103,'＠グループ、表示名'!$D$4:$D$250,0)-1,0)))</f>
        <v/>
      </c>
      <c r="V103" s="69" t="str">
        <f ca="1">IF('＠MFP (LSI name)'!V103="","",IF(COUNTIF('＠MFP (LSI name)'!V103,"Serial*")+COUNTIF('＠MFP (LSI name)'!V103,"Analog*")&gt;0,'＠MFP (LSI name)'!V103,OFFSET('＠グループ、表示名'!$H$4,MATCH('＠MFP (LSI name)'!V103,'＠グループ、表示名'!$D$4:$D$250,0)-1,0)))</f>
        <v/>
      </c>
      <c r="W103" s="69" t="str">
        <f ca="1">IF('＠MFP (LSI name)'!W103="","",IF(COUNTIF('＠MFP (LSI name)'!W103,"Serial*")+COUNTIF('＠MFP (LSI name)'!W103,"Analog*")&gt;0,'＠MFP (LSI name)'!W103,OFFSET('＠グループ、表示名'!$H$4,MATCH('＠MFP (LSI name)'!W103,'＠グループ、表示名'!$D$4:$D$250,0)-1,0)))</f>
        <v/>
      </c>
      <c r="X103" s="69" t="str">
        <f ca="1">IF('＠MFP (LSI name)'!X103="","",IF(COUNTIF('＠MFP (LSI name)'!X103,"Serial*")+COUNTIF('＠MFP (LSI name)'!X103,"Analog*")&gt;0,'＠MFP (LSI name)'!X103,OFFSET('＠グループ、表示名'!$H$4,MATCH('＠MFP (LSI name)'!X103,'＠グループ、表示名'!$D$4:$D$250,0)-1,0)))</f>
        <v/>
      </c>
      <c r="Y103" s="18" t="str">
        <f ca="1">IF('＠MFP (LSI name)'!Y103="","",IF(COUNTIF('＠MFP (LSI name)'!Y103,"Serial*")+COUNTIF('＠MFP (LSI name)'!Y103,"Analog*")&gt;0,'＠MFP (LSI name)'!Y103,OFFSET('＠グループ、表示名'!$H$4,MATCH('＠MFP (LSI name)'!Y103,'＠グループ、表示名'!$D$4:$D$250,0)-1,0)))</f>
        <v/>
      </c>
      <c r="Z103" s="18" t="str">
        <f ca="1">IF('＠MFP (LSI name)'!Z103="","",IF(COUNTIF('＠MFP (LSI name)'!Z103,"Serial*")+COUNTIF('＠MFP (LSI name)'!Z103,"Analog*")&gt;0,'＠MFP (LSI name)'!Z103,OFFSET('＠グループ、表示名'!$H$4,MATCH('＠MFP (LSI name)'!Z103,'＠グループ、表示名'!$D$4:$D$250,0)-1,0)))</f>
        <v/>
      </c>
      <c r="AA103" s="69" t="str">
        <f ca="1">IF('＠MFP (LSI name)'!AA103="","",IF(COUNTIF('＠MFP (LSI name)'!AA103,"Serial*")+COUNTIF('＠MFP (LSI name)'!AA103,"Analog*")&gt;0,'＠MFP (LSI name)'!AA103,OFFSET('＠グループ、表示名'!$H$4,MATCH('＠MFP (LSI name)'!AA103,'＠グループ、表示名'!$D$4:$D$250,0)-1,0)))</f>
        <v/>
      </c>
      <c r="AB103" s="69" t="str">
        <f ca="1">IF('＠MFP (LSI name)'!AB103="","",IF(COUNTIF('＠MFP (LSI name)'!AB103,"Serial*")+COUNTIF('＠MFP (LSI name)'!AB103,"Analog*")&gt;0,'＠MFP (LSI name)'!AB103,OFFSET('＠グループ、表示名'!$H$4,MATCH('＠MFP (LSI name)'!AB103,'＠グループ、表示名'!$D$4:$D$250,0)-1,0)))</f>
        <v/>
      </c>
      <c r="AC103" s="69" t="str">
        <f ca="1">IF('＠MFP (LSI name)'!AC103="","",IF(COUNTIF('＠MFP (LSI name)'!AC103,"Serial*")+COUNTIF('＠MFP (LSI name)'!AC103,"Analog*")&gt;0,'＠MFP (LSI name)'!AC103,OFFSET('＠グループ、表示名'!$H$4,MATCH('＠MFP (LSI name)'!AC103,'＠グループ、表示名'!$D$4:$D$250,0)-1,0)))</f>
        <v/>
      </c>
      <c r="AD103" s="69" t="str">
        <f ca="1">IF('＠MFP (LSI name)'!AD103="","",IF(COUNTIF('＠MFP (LSI name)'!AD103,"Serial*")+COUNTIF('＠MFP (LSI name)'!AD103,"Analog*")&gt;0,'＠MFP (LSI name)'!AD103,OFFSET('＠グループ、表示名'!$H$4,MATCH('＠MFP (LSI name)'!AD103,'＠グループ、表示名'!$D$4:$D$250,0)-1,0)))</f>
        <v/>
      </c>
      <c r="AE103" s="18" t="str">
        <f ca="1">IF('＠MFP (LSI name)'!AE103="","",IF(COUNTIF('＠MFP (LSI name)'!AE103,"Serial*")+COUNTIF('＠MFP (LSI name)'!AE103,"Analog*")&gt;0,'＠MFP (LSI name)'!AE103,OFFSET('＠グループ、表示名'!$H$4,MATCH('＠MFP (LSI name)'!AE103,'＠グループ、表示名'!$D$4:$D$250,0)-1,0)))</f>
        <v/>
      </c>
      <c r="AF103" s="69" t="str">
        <f ca="1">IF('＠MFP (LSI name)'!AF103="","",IF(COUNTIF('＠MFP (LSI name)'!AF103,"Serial*")+COUNTIF('＠MFP (LSI name)'!AF103,"Analog*")&gt;0,'＠MFP (LSI name)'!AF103,OFFSET('＠グループ、表示名'!$H$4,MATCH('＠MFP (LSI name)'!AF103,'＠グループ、表示名'!$D$4:$D$250,0)-1,0)))</f>
        <v/>
      </c>
      <c r="AG103" s="69" t="str">
        <f ca="1">IF('＠MFP (LSI name)'!AG103="","",IF(COUNTIF('＠MFP (LSI name)'!AG103,"Serial*")+COUNTIF('＠MFP (LSI name)'!AG103,"Analog*")&gt;0,'＠MFP (LSI name)'!AG103,OFFSET('＠グループ、表示名'!$H$4,MATCH('＠MFP (LSI name)'!AG103,'＠グループ、表示名'!$D$4:$D$250,0)-1,0)))</f>
        <v/>
      </c>
      <c r="AH103" s="69" t="str">
        <f ca="1">IF('＠MFP (LSI name)'!AH103="","",IF(COUNTIF('＠MFP (LSI name)'!AH103,"Serial*")+COUNTIF('＠MFP (LSI name)'!AH103,"Analog*")&gt;0,'＠MFP (LSI name)'!AH103,OFFSET('＠グループ、表示名'!$H$4,MATCH('＠MFP (LSI name)'!AH103,'＠グループ、表示名'!$D$4:$D$250,0)-1,0)))</f>
        <v/>
      </c>
      <c r="AI103" s="69" t="str">
        <f ca="1">IF('＠MFP (LSI name)'!AI103="","",IF(COUNTIF('＠MFP (LSI name)'!AI103,"Serial*")+COUNTIF('＠MFP (LSI name)'!AI103,"Analog*")&gt;0,'＠MFP (LSI name)'!AI103,OFFSET('＠グループ、表示名'!$H$4,MATCH('＠MFP (LSI name)'!AI103,'＠グループ、表示名'!$D$4:$D$250,0)-1,0)))</f>
        <v/>
      </c>
      <c r="AJ103" s="18" t="str">
        <f ca="1">IF('＠MFP (LSI name)'!AJ103="","",IF(COUNTIF('＠MFP (LSI name)'!AJ103,"Serial*")+COUNTIF('＠MFP (LSI name)'!AJ103,"Analog*")&gt;0,'＠MFP (LSI name)'!AJ103,OFFSET('＠グループ、表示名'!$H$4,MATCH('＠MFP (LSI name)'!AJ103,'＠グループ、表示名'!$D$4:$D$250,0)-1,0)))</f>
        <v/>
      </c>
      <c r="AK103" s="69" t="str">
        <f ca="1">IF('＠MFP (LSI name)'!AK103="","",IF(COUNTIF('＠MFP (LSI name)'!AK103,"Serial*")+COUNTIF('＠MFP (LSI name)'!AK103,"Analog*")&gt;0,'＠MFP (LSI name)'!AK103,OFFSET('＠グループ、表示名'!$H$4,MATCH('＠MFP (LSI name)'!AK103,'＠グループ、表示名'!$D$4:$D$250,0)-1,0)))</f>
        <v/>
      </c>
      <c r="AL103" s="9" t="str">
        <f t="shared" si="8"/>
        <v/>
      </c>
      <c r="AM103" s="9" t="str">
        <f t="shared" si="9"/>
        <v/>
      </c>
      <c r="AN103" s="9" t="str">
        <f t="shared" si="10"/>
        <v/>
      </c>
      <c r="AO103" s="9" t="str">
        <f t="shared" si="11"/>
        <v/>
      </c>
      <c r="AP103" s="86"/>
    </row>
    <row r="104" spans="1:42" ht="16.149999999999999">
      <c r="A104" s="61">
        <v>96</v>
      </c>
      <c r="B104" s="7">
        <v>96</v>
      </c>
      <c r="C104" s="7"/>
      <c r="D104" s="87"/>
      <c r="E104" s="87"/>
      <c r="F104" s="7">
        <v>96</v>
      </c>
      <c r="G104" s="7"/>
      <c r="H104" s="87"/>
      <c r="I104" s="45" t="s">
        <v>594</v>
      </c>
      <c r="J104" s="45" t="s">
        <v>595</v>
      </c>
      <c r="K104" s="69" t="str">
        <f ca="1">IF('＠MFP (LSI name)'!K104="","",IF(COUNTIF('＠MFP (LSI name)'!K104,"Serial*")+COUNTIF('＠MFP (LSI name)'!K104,"Analog*")&gt;0,'＠MFP (LSI name)'!K104,OFFSET('＠グループ、表示名'!$H$4,MATCH('＠MFP (LSI name)'!K104,'＠グループ、表示名'!$D$4:$D$250,0)-1,0)))</f>
        <v>TM04A</v>
      </c>
      <c r="L104" s="69" t="str">
        <f ca="1">IF('＠MFP (LSI name)'!L104="","",IF(COUNTIF('＠MFP (LSI name)'!L104,"Serial*")+COUNTIF('＠MFP (LSI name)'!L104,"Analog*")&gt;0,'＠MFP (LSI name)'!L104,OFFSET('＠グループ、表示名'!$H$4,MATCH('＠MFP (LSI name)'!L104,'＠グループ、表示名'!$D$4:$D$250,0)-1,0)))</f>
        <v>TM06A</v>
      </c>
      <c r="M104" s="18" t="str">
        <f ca="1">IF('＠MFP (LSI name)'!M104="","",IF(COUNTIF('＠MFP (LSI name)'!M104,"Serial*")+COUNTIF('＠MFP (LSI name)'!M104,"Analog*")&gt;0,'＠MFP (LSI name)'!M104,OFFSET('＠グループ、表示名'!$H$4,MATCH('＠MFP (LSI name)'!M104,'＠グループ、表示名'!$D$4:$D$250,0)-1,0)))</f>
        <v>SIF2_SBT2</v>
      </c>
      <c r="N104" s="69" t="str">
        <f ca="1">IF('＠MFP (LSI name)'!N104="","",IF(COUNTIF('＠MFP (LSI name)'!N104,"Serial*")+COUNTIF('＠MFP (LSI name)'!N104,"Analog*")&gt;0,'＠MFP (LSI name)'!N104,OFFSET('＠グループ、表示名'!$H$4,MATCH('＠MFP (LSI name)'!N104,'＠グループ、表示名'!$D$4:$D$250,0)-1,0)))</f>
        <v/>
      </c>
      <c r="O104" s="69" t="str">
        <f ca="1">IF('＠MFP (LSI name)'!O104="","",IF(COUNTIF('＠MFP (LSI name)'!O104,"Serial*")+COUNTIF('＠MFP (LSI name)'!O104,"Analog*")&gt;0,'＠MFP (LSI name)'!O104,OFFSET('＠グループ、表示名'!$H$4,MATCH('＠MFP (LSI name)'!O104,'＠グループ、表示名'!$D$4:$D$250,0)-1,0)))</f>
        <v/>
      </c>
      <c r="P104" s="69" t="str">
        <f ca="1">IF('＠MFP (LSI name)'!P104="","",IF(COUNTIF('＠MFP (LSI name)'!P104,"Serial*")+COUNTIF('＠MFP (LSI name)'!P104,"Analog*")&gt;0,'＠MFP (LSI name)'!P104,OFFSET('＠グループ、表示名'!$H$4,MATCH('＠MFP (LSI name)'!P104,'＠グループ、表示名'!$D$4:$D$250,0)-1,0)))</f>
        <v/>
      </c>
      <c r="Q104" s="69" t="str">
        <f ca="1">IF('＠MFP (LSI name)'!Q104="","",IF(COUNTIF('＠MFP (LSI name)'!Q104,"Serial*")+COUNTIF('＠MFP (LSI name)'!Q104,"Analog*")&gt;0,'＠MFP (LSI name)'!Q104,OFFSET('＠グループ、表示名'!$H$4,MATCH('＠MFP (LSI name)'!Q104,'＠グループ、表示名'!$D$4:$D$250,0)-1,0)))</f>
        <v/>
      </c>
      <c r="R104" s="69" t="str">
        <f ca="1">IF('＠MFP (LSI name)'!R104="","",IF(COUNTIF('＠MFP (LSI name)'!R104,"Serial*")+COUNTIF('＠MFP (LSI name)'!R104,"Analog*")&gt;0,'＠MFP (LSI name)'!R104,OFFSET('＠グループ、表示名'!$H$4,MATCH('＠MFP (LSI name)'!R104,'＠グループ、表示名'!$D$4:$D$250,0)-1,0)))</f>
        <v/>
      </c>
      <c r="S104" s="69" t="str">
        <f ca="1">IF('＠MFP (LSI name)'!S104="","",IF(COUNTIF('＠MFP (LSI name)'!S104,"Serial*")+COUNTIF('＠MFP (LSI name)'!S104,"Analog*")&gt;0,'＠MFP (LSI name)'!S104,OFFSET('＠グループ、表示名'!$H$4,MATCH('＠MFP (LSI name)'!S104,'＠グループ、表示名'!$D$4:$D$250,0)-1,0)))</f>
        <v/>
      </c>
      <c r="T104" s="69" t="str">
        <f ca="1">IF('＠MFP (LSI name)'!T104="","",IF(COUNTIF('＠MFP (LSI name)'!T104,"Serial*")+COUNTIF('＠MFP (LSI name)'!T104,"Analog*")&gt;0,'＠MFP (LSI name)'!T104,OFFSET('＠グループ、表示名'!$H$4,MATCH('＠MFP (LSI name)'!T104,'＠グループ、表示名'!$D$4:$D$250,0)-1,0)))</f>
        <v/>
      </c>
      <c r="U104" s="69" t="str">
        <f ca="1">IF('＠MFP (LSI name)'!U104="","",IF(COUNTIF('＠MFP (LSI name)'!U104,"Serial*")+COUNTIF('＠MFP (LSI name)'!U104,"Analog*")&gt;0,'＠MFP (LSI name)'!U104,OFFSET('＠グループ、表示名'!$H$4,MATCH('＠MFP (LSI name)'!U104,'＠グループ、表示名'!$D$4:$D$250,0)-1,0)))</f>
        <v/>
      </c>
      <c r="V104" s="69" t="str">
        <f ca="1">IF('＠MFP (LSI name)'!V104="","",IF(COUNTIF('＠MFP (LSI name)'!V104,"Serial*")+COUNTIF('＠MFP (LSI name)'!V104,"Analog*")&gt;0,'＠MFP (LSI name)'!V104,OFFSET('＠グループ、表示名'!$H$4,MATCH('＠MFP (LSI name)'!V104,'＠グループ、表示名'!$D$4:$D$250,0)-1,0)))</f>
        <v/>
      </c>
      <c r="W104" s="69" t="str">
        <f ca="1">IF('＠MFP (LSI name)'!W104="","",IF(COUNTIF('＠MFP (LSI name)'!W104,"Serial*")+COUNTIF('＠MFP (LSI name)'!W104,"Analog*")&gt;0,'＠MFP (LSI name)'!W104,OFFSET('＠グループ、表示名'!$H$4,MATCH('＠MFP (LSI name)'!W104,'＠グループ、表示名'!$D$4:$D$250,0)-1,0)))</f>
        <v/>
      </c>
      <c r="X104" s="69" t="str">
        <f ca="1">IF('＠MFP (LSI name)'!X104="","",IF(COUNTIF('＠MFP (LSI name)'!X104,"Serial*")+COUNTIF('＠MFP (LSI name)'!X104,"Analog*")&gt;0,'＠MFP (LSI name)'!X104,OFFSET('＠グループ、表示名'!$H$4,MATCH('＠MFP (LSI name)'!X104,'＠グループ、表示名'!$D$4:$D$250,0)-1,0)))</f>
        <v/>
      </c>
      <c r="Y104" s="18" t="str">
        <f ca="1">IF('＠MFP (LSI name)'!Y104="","",IF(COUNTIF('＠MFP (LSI name)'!Y104,"Serial*")+COUNTIF('＠MFP (LSI name)'!Y104,"Analog*")&gt;0,'＠MFP (LSI name)'!Y104,OFFSET('＠グループ、表示名'!$H$4,MATCH('＠MFP (LSI name)'!Y104,'＠グループ、表示名'!$D$4:$D$250,0)-1,0)))</f>
        <v/>
      </c>
      <c r="Z104" s="18" t="str">
        <f ca="1">IF('＠MFP (LSI name)'!Z104="","",IF(COUNTIF('＠MFP (LSI name)'!Z104,"Serial*")+COUNTIF('＠MFP (LSI name)'!Z104,"Analog*")&gt;0,'＠MFP (LSI name)'!Z104,OFFSET('＠グループ、表示名'!$H$4,MATCH('＠MFP (LSI name)'!Z104,'＠グループ、表示名'!$D$4:$D$250,0)-1,0)))</f>
        <v/>
      </c>
      <c r="AA104" s="69" t="str">
        <f ca="1">IF('＠MFP (LSI name)'!AA104="","",IF(COUNTIF('＠MFP (LSI name)'!AA104,"Serial*")+COUNTIF('＠MFP (LSI name)'!AA104,"Analog*")&gt;0,'＠MFP (LSI name)'!AA104,OFFSET('＠グループ、表示名'!$H$4,MATCH('＠MFP (LSI name)'!AA104,'＠グループ、表示名'!$D$4:$D$250,0)-1,0)))</f>
        <v/>
      </c>
      <c r="AB104" s="69" t="str">
        <f ca="1">IF('＠MFP (LSI name)'!AB104="","",IF(COUNTIF('＠MFP (LSI name)'!AB104,"Serial*")+COUNTIF('＠MFP (LSI name)'!AB104,"Analog*")&gt;0,'＠MFP (LSI name)'!AB104,OFFSET('＠グループ、表示名'!$H$4,MATCH('＠MFP (LSI name)'!AB104,'＠グループ、表示名'!$D$4:$D$250,0)-1,0)))</f>
        <v/>
      </c>
      <c r="AC104" s="69" t="str">
        <f ca="1">IF('＠MFP (LSI name)'!AC104="","",IF(COUNTIF('＠MFP (LSI name)'!AC104,"Serial*")+COUNTIF('＠MFP (LSI name)'!AC104,"Analog*")&gt;0,'＠MFP (LSI name)'!AC104,OFFSET('＠グループ、表示名'!$H$4,MATCH('＠MFP (LSI name)'!AC104,'＠グループ、表示名'!$D$4:$D$250,0)-1,0)))</f>
        <v/>
      </c>
      <c r="AD104" s="69" t="str">
        <f ca="1">IF('＠MFP (LSI name)'!AD104="","",IF(COUNTIF('＠MFP (LSI name)'!AD104,"Serial*")+COUNTIF('＠MFP (LSI name)'!AD104,"Analog*")&gt;0,'＠MFP (LSI name)'!AD104,OFFSET('＠グループ、表示名'!$H$4,MATCH('＠MFP (LSI name)'!AD104,'＠グループ、表示名'!$D$4:$D$250,0)-1,0)))</f>
        <v/>
      </c>
      <c r="AE104" s="18" t="str">
        <f ca="1">IF('＠MFP (LSI name)'!AE104="","",IF(COUNTIF('＠MFP (LSI name)'!AE104,"Serial*")+COUNTIF('＠MFP (LSI name)'!AE104,"Analog*")&gt;0,'＠MFP (LSI name)'!AE104,OFFSET('＠グループ、表示名'!$H$4,MATCH('＠MFP (LSI name)'!AE104,'＠グループ、表示名'!$D$4:$D$250,0)-1,0)))</f>
        <v/>
      </c>
      <c r="AF104" s="69" t="str">
        <f ca="1">IF('＠MFP (LSI name)'!AF104="","",IF(COUNTIF('＠MFP (LSI name)'!AF104,"Serial*")+COUNTIF('＠MFP (LSI name)'!AF104,"Analog*")&gt;0,'＠MFP (LSI name)'!AF104,OFFSET('＠グループ、表示名'!$H$4,MATCH('＠MFP (LSI name)'!AF104,'＠グループ、表示名'!$D$4:$D$250,0)-1,0)))</f>
        <v/>
      </c>
      <c r="AG104" s="69" t="str">
        <f ca="1">IF('＠MFP (LSI name)'!AG104="","",IF(COUNTIF('＠MFP (LSI name)'!AG104,"Serial*")+COUNTIF('＠MFP (LSI name)'!AG104,"Analog*")&gt;0,'＠MFP (LSI name)'!AG104,OFFSET('＠グループ、表示名'!$H$4,MATCH('＠MFP (LSI name)'!AG104,'＠グループ、表示名'!$D$4:$D$250,0)-1,0)))</f>
        <v/>
      </c>
      <c r="AH104" s="69" t="str">
        <f ca="1">IF('＠MFP (LSI name)'!AH104="","",IF(COUNTIF('＠MFP (LSI name)'!AH104,"Serial*")+COUNTIF('＠MFP (LSI name)'!AH104,"Analog*")&gt;0,'＠MFP (LSI name)'!AH104,OFFSET('＠グループ、表示名'!$H$4,MATCH('＠MFP (LSI name)'!AH104,'＠グループ、表示名'!$D$4:$D$250,0)-1,0)))</f>
        <v/>
      </c>
      <c r="AI104" s="69" t="str">
        <f ca="1">IF('＠MFP (LSI name)'!AI104="","",IF(COUNTIF('＠MFP (LSI name)'!AI104,"Serial*")+COUNTIF('＠MFP (LSI name)'!AI104,"Analog*")&gt;0,'＠MFP (LSI name)'!AI104,OFFSET('＠グループ、表示名'!$H$4,MATCH('＠MFP (LSI name)'!AI104,'＠グループ、表示名'!$D$4:$D$250,0)-1,0)))</f>
        <v/>
      </c>
      <c r="AJ104" s="18" t="str">
        <f ca="1">IF('＠MFP (LSI name)'!AJ104="","",IF(COUNTIF('＠MFP (LSI name)'!AJ104,"Serial*")+COUNTIF('＠MFP (LSI name)'!AJ104,"Analog*")&gt;0,'＠MFP (LSI name)'!AJ104,OFFSET('＠グループ、表示名'!$H$4,MATCH('＠MFP (LSI name)'!AJ104,'＠グループ、表示名'!$D$4:$D$250,0)-1,0)))</f>
        <v/>
      </c>
      <c r="AK104" s="69" t="str">
        <f ca="1">IF('＠MFP (LSI name)'!AK104="","",IF(COUNTIF('＠MFP (LSI name)'!AK104,"Serial*")+COUNTIF('＠MFP (LSI name)'!AK104,"Analog*")&gt;0,'＠MFP (LSI name)'!AK104,OFFSET('＠グループ、表示名'!$H$4,MATCH('＠MFP (LSI name)'!AK104,'＠グループ、表示名'!$D$4:$D$250,0)-1,0)))</f>
        <v/>
      </c>
      <c r="AL104" s="9" t="str">
        <f t="shared" si="8"/>
        <v>IOP8MD[11]</v>
      </c>
      <c r="AM104" s="9" t="str">
        <f t="shared" si="9"/>
        <v>IOP8MD[10]</v>
      </c>
      <c r="AN104" s="9" t="str">
        <f t="shared" si="10"/>
        <v>IOP8MD[9]</v>
      </c>
      <c r="AO104" s="9" t="str">
        <f t="shared" si="11"/>
        <v>IOP8MD[8]</v>
      </c>
      <c r="AP104" s="86"/>
    </row>
    <row r="105" spans="1:42" ht="16.149999999999999">
      <c r="A105" s="61">
        <v>97</v>
      </c>
      <c r="B105" s="7">
        <v>97</v>
      </c>
      <c r="C105" s="7"/>
      <c r="D105" s="87"/>
      <c r="E105" s="87"/>
      <c r="F105" s="7">
        <v>97</v>
      </c>
      <c r="G105" s="7"/>
      <c r="H105" s="87"/>
      <c r="I105" s="45" t="s">
        <v>596</v>
      </c>
      <c r="J105" s="45" t="s">
        <v>597</v>
      </c>
      <c r="K105" s="69" t="str">
        <f ca="1">IF('＠MFP (LSI name)'!K105="","",IF(COUNTIF('＠MFP (LSI name)'!K105,"Serial*")+COUNTIF('＠MFP (LSI name)'!K105,"Analog*")&gt;0,'＠MFP (LSI name)'!K105,OFFSET('＠グループ、表示名'!$H$4,MATCH('＠MFP (LSI name)'!K105,'＠グループ、表示名'!$D$4:$D$250,0)-1,0)))</f>
        <v>TM04B</v>
      </c>
      <c r="L105" s="69" t="str">
        <f ca="1">IF('＠MFP (LSI name)'!L105="","",IF(COUNTIF('＠MFP (LSI name)'!L105,"Serial*")+COUNTIF('＠MFP (LSI name)'!L105,"Analog*")&gt;0,'＠MFP (LSI name)'!L105,OFFSET('＠グループ、表示名'!$H$4,MATCH('＠MFP (LSI name)'!L105,'＠グループ、表示名'!$D$4:$D$250,0)-1,0)))</f>
        <v>TM07A</v>
      </c>
      <c r="M105" s="18" t="str">
        <f ca="1">IF('＠MFP (LSI name)'!M105="","",IF(COUNTIF('＠MFP (LSI name)'!M105,"Serial*")+COUNTIF('＠MFP (LSI name)'!M105,"Analog*")&gt;0,'＠MFP (LSI name)'!M105,OFFSET('＠グループ、表示名'!$H$4,MATCH('＠MFP (LSI name)'!M105,'＠グループ、表示名'!$D$4:$D$250,0)-1,0)))</f>
        <v>SIF2_SBI2</v>
      </c>
      <c r="N105" s="18" t="str">
        <f ca="1">IF('＠MFP (LSI name)'!N105="","",IF(COUNTIF('＠MFP (LSI name)'!N105,"Serial*")+COUNTIF('＠MFP (LSI name)'!N105,"Analog*")&gt;0,'＠MFP (LSI name)'!N105,OFFSET('＠グループ、表示名'!$H$4,MATCH('＠MFP (LSI name)'!N105,'＠グループ、表示名'!$D$4:$D$250,0)-1,0)))</f>
        <v>SIF2_SBO2</v>
      </c>
      <c r="O105" s="69" t="str">
        <f ca="1">IF('＠MFP (LSI name)'!O105="","",IF(COUNTIF('＠MFP (LSI name)'!O105,"Serial*")+COUNTIF('＠MFP (LSI name)'!O105,"Analog*")&gt;0,'＠MFP (LSI name)'!O105,OFFSET('＠グループ、表示名'!$H$4,MATCH('＠MFP (LSI name)'!O105,'＠グループ、表示名'!$D$4:$D$250,0)-1,0)))</f>
        <v/>
      </c>
      <c r="P105" s="69" t="str">
        <f ca="1">IF('＠MFP (LSI name)'!P105="","",IF(COUNTIF('＠MFP (LSI name)'!P105,"Serial*")+COUNTIF('＠MFP (LSI name)'!P105,"Analog*")&gt;0,'＠MFP (LSI name)'!P105,OFFSET('＠グループ、表示名'!$H$4,MATCH('＠MFP (LSI name)'!P105,'＠グループ、表示名'!$D$4:$D$250,0)-1,0)))</f>
        <v/>
      </c>
      <c r="Q105" s="69" t="str">
        <f ca="1">IF('＠MFP (LSI name)'!Q105="","",IF(COUNTIF('＠MFP (LSI name)'!Q105,"Serial*")+COUNTIF('＠MFP (LSI name)'!Q105,"Analog*")&gt;0,'＠MFP (LSI name)'!Q105,OFFSET('＠グループ、表示名'!$H$4,MATCH('＠MFP (LSI name)'!Q105,'＠グループ、表示名'!$D$4:$D$250,0)-1,0)))</f>
        <v/>
      </c>
      <c r="R105" s="69" t="str">
        <f ca="1">IF('＠MFP (LSI name)'!R105="","",IF(COUNTIF('＠MFP (LSI name)'!R105,"Serial*")+COUNTIF('＠MFP (LSI name)'!R105,"Analog*")&gt;0,'＠MFP (LSI name)'!R105,OFFSET('＠グループ、表示名'!$H$4,MATCH('＠MFP (LSI name)'!R105,'＠グループ、表示名'!$D$4:$D$250,0)-1,0)))</f>
        <v/>
      </c>
      <c r="S105" s="69" t="str">
        <f ca="1">IF('＠MFP (LSI name)'!S105="","",IF(COUNTIF('＠MFP (LSI name)'!S105,"Serial*")+COUNTIF('＠MFP (LSI name)'!S105,"Analog*")&gt;0,'＠MFP (LSI name)'!S105,OFFSET('＠グループ、表示名'!$H$4,MATCH('＠MFP (LSI name)'!S105,'＠グループ、表示名'!$D$4:$D$250,0)-1,0)))</f>
        <v/>
      </c>
      <c r="T105" s="69" t="str">
        <f ca="1">IF('＠MFP (LSI name)'!T105="","",IF(COUNTIF('＠MFP (LSI name)'!T105,"Serial*")+COUNTIF('＠MFP (LSI name)'!T105,"Analog*")&gt;0,'＠MFP (LSI name)'!T105,OFFSET('＠グループ、表示名'!$H$4,MATCH('＠MFP (LSI name)'!T105,'＠グループ、表示名'!$D$4:$D$250,0)-1,0)))</f>
        <v/>
      </c>
      <c r="U105" s="69" t="str">
        <f ca="1">IF('＠MFP (LSI name)'!U105="","",IF(COUNTIF('＠MFP (LSI name)'!U105,"Serial*")+COUNTIF('＠MFP (LSI name)'!U105,"Analog*")&gt;0,'＠MFP (LSI name)'!U105,OFFSET('＠グループ、表示名'!$H$4,MATCH('＠MFP (LSI name)'!U105,'＠グループ、表示名'!$D$4:$D$250,0)-1,0)))</f>
        <v/>
      </c>
      <c r="V105" s="69" t="str">
        <f ca="1">IF('＠MFP (LSI name)'!V105="","",IF(COUNTIF('＠MFP (LSI name)'!V105,"Serial*")+COUNTIF('＠MFP (LSI name)'!V105,"Analog*")&gt;0,'＠MFP (LSI name)'!V105,OFFSET('＠グループ、表示名'!$H$4,MATCH('＠MFP (LSI name)'!V105,'＠グループ、表示名'!$D$4:$D$250,0)-1,0)))</f>
        <v/>
      </c>
      <c r="W105" s="69" t="str">
        <f ca="1">IF('＠MFP (LSI name)'!W105="","",IF(COUNTIF('＠MFP (LSI name)'!W105,"Serial*")+COUNTIF('＠MFP (LSI name)'!W105,"Analog*")&gt;0,'＠MFP (LSI name)'!W105,OFFSET('＠グループ、表示名'!$H$4,MATCH('＠MFP (LSI name)'!W105,'＠グループ、表示名'!$D$4:$D$250,0)-1,0)))</f>
        <v/>
      </c>
      <c r="X105" s="69" t="str">
        <f ca="1">IF('＠MFP (LSI name)'!X105="","",IF(COUNTIF('＠MFP (LSI name)'!X105,"Serial*")+COUNTIF('＠MFP (LSI name)'!X105,"Analog*")&gt;0,'＠MFP (LSI name)'!X105,OFFSET('＠グループ、表示名'!$H$4,MATCH('＠MFP (LSI name)'!X105,'＠グループ、表示名'!$D$4:$D$250,0)-1,0)))</f>
        <v/>
      </c>
      <c r="Y105" s="18" t="str">
        <f ca="1">IF('＠MFP (LSI name)'!Y105="","",IF(COUNTIF('＠MFP (LSI name)'!Y105,"Serial*")+COUNTIF('＠MFP (LSI name)'!Y105,"Analog*")&gt;0,'＠MFP (LSI name)'!Y105,OFFSET('＠グループ、表示名'!$H$4,MATCH('＠MFP (LSI name)'!Y105,'＠グループ、表示名'!$D$4:$D$250,0)-1,0)))</f>
        <v/>
      </c>
      <c r="Z105" s="18" t="str">
        <f ca="1">IF('＠MFP (LSI name)'!Z105="","",IF(COUNTIF('＠MFP (LSI name)'!Z105,"Serial*")+COUNTIF('＠MFP (LSI name)'!Z105,"Analog*")&gt;0,'＠MFP (LSI name)'!Z105,OFFSET('＠グループ、表示名'!$H$4,MATCH('＠MFP (LSI name)'!Z105,'＠グループ、表示名'!$D$4:$D$250,0)-1,0)))</f>
        <v/>
      </c>
      <c r="AA105" s="69" t="str">
        <f ca="1">IF('＠MFP (LSI name)'!AA105="","",IF(COUNTIF('＠MFP (LSI name)'!AA105,"Serial*")+COUNTIF('＠MFP (LSI name)'!AA105,"Analog*")&gt;0,'＠MFP (LSI name)'!AA105,OFFSET('＠グループ、表示名'!$H$4,MATCH('＠MFP (LSI name)'!AA105,'＠グループ、表示名'!$D$4:$D$250,0)-1,0)))</f>
        <v/>
      </c>
      <c r="AB105" s="69" t="str">
        <f ca="1">IF('＠MFP (LSI name)'!AB105="","",IF(COUNTIF('＠MFP (LSI name)'!AB105,"Serial*")+COUNTIF('＠MFP (LSI name)'!AB105,"Analog*")&gt;0,'＠MFP (LSI name)'!AB105,OFFSET('＠グループ、表示名'!$H$4,MATCH('＠MFP (LSI name)'!AB105,'＠グループ、表示名'!$D$4:$D$250,0)-1,0)))</f>
        <v/>
      </c>
      <c r="AC105" s="69" t="str">
        <f ca="1">IF('＠MFP (LSI name)'!AC105="","",IF(COUNTIF('＠MFP (LSI name)'!AC105,"Serial*")+COUNTIF('＠MFP (LSI name)'!AC105,"Analog*")&gt;0,'＠MFP (LSI name)'!AC105,OFFSET('＠グループ、表示名'!$H$4,MATCH('＠MFP (LSI name)'!AC105,'＠グループ、表示名'!$D$4:$D$250,0)-1,0)))</f>
        <v/>
      </c>
      <c r="AD105" s="69" t="str">
        <f ca="1">IF('＠MFP (LSI name)'!AD105="","",IF(COUNTIF('＠MFP (LSI name)'!AD105,"Serial*")+COUNTIF('＠MFP (LSI name)'!AD105,"Analog*")&gt;0,'＠MFP (LSI name)'!AD105,OFFSET('＠グループ、表示名'!$H$4,MATCH('＠MFP (LSI name)'!AD105,'＠グループ、表示名'!$D$4:$D$250,0)-1,0)))</f>
        <v/>
      </c>
      <c r="AE105" s="18" t="str">
        <f ca="1">IF('＠MFP (LSI name)'!AE105="","",IF(COUNTIF('＠MFP (LSI name)'!AE105,"Serial*")+COUNTIF('＠MFP (LSI name)'!AE105,"Analog*")&gt;0,'＠MFP (LSI name)'!AE105,OFFSET('＠グループ、表示名'!$H$4,MATCH('＠MFP (LSI name)'!AE105,'＠グループ、表示名'!$D$4:$D$250,0)-1,0)))</f>
        <v/>
      </c>
      <c r="AF105" s="69" t="str">
        <f ca="1">IF('＠MFP (LSI name)'!AF105="","",IF(COUNTIF('＠MFP (LSI name)'!AF105,"Serial*")+COUNTIF('＠MFP (LSI name)'!AF105,"Analog*")&gt;0,'＠MFP (LSI name)'!AF105,OFFSET('＠グループ、表示名'!$H$4,MATCH('＠MFP (LSI name)'!AF105,'＠グループ、表示名'!$D$4:$D$250,0)-1,0)))</f>
        <v/>
      </c>
      <c r="AG105" s="69" t="str">
        <f ca="1">IF('＠MFP (LSI name)'!AG105="","",IF(COUNTIF('＠MFP (LSI name)'!AG105,"Serial*")+COUNTIF('＠MFP (LSI name)'!AG105,"Analog*")&gt;0,'＠MFP (LSI name)'!AG105,OFFSET('＠グループ、表示名'!$H$4,MATCH('＠MFP (LSI name)'!AG105,'＠グループ、表示名'!$D$4:$D$250,0)-1,0)))</f>
        <v/>
      </c>
      <c r="AH105" s="69" t="str">
        <f ca="1">IF('＠MFP (LSI name)'!AH105="","",IF(COUNTIF('＠MFP (LSI name)'!AH105,"Serial*")+COUNTIF('＠MFP (LSI name)'!AH105,"Analog*")&gt;0,'＠MFP (LSI name)'!AH105,OFFSET('＠グループ、表示名'!$H$4,MATCH('＠MFP (LSI name)'!AH105,'＠グループ、表示名'!$D$4:$D$250,0)-1,0)))</f>
        <v/>
      </c>
      <c r="AI105" s="69" t="str">
        <f ca="1">IF('＠MFP (LSI name)'!AI105="","",IF(COUNTIF('＠MFP (LSI name)'!AI105,"Serial*")+COUNTIF('＠MFP (LSI name)'!AI105,"Analog*")&gt;0,'＠MFP (LSI name)'!AI105,OFFSET('＠グループ、表示名'!$H$4,MATCH('＠MFP (LSI name)'!AI105,'＠グループ、表示名'!$D$4:$D$250,0)-1,0)))</f>
        <v/>
      </c>
      <c r="AJ105" s="18" t="str">
        <f ca="1">IF('＠MFP (LSI name)'!AJ105="","",IF(COUNTIF('＠MFP (LSI name)'!AJ105,"Serial*")+COUNTIF('＠MFP (LSI name)'!AJ105,"Analog*")&gt;0,'＠MFP (LSI name)'!AJ105,OFFSET('＠グループ、表示名'!$H$4,MATCH('＠MFP (LSI name)'!AJ105,'＠グループ、表示名'!$D$4:$D$250,0)-1,0)))</f>
        <v/>
      </c>
      <c r="AK105" s="69" t="str">
        <f ca="1">IF('＠MFP (LSI name)'!AK105="","",IF(COUNTIF('＠MFP (LSI name)'!AK105,"Serial*")+COUNTIF('＠MFP (LSI name)'!AK105,"Analog*")&gt;0,'＠MFP (LSI name)'!AK105,OFFSET('＠グループ、表示名'!$H$4,MATCH('＠MFP (LSI name)'!AK105,'＠グループ、表示名'!$D$4:$D$250,0)-1,0)))</f>
        <v/>
      </c>
      <c r="AL105" s="9" t="str">
        <f t="shared" si="8"/>
        <v>IOP8MD[7]</v>
      </c>
      <c r="AM105" s="9" t="str">
        <f t="shared" si="9"/>
        <v>IOP8MD[6]</v>
      </c>
      <c r="AN105" s="9" t="str">
        <f t="shared" si="10"/>
        <v>IOP8MD[5]</v>
      </c>
      <c r="AO105" s="9" t="str">
        <f t="shared" si="11"/>
        <v>IOP8MD[4]</v>
      </c>
      <c r="AP105" s="86"/>
    </row>
    <row r="106" spans="1:42" ht="16.149999999999999">
      <c r="A106" s="61">
        <v>98</v>
      </c>
      <c r="B106" s="7">
        <v>98</v>
      </c>
      <c r="C106" s="7"/>
      <c r="D106" s="87"/>
      <c r="E106" s="87"/>
      <c r="F106" s="7">
        <v>98</v>
      </c>
      <c r="G106" s="7"/>
      <c r="H106" s="87"/>
      <c r="I106" s="45" t="s">
        <v>598</v>
      </c>
      <c r="J106" s="45" t="s">
        <v>599</v>
      </c>
      <c r="K106" s="69" t="str">
        <f ca="1">IF('＠MFP (LSI name)'!K106="","",IF(COUNTIF('＠MFP (LSI name)'!K106,"Serial*")+COUNTIF('＠MFP (LSI name)'!K106,"Analog*")&gt;0,'＠MFP (LSI name)'!K106,OFFSET('＠グループ、表示名'!$H$4,MATCH('＠MFP (LSI name)'!K106,'＠グループ、表示名'!$D$4:$D$250,0)-1,0)))</f>
        <v>IRQ34</v>
      </c>
      <c r="L106" s="69" t="str">
        <f ca="1">IF('＠MFP (LSI name)'!L106="","",IF(COUNTIF('＠MFP (LSI name)'!L106,"Serial*")+COUNTIF('＠MFP (LSI name)'!L106,"Analog*")&gt;0,'＠MFP (LSI name)'!L106,OFFSET('＠グループ、表示名'!$H$4,MATCH('＠MFP (LSI name)'!L106,'＠グループ、表示名'!$D$4:$D$250,0)-1,0)))</f>
        <v>TM13A</v>
      </c>
      <c r="M106" s="18" t="str">
        <f ca="1">IF('＠MFP (LSI name)'!M106="","",IF(COUNTIF('＠MFP (LSI name)'!M106,"Serial*")+COUNTIF('＠MFP (LSI name)'!M106,"Analog*")&gt;0,'＠MFP (LSI name)'!M106,OFFSET('＠グループ、表示名'!$H$4,MATCH('＠MFP (LSI name)'!M106,'＠グループ、表示名'!$D$4:$D$250,0)-1,0)))</f>
        <v>SIF2_SBI2</v>
      </c>
      <c r="N106" s="18" t="str">
        <f ca="1">IF('＠MFP (LSI name)'!N106="","",IF(COUNTIF('＠MFP (LSI name)'!N106,"Serial*")+COUNTIF('＠MFP (LSI name)'!N106,"Analog*")&gt;0,'＠MFP (LSI name)'!N106,OFFSET('＠グループ、表示名'!$H$4,MATCH('＠MFP (LSI name)'!N106,'＠グループ、表示名'!$D$4:$D$250,0)-1,0)))</f>
        <v>SIF2_SBO2</v>
      </c>
      <c r="O106" s="69" t="str">
        <f ca="1">IF('＠MFP (LSI name)'!O106="","",IF(COUNTIF('＠MFP (LSI name)'!O106,"Serial*")+COUNTIF('＠MFP (LSI name)'!O106,"Analog*")&gt;0,'＠MFP (LSI name)'!O106,OFFSET('＠グループ、表示名'!$H$4,MATCH('＠MFP (LSI name)'!O106,'＠グループ、表示名'!$D$4:$D$250,0)-1,0)))</f>
        <v>SIF2_SBT2</v>
      </c>
      <c r="P106" s="69" t="str">
        <f ca="1">IF('＠MFP (LSI name)'!P106="","",IF(COUNTIF('＠MFP (LSI name)'!P106,"Serial*")+COUNTIF('＠MFP (LSI name)'!P106,"Analog*")&gt;0,'＠MFP (LSI name)'!P106,OFFSET('＠グループ、表示名'!$H$4,MATCH('＠MFP (LSI name)'!P106,'＠グループ、表示名'!$D$4:$D$250,0)-1,0)))</f>
        <v/>
      </c>
      <c r="Q106" s="69" t="str">
        <f ca="1">IF('＠MFP (LSI name)'!Q106="","",IF(COUNTIF('＠MFP (LSI name)'!Q106,"Serial*")+COUNTIF('＠MFP (LSI name)'!Q106,"Analog*")&gt;0,'＠MFP (LSI name)'!Q106,OFFSET('＠グループ、表示名'!$H$4,MATCH('＠MFP (LSI name)'!Q106,'＠グループ、表示名'!$D$4:$D$250,0)-1,0)))</f>
        <v/>
      </c>
      <c r="R106" s="69" t="str">
        <f ca="1">IF('＠MFP (LSI name)'!R106="","",IF(COUNTIF('＠MFP (LSI name)'!R106,"Serial*")+COUNTIF('＠MFP (LSI name)'!R106,"Analog*")&gt;0,'＠MFP (LSI name)'!R106,OFFSET('＠グループ、表示名'!$H$4,MATCH('＠MFP (LSI name)'!R106,'＠グループ、表示名'!$D$4:$D$250,0)-1,0)))</f>
        <v/>
      </c>
      <c r="S106" s="69" t="str">
        <f ca="1">IF('＠MFP (LSI name)'!S106="","",IF(COUNTIF('＠MFP (LSI name)'!S106,"Serial*")+COUNTIF('＠MFP (LSI name)'!S106,"Analog*")&gt;0,'＠MFP (LSI name)'!S106,OFFSET('＠グループ、表示名'!$H$4,MATCH('＠MFP (LSI name)'!S106,'＠グループ、表示名'!$D$4:$D$250,0)-1,0)))</f>
        <v/>
      </c>
      <c r="T106" s="69" t="str">
        <f ca="1">IF('＠MFP (LSI name)'!T106="","",IF(COUNTIF('＠MFP (LSI name)'!T106,"Serial*")+COUNTIF('＠MFP (LSI name)'!T106,"Analog*")&gt;0,'＠MFP (LSI name)'!T106,OFFSET('＠グループ、表示名'!$H$4,MATCH('＠MFP (LSI name)'!T106,'＠グループ、表示名'!$D$4:$D$250,0)-1,0)))</f>
        <v/>
      </c>
      <c r="U106" s="69" t="str">
        <f ca="1">IF('＠MFP (LSI name)'!U106="","",IF(COUNTIF('＠MFP (LSI name)'!U106,"Serial*")+COUNTIF('＠MFP (LSI name)'!U106,"Analog*")&gt;0,'＠MFP (LSI name)'!U106,OFFSET('＠グループ、表示名'!$H$4,MATCH('＠MFP (LSI name)'!U106,'＠グループ、表示名'!$D$4:$D$250,0)-1,0)))</f>
        <v/>
      </c>
      <c r="V106" s="69" t="str">
        <f ca="1">IF('＠MFP (LSI name)'!V106="","",IF(COUNTIF('＠MFP (LSI name)'!V106,"Serial*")+COUNTIF('＠MFP (LSI name)'!V106,"Analog*")&gt;0,'＠MFP (LSI name)'!V106,OFFSET('＠グループ、表示名'!$H$4,MATCH('＠MFP (LSI name)'!V106,'＠グループ、表示名'!$D$4:$D$250,0)-1,0)))</f>
        <v/>
      </c>
      <c r="W106" s="69" t="str">
        <f ca="1">IF('＠MFP (LSI name)'!W106="","",IF(COUNTIF('＠MFP (LSI name)'!W106,"Serial*")+COUNTIF('＠MFP (LSI name)'!W106,"Analog*")&gt;0,'＠MFP (LSI name)'!W106,OFFSET('＠グループ、表示名'!$H$4,MATCH('＠MFP (LSI name)'!W106,'＠グループ、表示名'!$D$4:$D$250,0)-1,0)))</f>
        <v/>
      </c>
      <c r="X106" s="69" t="str">
        <f ca="1">IF('＠MFP (LSI name)'!X106="","",IF(COUNTIF('＠MFP (LSI name)'!X106,"Serial*")+COUNTIF('＠MFP (LSI name)'!X106,"Analog*")&gt;0,'＠MFP (LSI name)'!X106,OFFSET('＠グループ、表示名'!$H$4,MATCH('＠MFP (LSI name)'!X106,'＠グループ、表示名'!$D$4:$D$250,0)-1,0)))</f>
        <v/>
      </c>
      <c r="Y106" s="18" t="str">
        <f ca="1">IF('＠MFP (LSI name)'!Y106="","",IF(COUNTIF('＠MFP (LSI name)'!Y106,"Serial*")+COUNTIF('＠MFP (LSI name)'!Y106,"Analog*")&gt;0,'＠MFP (LSI name)'!Y106,OFFSET('＠グループ、表示名'!$H$4,MATCH('＠MFP (LSI name)'!Y106,'＠グループ、表示名'!$D$4:$D$250,0)-1,0)))</f>
        <v/>
      </c>
      <c r="Z106" s="18" t="str">
        <f ca="1">IF('＠MFP (LSI name)'!Z106="","",IF(COUNTIF('＠MFP (LSI name)'!Z106,"Serial*")+COUNTIF('＠MFP (LSI name)'!Z106,"Analog*")&gt;0,'＠MFP (LSI name)'!Z106,OFFSET('＠グループ、表示名'!$H$4,MATCH('＠MFP (LSI name)'!Z106,'＠グループ、表示名'!$D$4:$D$250,0)-1,0)))</f>
        <v/>
      </c>
      <c r="AA106" s="69" t="str">
        <f ca="1">IF('＠MFP (LSI name)'!AA106="","",IF(COUNTIF('＠MFP (LSI name)'!AA106,"Serial*")+COUNTIF('＠MFP (LSI name)'!AA106,"Analog*")&gt;0,'＠MFP (LSI name)'!AA106,OFFSET('＠グループ、表示名'!$H$4,MATCH('＠MFP (LSI name)'!AA106,'＠グループ、表示名'!$D$4:$D$250,0)-1,0)))</f>
        <v/>
      </c>
      <c r="AB106" s="69" t="str">
        <f ca="1">IF('＠MFP (LSI name)'!AB106="","",IF(COUNTIF('＠MFP (LSI name)'!AB106,"Serial*")+COUNTIF('＠MFP (LSI name)'!AB106,"Analog*")&gt;0,'＠MFP (LSI name)'!AB106,OFFSET('＠グループ、表示名'!$H$4,MATCH('＠MFP (LSI name)'!AB106,'＠グループ、表示名'!$D$4:$D$250,0)-1,0)))</f>
        <v/>
      </c>
      <c r="AC106" s="69" t="str">
        <f ca="1">IF('＠MFP (LSI name)'!AC106="","",IF(COUNTIF('＠MFP (LSI name)'!AC106,"Serial*")+COUNTIF('＠MFP (LSI name)'!AC106,"Analog*")&gt;0,'＠MFP (LSI name)'!AC106,OFFSET('＠グループ、表示名'!$H$4,MATCH('＠MFP (LSI name)'!AC106,'＠グループ、表示名'!$D$4:$D$250,0)-1,0)))</f>
        <v/>
      </c>
      <c r="AD106" s="69" t="str">
        <f ca="1">IF('＠MFP (LSI name)'!AD106="","",IF(COUNTIF('＠MFP (LSI name)'!AD106,"Serial*")+COUNTIF('＠MFP (LSI name)'!AD106,"Analog*")&gt;0,'＠MFP (LSI name)'!AD106,OFFSET('＠グループ、表示名'!$H$4,MATCH('＠MFP (LSI name)'!AD106,'＠グループ、表示名'!$D$4:$D$250,0)-1,0)))</f>
        <v/>
      </c>
      <c r="AE106" s="18" t="str">
        <f ca="1">IF('＠MFP (LSI name)'!AE106="","",IF(COUNTIF('＠MFP (LSI name)'!AE106,"Serial*")+COUNTIF('＠MFP (LSI name)'!AE106,"Analog*")&gt;0,'＠MFP (LSI name)'!AE106,OFFSET('＠グループ、表示名'!$H$4,MATCH('＠MFP (LSI name)'!AE106,'＠グループ、表示名'!$D$4:$D$250,0)-1,0)))</f>
        <v/>
      </c>
      <c r="AF106" s="69" t="str">
        <f ca="1">IF('＠MFP (LSI name)'!AF106="","",IF(COUNTIF('＠MFP (LSI name)'!AF106,"Serial*")+COUNTIF('＠MFP (LSI name)'!AF106,"Analog*")&gt;0,'＠MFP (LSI name)'!AF106,OFFSET('＠グループ、表示名'!$H$4,MATCH('＠MFP (LSI name)'!AF106,'＠グループ、表示名'!$D$4:$D$250,0)-1,0)))</f>
        <v/>
      </c>
      <c r="AG106" s="69" t="str">
        <f ca="1">IF('＠MFP (LSI name)'!AG106="","",IF(COUNTIF('＠MFP (LSI name)'!AG106,"Serial*")+COUNTIF('＠MFP (LSI name)'!AG106,"Analog*")&gt;0,'＠MFP (LSI name)'!AG106,OFFSET('＠グループ、表示名'!$H$4,MATCH('＠MFP (LSI name)'!AG106,'＠グループ、表示名'!$D$4:$D$250,0)-1,0)))</f>
        <v/>
      </c>
      <c r="AH106" s="69" t="str">
        <f ca="1">IF('＠MFP (LSI name)'!AH106="","",IF(COUNTIF('＠MFP (LSI name)'!AH106,"Serial*")+COUNTIF('＠MFP (LSI name)'!AH106,"Analog*")&gt;0,'＠MFP (LSI name)'!AH106,OFFSET('＠グループ、表示名'!$H$4,MATCH('＠MFP (LSI name)'!AH106,'＠グループ、表示名'!$D$4:$D$250,0)-1,0)))</f>
        <v/>
      </c>
      <c r="AI106" s="69" t="str">
        <f ca="1">IF('＠MFP (LSI name)'!AI106="","",IF(COUNTIF('＠MFP (LSI name)'!AI106,"Serial*")+COUNTIF('＠MFP (LSI name)'!AI106,"Analog*")&gt;0,'＠MFP (LSI name)'!AI106,OFFSET('＠グループ、表示名'!$H$4,MATCH('＠MFP (LSI name)'!AI106,'＠グループ、表示名'!$D$4:$D$250,0)-1,0)))</f>
        <v/>
      </c>
      <c r="AJ106" s="18" t="str">
        <f ca="1">IF('＠MFP (LSI name)'!AJ106="","",IF(COUNTIF('＠MFP (LSI name)'!AJ106,"Serial*")+COUNTIF('＠MFP (LSI name)'!AJ106,"Analog*")&gt;0,'＠MFP (LSI name)'!AJ106,OFFSET('＠グループ、表示名'!$H$4,MATCH('＠MFP (LSI name)'!AJ106,'＠グループ、表示名'!$D$4:$D$250,0)-1,0)))</f>
        <v/>
      </c>
      <c r="AK106" s="69" t="str">
        <f ca="1">IF('＠MFP (LSI name)'!AK106="","",IF(COUNTIF('＠MFP (LSI name)'!AK106,"Serial*")+COUNTIF('＠MFP (LSI name)'!AK106,"Analog*")&gt;0,'＠MFP (LSI name)'!AK106,OFFSET('＠グループ、表示名'!$H$4,MATCH('＠MFP (LSI name)'!AK106,'＠グループ、表示名'!$D$4:$D$250,0)-1,0)))</f>
        <v/>
      </c>
      <c r="AL106" s="9" t="str">
        <f t="shared" si="8"/>
        <v>IOP8MD[3]</v>
      </c>
      <c r="AM106" s="9" t="str">
        <f t="shared" si="9"/>
        <v>IOP8MD[2]</v>
      </c>
      <c r="AN106" s="9" t="str">
        <f t="shared" si="10"/>
        <v>IOP8MD[1]</v>
      </c>
      <c r="AO106" s="9" t="str">
        <f t="shared" si="11"/>
        <v>IOP8MD[0]</v>
      </c>
      <c r="AP106" s="86"/>
    </row>
    <row r="107" spans="1:42" ht="16.149999999999999">
      <c r="A107" s="61">
        <v>99</v>
      </c>
      <c r="B107" s="7">
        <v>99</v>
      </c>
      <c r="C107" s="7">
        <v>79</v>
      </c>
      <c r="D107" s="87">
        <v>64</v>
      </c>
      <c r="E107" s="87"/>
      <c r="F107" s="7">
        <v>99</v>
      </c>
      <c r="G107" s="7">
        <v>79</v>
      </c>
      <c r="H107" s="87">
        <v>64</v>
      </c>
      <c r="I107" s="45" t="s">
        <v>600</v>
      </c>
      <c r="J107" s="45" t="s">
        <v>601</v>
      </c>
      <c r="K107" s="69" t="str">
        <f ca="1">IF('＠MFP (LSI name)'!K107="","",IF(COUNTIF('＠MFP (LSI name)'!K107,"Serial*")+COUNTIF('＠MFP (LSI name)'!K107,"Analog*")&gt;0,'＠MFP (LSI name)'!K107,OFFSET('＠グループ、表示名'!$H$4,MATCH('＠MFP (LSI name)'!K107,'＠グループ、表示名'!$D$4:$D$250,0)-1,0)))</f>
        <v>IRQ01</v>
      </c>
      <c r="L107" s="69" t="str">
        <f ca="1">IF('＠MFP (LSI name)'!L107="","",IF(COUNTIF('＠MFP (LSI name)'!L107,"Serial*")+COUNTIF('＠MFP (LSI name)'!L107,"Analog*")&gt;0,'＠MFP (LSI name)'!L107,OFFSET('＠グループ、表示名'!$H$4,MATCH('＠MFP (LSI name)'!L107,'＠グループ、表示名'!$D$4:$D$250,0)-1,0)))</f>
        <v>TM03A</v>
      </c>
      <c r="M107" s="69" t="str">
        <f ca="1">IF('＠MFP (LSI name)'!M107="","",IF(COUNTIF('＠MFP (LSI name)'!M107,"Serial*")+COUNTIF('＠MFP (LSI name)'!M107,"Analog*")&gt;0,'＠MFP (LSI name)'!M107,OFFSET('＠グループ、表示名'!$H$4,MATCH('＠MFP (LSI name)'!M107,'＠グループ、表示名'!$D$4:$D$250,0)-1,0)))</f>
        <v>TM12A</v>
      </c>
      <c r="N107" s="69" t="str">
        <f ca="1">IF('＠MFP (LSI name)'!N107="","",IF(COUNTIF('＠MFP (LSI name)'!N107,"Serial*")+COUNTIF('＠MFP (LSI name)'!N107,"Analog*")&gt;0,'＠MFP (LSI name)'!N107,OFFSET('＠グループ、表示名'!$H$4,MATCH('＠MFP (LSI name)'!N107,'＠グループ、表示名'!$D$4:$D$250,0)-1,0)))</f>
        <v>GPWM0_GPWM00</v>
      </c>
      <c r="O107" s="69" t="str">
        <f ca="1">IF('＠MFP (LSI name)'!O107="","",IF(COUNTIF('＠MFP (LSI name)'!O107,"Serial*")+COUNTIF('＠MFP (LSI name)'!O107,"Analog*")&gt;0,'＠MFP (LSI name)'!O107,OFFSET('＠グループ、表示名'!$H$4,MATCH('＠MFP (LSI name)'!O107,'＠グループ、表示名'!$D$4:$D$250,0)-1,0)))</f>
        <v/>
      </c>
      <c r="P107" s="69" t="str">
        <f ca="1">IF('＠MFP (LSI name)'!P107="","",IF(COUNTIF('＠MFP (LSI name)'!P107,"Serial*")+COUNTIF('＠MFP (LSI name)'!P107,"Analog*")&gt;0,'＠MFP (LSI name)'!P107,OFFSET('＠グループ、表示名'!$H$4,MATCH('＠MFP (LSI name)'!P107,'＠グループ、表示名'!$D$4:$D$250,0)-1,0)))</f>
        <v/>
      </c>
      <c r="Q107" s="69" t="str">
        <f ca="1">IF('＠MFP (LSI name)'!Q107="","",IF(COUNTIF('＠MFP (LSI name)'!Q107,"Serial*")+COUNTIF('＠MFP (LSI name)'!Q107,"Analog*")&gt;0,'＠MFP (LSI name)'!Q107,OFFSET('＠グループ、表示名'!$H$4,MATCH('＠MFP (LSI name)'!Q107,'＠グループ、表示名'!$D$4:$D$250,0)-1,0)))</f>
        <v/>
      </c>
      <c r="R107" s="69" t="str">
        <f ca="1">IF('＠MFP (LSI name)'!R107="","",IF(COUNTIF('＠MFP (LSI name)'!R107,"Serial*")+COUNTIF('＠MFP (LSI name)'!R107,"Analog*")&gt;0,'＠MFP (LSI name)'!R107,OFFSET('＠グループ、表示名'!$H$4,MATCH('＠MFP (LSI name)'!R107,'＠グループ、表示名'!$D$4:$D$250,0)-1,0)))</f>
        <v/>
      </c>
      <c r="S107" s="69" t="str">
        <f ca="1">IF('＠MFP (LSI name)'!S107="","",IF(COUNTIF('＠MFP (LSI name)'!S107,"Serial*")+COUNTIF('＠MFP (LSI name)'!S107,"Analog*")&gt;0,'＠MFP (LSI name)'!S107,OFFSET('＠グループ、表示名'!$H$4,MATCH('＠MFP (LSI name)'!S107,'＠グループ、表示名'!$D$4:$D$250,0)-1,0)))</f>
        <v/>
      </c>
      <c r="T107" s="69" t="str">
        <f ca="1">IF('＠MFP (LSI name)'!T107="","",IF(COUNTIF('＠MFP (LSI name)'!T107,"Serial*")+COUNTIF('＠MFP (LSI name)'!T107,"Analog*")&gt;0,'＠MFP (LSI name)'!T107,OFFSET('＠グループ、表示名'!$H$4,MATCH('＠MFP (LSI name)'!T107,'＠グループ、表示名'!$D$4:$D$250,0)-1,0)))</f>
        <v/>
      </c>
      <c r="U107" s="69" t="str">
        <f ca="1">IF('＠MFP (LSI name)'!U107="","",IF(COUNTIF('＠MFP (LSI name)'!U107,"Serial*")+COUNTIF('＠MFP (LSI name)'!U107,"Analog*")&gt;0,'＠MFP (LSI name)'!U107,OFFSET('＠グループ、表示名'!$H$4,MATCH('＠MFP (LSI name)'!U107,'＠グループ、表示名'!$D$4:$D$250,0)-1,0)))</f>
        <v/>
      </c>
      <c r="V107" s="69" t="str">
        <f ca="1">IF('＠MFP (LSI name)'!V107="","",IF(COUNTIF('＠MFP (LSI name)'!V107,"Serial*")+COUNTIF('＠MFP (LSI name)'!V107,"Analog*")&gt;0,'＠MFP (LSI name)'!V107,OFFSET('＠グループ、表示名'!$H$4,MATCH('＠MFP (LSI name)'!V107,'＠グループ、表示名'!$D$4:$D$250,0)-1,0)))</f>
        <v/>
      </c>
      <c r="W107" s="69" t="str">
        <f ca="1">IF('＠MFP (LSI name)'!W107="","",IF(COUNTIF('＠MFP (LSI name)'!W107,"Serial*")+COUNTIF('＠MFP (LSI name)'!W107,"Analog*")&gt;0,'＠MFP (LSI name)'!W107,OFFSET('＠グループ、表示名'!$H$4,MATCH('＠MFP (LSI name)'!W107,'＠グループ、表示名'!$D$4:$D$250,0)-1,0)))</f>
        <v/>
      </c>
      <c r="X107" s="69" t="str">
        <f ca="1">IF('＠MFP (LSI name)'!X107="","",IF(COUNTIF('＠MFP (LSI name)'!X107,"Serial*")+COUNTIF('＠MFP (LSI name)'!X107,"Analog*")&gt;0,'＠MFP (LSI name)'!X107,OFFSET('＠グループ、表示名'!$H$4,MATCH('＠MFP (LSI name)'!X107,'＠グループ、表示名'!$D$4:$D$250,0)-1,0)))</f>
        <v/>
      </c>
      <c r="Y107" s="18" t="str">
        <f ca="1">IF('＠MFP (LSI name)'!Y107="","",IF(COUNTIF('＠MFP (LSI name)'!Y107,"Serial*")+COUNTIF('＠MFP (LSI name)'!Y107,"Analog*")&gt;0,'＠MFP (LSI name)'!Y107,OFFSET('＠グループ、表示名'!$H$4,MATCH('＠MFP (LSI name)'!Y107,'＠グループ、表示名'!$D$4:$D$250,0)-1,0)))</f>
        <v/>
      </c>
      <c r="Z107" s="18" t="str">
        <f ca="1">IF('＠MFP (LSI name)'!Z107="","",IF(COUNTIF('＠MFP (LSI name)'!Z107,"Serial*")+COUNTIF('＠MFP (LSI name)'!Z107,"Analog*")&gt;0,'＠MFP (LSI name)'!Z107,OFFSET('＠グループ、表示名'!$H$4,MATCH('＠MFP (LSI name)'!Z107,'＠グループ、表示名'!$D$4:$D$250,0)-1,0)))</f>
        <v/>
      </c>
      <c r="AA107" s="69" t="str">
        <f ca="1">IF('＠MFP (LSI name)'!AA107="","",IF(COUNTIF('＠MFP (LSI name)'!AA107,"Serial*")+COUNTIF('＠MFP (LSI name)'!AA107,"Analog*")&gt;0,'＠MFP (LSI name)'!AA107,OFFSET('＠グループ、表示名'!$H$4,MATCH('＠MFP (LSI name)'!AA107,'＠グループ、表示名'!$D$4:$D$250,0)-1,0)))</f>
        <v/>
      </c>
      <c r="AB107" s="69" t="str">
        <f ca="1">IF('＠MFP (LSI name)'!AB107="","",IF(COUNTIF('＠MFP (LSI name)'!AB107,"Serial*")+COUNTIF('＠MFP (LSI name)'!AB107,"Analog*")&gt;0,'＠MFP (LSI name)'!AB107,OFFSET('＠グループ、表示名'!$H$4,MATCH('＠MFP (LSI name)'!AB107,'＠グループ、表示名'!$D$4:$D$250,0)-1,0)))</f>
        <v/>
      </c>
      <c r="AC107" s="69" t="str">
        <f ca="1">IF('＠MFP (LSI name)'!AC107="","",IF(COUNTIF('＠MFP (LSI name)'!AC107,"Serial*")+COUNTIF('＠MFP (LSI name)'!AC107,"Analog*")&gt;0,'＠MFP (LSI name)'!AC107,OFFSET('＠グループ、表示名'!$H$4,MATCH('＠MFP (LSI name)'!AC107,'＠グループ、表示名'!$D$4:$D$250,0)-1,0)))</f>
        <v/>
      </c>
      <c r="AD107" s="69" t="str">
        <f ca="1">IF('＠MFP (LSI name)'!AD107="","",IF(COUNTIF('＠MFP (LSI name)'!AD107,"Serial*")+COUNTIF('＠MFP (LSI name)'!AD107,"Analog*")&gt;0,'＠MFP (LSI name)'!AD107,OFFSET('＠グループ、表示名'!$H$4,MATCH('＠MFP (LSI name)'!AD107,'＠グループ、表示名'!$D$4:$D$250,0)-1,0)))</f>
        <v/>
      </c>
      <c r="AE107" s="18" t="str">
        <f ca="1">IF('＠MFP (LSI name)'!AE107="","",IF(COUNTIF('＠MFP (LSI name)'!AE107,"Serial*")+COUNTIF('＠MFP (LSI name)'!AE107,"Analog*")&gt;0,'＠MFP (LSI name)'!AE107,OFFSET('＠グループ、表示名'!$H$4,MATCH('＠MFP (LSI name)'!AE107,'＠グループ、表示名'!$D$4:$D$250,0)-1,0)))</f>
        <v/>
      </c>
      <c r="AF107" s="69" t="str">
        <f ca="1">IF('＠MFP (LSI name)'!AF107="","",IF(COUNTIF('＠MFP (LSI name)'!AF107,"Serial*")+COUNTIF('＠MFP (LSI name)'!AF107,"Analog*")&gt;0,'＠MFP (LSI name)'!AF107,OFFSET('＠グループ、表示名'!$H$4,MATCH('＠MFP (LSI name)'!AF107,'＠グループ、表示名'!$D$4:$D$250,0)-1,0)))</f>
        <v/>
      </c>
      <c r="AG107" s="69" t="str">
        <f ca="1">IF('＠MFP (LSI name)'!AG107="","",IF(COUNTIF('＠MFP (LSI name)'!AG107,"Serial*")+COUNTIF('＠MFP (LSI name)'!AG107,"Analog*")&gt;0,'＠MFP (LSI name)'!AG107,OFFSET('＠グループ、表示名'!$H$4,MATCH('＠MFP (LSI name)'!AG107,'＠グループ、表示名'!$D$4:$D$250,0)-1,0)))</f>
        <v/>
      </c>
      <c r="AH107" s="69" t="str">
        <f ca="1">IF('＠MFP (LSI name)'!AH107="","",IF(COUNTIF('＠MFP (LSI name)'!AH107,"Serial*")+COUNTIF('＠MFP (LSI name)'!AH107,"Analog*")&gt;0,'＠MFP (LSI name)'!AH107,OFFSET('＠グループ、表示名'!$H$4,MATCH('＠MFP (LSI name)'!AH107,'＠グループ、表示名'!$D$4:$D$250,0)-1,0)))</f>
        <v/>
      </c>
      <c r="AI107" s="69" t="str">
        <f ca="1">IF('＠MFP (LSI name)'!AI107="","",IF(COUNTIF('＠MFP (LSI name)'!AI107,"Serial*")+COUNTIF('＠MFP (LSI name)'!AI107,"Analog*")&gt;0,'＠MFP (LSI name)'!AI107,OFFSET('＠グループ、表示名'!$H$4,MATCH('＠MFP (LSI name)'!AI107,'＠グループ、表示名'!$D$4:$D$250,0)-1,0)))</f>
        <v/>
      </c>
      <c r="AJ107" s="18" t="str">
        <f ca="1">IF('＠MFP (LSI name)'!AJ107="","",IF(COUNTIF('＠MFP (LSI name)'!AJ107,"Serial*")+COUNTIF('＠MFP (LSI name)'!AJ107,"Analog*")&gt;0,'＠MFP (LSI name)'!AJ107,OFFSET('＠グループ、表示名'!$H$4,MATCH('＠MFP (LSI name)'!AJ107,'＠グループ、表示名'!$D$4:$D$250,0)-1,0)))</f>
        <v/>
      </c>
      <c r="AK107" s="69" t="str">
        <f ca="1">IF('＠MFP (LSI name)'!AK107="","",IF(COUNTIF('＠MFP (LSI name)'!AK107,"Serial*")+COUNTIF('＠MFP (LSI name)'!AK107,"Analog*")&gt;0,'＠MFP (LSI name)'!AK107,OFFSET('＠グループ、表示名'!$H$4,MATCH('＠MFP (LSI name)'!AK107,'＠グループ、表示名'!$D$4:$D$250,0)-1,0)))</f>
        <v/>
      </c>
      <c r="AL107" s="9" t="str">
        <f t="shared" si="8"/>
        <v>IOP1MD[7]</v>
      </c>
      <c r="AM107" s="9" t="str">
        <f t="shared" si="9"/>
        <v>IOP1MD[6]</v>
      </c>
      <c r="AN107" s="9" t="str">
        <f t="shared" si="10"/>
        <v>IOP1MD[5]</v>
      </c>
      <c r="AO107" s="9" t="str">
        <f t="shared" si="11"/>
        <v>IOP1MD[4]</v>
      </c>
      <c r="AP107" s="86"/>
    </row>
    <row r="108" spans="1:42" ht="16.149999999999999">
      <c r="A108" s="61">
        <v>100</v>
      </c>
      <c r="B108" s="7">
        <v>100</v>
      </c>
      <c r="C108" s="7">
        <v>80</v>
      </c>
      <c r="D108" s="87"/>
      <c r="E108" s="87"/>
      <c r="F108" s="7">
        <v>100</v>
      </c>
      <c r="G108" s="7">
        <v>80</v>
      </c>
      <c r="H108" s="87"/>
      <c r="I108" s="45" t="s">
        <v>602</v>
      </c>
      <c r="J108" s="45" t="s">
        <v>603</v>
      </c>
      <c r="K108" s="69" t="str">
        <f ca="1">IF('＠MFP (LSI name)'!K108="","",IF(COUNTIF('＠MFP (LSI name)'!K108,"Serial*")+COUNTIF('＠MFP (LSI name)'!K108,"Analog*")&gt;0,'＠MFP (LSI name)'!K108,OFFSET('＠グループ、表示名'!$H$4,MATCH('＠MFP (LSI name)'!K108,'＠グループ、表示名'!$D$4:$D$250,0)-1,0)))</f>
        <v>IRQ00</v>
      </c>
      <c r="L108" s="69" t="str">
        <f ca="1">IF('＠MFP (LSI name)'!L108="","",IF(COUNTIF('＠MFP (LSI name)'!L108,"Serial*")+COUNTIF('＠MFP (LSI name)'!L108,"Analog*")&gt;0,'＠MFP (LSI name)'!L108,OFFSET('＠グループ、表示名'!$H$4,MATCH('＠MFP (LSI name)'!L108,'＠グループ、表示名'!$D$4:$D$250,0)-1,0)))</f>
        <v>IRQ15</v>
      </c>
      <c r="M108" s="69" t="str">
        <f ca="1">IF('＠MFP (LSI name)'!M108="","",IF(COUNTIF('＠MFP (LSI name)'!M108,"Serial*")+COUNTIF('＠MFP (LSI name)'!M108,"Analog*")&gt;0,'＠MFP (LSI name)'!M108,OFFSET('＠グループ、表示名'!$H$4,MATCH('＠MFP (LSI name)'!M108,'＠グループ、表示名'!$D$4:$D$250,0)-1,0)))</f>
        <v>IRQ33</v>
      </c>
      <c r="N108" s="69" t="str">
        <f ca="1">IF('＠MFP (LSI name)'!N108="","",IF(COUNTIF('＠MFP (LSI name)'!N108,"Serial*")+COUNTIF('＠MFP (LSI name)'!N108,"Analog*")&gt;0,'＠MFP (LSI name)'!N108,OFFSET('＠グループ、表示名'!$H$4,MATCH('＠MFP (LSI name)'!N108,'＠グループ、表示名'!$D$4:$D$250,0)-1,0)))</f>
        <v>TM12B</v>
      </c>
      <c r="O108" s="69" t="str">
        <f ca="1">IF('＠MFP (LSI name)'!O108="","",IF(COUNTIF('＠MFP (LSI name)'!O108,"Serial*")+COUNTIF('＠MFP (LSI name)'!O108,"Analog*")&gt;0,'＠MFP (LSI name)'!O108,OFFSET('＠グループ、表示名'!$H$4,MATCH('＠MFP (LSI name)'!O108,'＠グループ、表示名'!$D$4:$D$250,0)-1,0)))</f>
        <v>TM14B</v>
      </c>
      <c r="P108" s="18" t="str">
        <f ca="1">IF('＠MFP (LSI name)'!P108="","",IF(COUNTIF('＠MFP (LSI name)'!P108,"Serial*")+COUNTIF('＠MFP (LSI name)'!P108,"Analog*")&gt;0,'＠MFP (LSI name)'!P108,OFFSET('＠グループ、表示名'!$H$4,MATCH('＠MFP (LSI name)'!P108,'＠グループ、表示名'!$D$4:$D$250,0)-1,0)))</f>
        <v>SIF2_SBCS2</v>
      </c>
      <c r="Q108" s="69" t="str">
        <f ca="1">IF('＠MFP (LSI name)'!Q108="","",IF(COUNTIF('＠MFP (LSI name)'!Q108,"Serial*")+COUNTIF('＠MFP (LSI name)'!Q108,"Analog*")&gt;0,'＠MFP (LSI name)'!Q108,OFFSET('＠グループ、表示名'!$H$4,MATCH('＠MFP (LSI name)'!Q108,'＠グループ、表示名'!$D$4:$D$250,0)-1,0)))</f>
        <v/>
      </c>
      <c r="R108" s="69" t="str">
        <f ca="1">IF('＠MFP (LSI name)'!R108="","",IF(COUNTIF('＠MFP (LSI name)'!R108,"Serial*")+COUNTIF('＠MFP (LSI name)'!R108,"Analog*")&gt;0,'＠MFP (LSI name)'!R108,OFFSET('＠グループ、表示名'!$H$4,MATCH('＠MFP (LSI name)'!R108,'＠グループ、表示名'!$D$4:$D$250,0)-1,0)))</f>
        <v/>
      </c>
      <c r="S108" s="69" t="str">
        <f ca="1">IF('＠MFP (LSI name)'!S108="","",IF(COUNTIF('＠MFP (LSI name)'!S108,"Serial*")+COUNTIF('＠MFP (LSI name)'!S108,"Analog*")&gt;0,'＠MFP (LSI name)'!S108,OFFSET('＠グループ、表示名'!$H$4,MATCH('＠MFP (LSI name)'!S108,'＠グループ、表示名'!$D$4:$D$250,0)-1,0)))</f>
        <v/>
      </c>
      <c r="T108" s="69" t="str">
        <f ca="1">IF('＠MFP (LSI name)'!T108="","",IF(COUNTIF('＠MFP (LSI name)'!T108,"Serial*")+COUNTIF('＠MFP (LSI name)'!T108,"Analog*")&gt;0,'＠MFP (LSI name)'!T108,OFFSET('＠グループ、表示名'!$H$4,MATCH('＠MFP (LSI name)'!T108,'＠グループ、表示名'!$D$4:$D$250,0)-1,0)))</f>
        <v/>
      </c>
      <c r="U108" s="69" t="str">
        <f ca="1">IF('＠MFP (LSI name)'!U108="","",IF(COUNTIF('＠MFP (LSI name)'!U108,"Serial*")+COUNTIF('＠MFP (LSI name)'!U108,"Analog*")&gt;0,'＠MFP (LSI name)'!U108,OFFSET('＠グループ、表示名'!$H$4,MATCH('＠MFP (LSI name)'!U108,'＠グループ、表示名'!$D$4:$D$250,0)-1,0)))</f>
        <v/>
      </c>
      <c r="V108" s="69" t="str">
        <f ca="1">IF('＠MFP (LSI name)'!V108="","",IF(COUNTIF('＠MFP (LSI name)'!V108,"Serial*")+COUNTIF('＠MFP (LSI name)'!V108,"Analog*")&gt;0,'＠MFP (LSI name)'!V108,OFFSET('＠グループ、表示名'!$H$4,MATCH('＠MFP (LSI name)'!V108,'＠グループ、表示名'!$D$4:$D$250,0)-1,0)))</f>
        <v/>
      </c>
      <c r="W108" s="69" t="str">
        <f ca="1">IF('＠MFP (LSI name)'!W108="","",IF(COUNTIF('＠MFP (LSI name)'!W108,"Serial*")+COUNTIF('＠MFP (LSI name)'!W108,"Analog*")&gt;0,'＠MFP (LSI name)'!W108,OFFSET('＠グループ、表示名'!$H$4,MATCH('＠MFP (LSI name)'!W108,'＠グループ、表示名'!$D$4:$D$250,0)-1,0)))</f>
        <v/>
      </c>
      <c r="X108" s="69" t="str">
        <f ca="1">IF('＠MFP (LSI name)'!X108="","",IF(COUNTIF('＠MFP (LSI name)'!X108,"Serial*")+COUNTIF('＠MFP (LSI name)'!X108,"Analog*")&gt;0,'＠MFP (LSI name)'!X108,OFFSET('＠グループ、表示名'!$H$4,MATCH('＠MFP (LSI name)'!X108,'＠グループ、表示名'!$D$4:$D$250,0)-1,0)))</f>
        <v/>
      </c>
      <c r="Y108" s="18" t="str">
        <f ca="1">IF('＠MFP (LSI name)'!Y108="","",IF(COUNTIF('＠MFP (LSI name)'!Y108,"Serial*")+COUNTIF('＠MFP (LSI name)'!Y108,"Analog*")&gt;0,'＠MFP (LSI name)'!Y108,OFFSET('＠グループ、表示名'!$H$4,MATCH('＠MFP (LSI name)'!Y108,'＠グループ、表示名'!$D$4:$D$250,0)-1,0)))</f>
        <v/>
      </c>
      <c r="Z108" s="18" t="str">
        <f ca="1">IF('＠MFP (LSI name)'!Z108="","",IF(COUNTIF('＠MFP (LSI name)'!Z108,"Serial*")+COUNTIF('＠MFP (LSI name)'!Z108,"Analog*")&gt;0,'＠MFP (LSI name)'!Z108,OFFSET('＠グループ、表示名'!$H$4,MATCH('＠MFP (LSI name)'!Z108,'＠グループ、表示名'!$D$4:$D$250,0)-1,0)))</f>
        <v/>
      </c>
      <c r="AA108" s="69" t="str">
        <f ca="1">IF('＠MFP (LSI name)'!AA108="","",IF(COUNTIF('＠MFP (LSI name)'!AA108,"Serial*")+COUNTIF('＠MFP (LSI name)'!AA108,"Analog*")&gt;0,'＠MFP (LSI name)'!AA108,OFFSET('＠グループ、表示名'!$H$4,MATCH('＠MFP (LSI name)'!AA108,'＠グループ、表示名'!$D$4:$D$250,0)-1,0)))</f>
        <v/>
      </c>
      <c r="AB108" s="69" t="str">
        <f ca="1">IF('＠MFP (LSI name)'!AB108="","",IF(COUNTIF('＠MFP (LSI name)'!AB108,"Serial*")+COUNTIF('＠MFP (LSI name)'!AB108,"Analog*")&gt;0,'＠MFP (LSI name)'!AB108,OFFSET('＠グループ、表示名'!$H$4,MATCH('＠MFP (LSI name)'!AB108,'＠グループ、表示名'!$D$4:$D$250,0)-1,0)))</f>
        <v/>
      </c>
      <c r="AC108" s="69" t="str">
        <f ca="1">IF('＠MFP (LSI name)'!AC108="","",IF(COUNTIF('＠MFP (LSI name)'!AC108,"Serial*")+COUNTIF('＠MFP (LSI name)'!AC108,"Analog*")&gt;0,'＠MFP (LSI name)'!AC108,OFFSET('＠グループ、表示名'!$H$4,MATCH('＠MFP (LSI name)'!AC108,'＠グループ、表示名'!$D$4:$D$250,0)-1,0)))</f>
        <v/>
      </c>
      <c r="AD108" s="69" t="str">
        <f ca="1">IF('＠MFP (LSI name)'!AD108="","",IF(COUNTIF('＠MFP (LSI name)'!AD108,"Serial*")+COUNTIF('＠MFP (LSI name)'!AD108,"Analog*")&gt;0,'＠MFP (LSI name)'!AD108,OFFSET('＠グループ、表示名'!$H$4,MATCH('＠MFP (LSI name)'!AD108,'＠グループ、表示名'!$D$4:$D$250,0)-1,0)))</f>
        <v/>
      </c>
      <c r="AE108" s="18" t="str">
        <f ca="1">IF('＠MFP (LSI name)'!AE108="","",IF(COUNTIF('＠MFP (LSI name)'!AE108,"Serial*")+COUNTIF('＠MFP (LSI name)'!AE108,"Analog*")&gt;0,'＠MFP (LSI name)'!AE108,OFFSET('＠グループ、表示名'!$H$4,MATCH('＠MFP (LSI name)'!AE108,'＠グループ、表示名'!$D$4:$D$250,0)-1,0)))</f>
        <v/>
      </c>
      <c r="AF108" s="69" t="str">
        <f ca="1">IF('＠MFP (LSI name)'!AF108="","",IF(COUNTIF('＠MFP (LSI name)'!AF108,"Serial*")+COUNTIF('＠MFP (LSI name)'!AF108,"Analog*")&gt;0,'＠MFP (LSI name)'!AF108,OFFSET('＠グループ、表示名'!$H$4,MATCH('＠MFP (LSI name)'!AF108,'＠グループ、表示名'!$D$4:$D$250,0)-1,0)))</f>
        <v/>
      </c>
      <c r="AG108" s="69" t="str">
        <f ca="1">IF('＠MFP (LSI name)'!AG108="","",IF(COUNTIF('＠MFP (LSI name)'!AG108,"Serial*")+COUNTIF('＠MFP (LSI name)'!AG108,"Analog*")&gt;0,'＠MFP (LSI name)'!AG108,OFFSET('＠グループ、表示名'!$H$4,MATCH('＠MFP (LSI name)'!AG108,'＠グループ、表示名'!$D$4:$D$250,0)-1,0)))</f>
        <v/>
      </c>
      <c r="AH108" s="69" t="str">
        <f ca="1">IF('＠MFP (LSI name)'!AH108="","",IF(COUNTIF('＠MFP (LSI name)'!AH108,"Serial*")+COUNTIF('＠MFP (LSI name)'!AH108,"Analog*")&gt;0,'＠MFP (LSI name)'!AH108,OFFSET('＠グループ、表示名'!$H$4,MATCH('＠MFP (LSI name)'!AH108,'＠グループ、表示名'!$D$4:$D$250,0)-1,0)))</f>
        <v/>
      </c>
      <c r="AI108" s="69" t="str">
        <f ca="1">IF('＠MFP (LSI name)'!AI108="","",IF(COUNTIF('＠MFP (LSI name)'!AI108,"Serial*")+COUNTIF('＠MFP (LSI name)'!AI108,"Analog*")&gt;0,'＠MFP (LSI name)'!AI108,OFFSET('＠グループ、表示名'!$H$4,MATCH('＠MFP (LSI name)'!AI108,'＠グループ、表示名'!$D$4:$D$250,0)-1,0)))</f>
        <v/>
      </c>
      <c r="AJ108" s="18" t="str">
        <f ca="1">IF('＠MFP (LSI name)'!AJ108="","",IF(COUNTIF('＠MFP (LSI name)'!AJ108,"Serial*")+COUNTIF('＠MFP (LSI name)'!AJ108,"Analog*")&gt;0,'＠MFP (LSI name)'!AJ108,OFFSET('＠グループ、表示名'!$H$4,MATCH('＠MFP (LSI name)'!AJ108,'＠グループ、表示名'!$D$4:$D$250,0)-1,0)))</f>
        <v/>
      </c>
      <c r="AK108" s="69" t="str">
        <f ca="1">IF('＠MFP (LSI name)'!AK108="","",IF(COUNTIF('＠MFP (LSI name)'!AK108,"Serial*")+COUNTIF('＠MFP (LSI name)'!AK108,"Analog*")&gt;0,'＠MFP (LSI name)'!AK108,OFFSET('＠グループ、表示名'!$H$4,MATCH('＠MFP (LSI name)'!AK108,'＠グループ、表示名'!$D$4:$D$250,0)-1,0)))</f>
        <v/>
      </c>
      <c r="AL108" s="9" t="str">
        <f t="shared" si="8"/>
        <v>IOP1MD[3]</v>
      </c>
      <c r="AM108" s="9" t="str">
        <f t="shared" si="9"/>
        <v>IOP1MD[2]</v>
      </c>
      <c r="AN108" s="9" t="str">
        <f t="shared" si="10"/>
        <v>IOP1MD[1]</v>
      </c>
      <c r="AO108" s="9" t="str">
        <f t="shared" si="11"/>
        <v>IOP1MD[0]</v>
      </c>
      <c r="AP108" s="86"/>
    </row>
  </sheetData>
  <autoFilter ref="A1:AP108" xr:uid="{00000000-0009-0000-0000-000001000000}"/>
  <mergeCells count="1">
    <mergeCell ref="Y1:Z1"/>
  </mergeCells>
  <phoneticPr fontId="47"/>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2:J15"/>
  <sheetViews>
    <sheetView zoomScale="175" zoomScaleNormal="175" workbookViewId="0">
      <selection activeCell="D19" sqref="D19"/>
    </sheetView>
  </sheetViews>
  <sheetFormatPr defaultRowHeight="15"/>
  <cols>
    <col min="2" max="16" width="13.140625" customWidth="1"/>
  </cols>
  <sheetData>
    <row r="2" spans="2:10" ht="15.6" thickBot="1"/>
    <row r="3" spans="2:10" ht="16.5" customHeight="1">
      <c r="B3" s="20" t="s">
        <v>604</v>
      </c>
      <c r="C3" s="129" t="s">
        <v>605</v>
      </c>
      <c r="D3" s="130"/>
      <c r="E3" s="131" t="s">
        <v>606</v>
      </c>
      <c r="F3" s="131"/>
      <c r="G3" s="131" t="s">
        <v>607</v>
      </c>
      <c r="H3" s="131"/>
      <c r="I3" s="131" t="s">
        <v>608</v>
      </c>
      <c r="J3" s="132"/>
    </row>
    <row r="4" spans="2:10" ht="16.5" customHeight="1">
      <c r="B4" s="21" t="s">
        <v>609</v>
      </c>
      <c r="C4" s="81" t="s">
        <v>610</v>
      </c>
      <c r="D4" s="82" t="s">
        <v>611</v>
      </c>
      <c r="E4" s="81" t="s">
        <v>612</v>
      </c>
      <c r="F4" s="82" t="s">
        <v>613</v>
      </c>
      <c r="G4" s="81" t="s">
        <v>614</v>
      </c>
      <c r="H4" s="82" t="s">
        <v>615</v>
      </c>
      <c r="I4" s="81" t="s">
        <v>616</v>
      </c>
      <c r="J4" s="22" t="s">
        <v>617</v>
      </c>
    </row>
    <row r="5" spans="2:10" ht="16.5" customHeight="1" thickBot="1">
      <c r="B5" s="23" t="s">
        <v>618</v>
      </c>
      <c r="C5" s="83" t="s">
        <v>619</v>
      </c>
      <c r="D5" s="84" t="s">
        <v>620</v>
      </c>
      <c r="E5" s="83" t="s">
        <v>621</v>
      </c>
      <c r="F5" s="84" t="s">
        <v>622</v>
      </c>
      <c r="G5" s="83" t="s">
        <v>623</v>
      </c>
      <c r="H5" s="84" t="s">
        <v>624</v>
      </c>
      <c r="I5" s="83" t="s">
        <v>625</v>
      </c>
      <c r="J5" s="25" t="s">
        <v>625</v>
      </c>
    </row>
    <row r="6" spans="2:10">
      <c r="C6" s="73"/>
    </row>
    <row r="9" spans="2:10" ht="15.6" thickBot="1"/>
    <row r="10" spans="2:10" ht="46.9">
      <c r="B10" s="42" t="s">
        <v>456</v>
      </c>
      <c r="C10" s="43" t="s">
        <v>626</v>
      </c>
      <c r="D10" s="43" t="s">
        <v>627</v>
      </c>
      <c r="E10" s="43" t="s">
        <v>628</v>
      </c>
      <c r="F10" s="43" t="s">
        <v>629</v>
      </c>
      <c r="G10" s="43" t="s">
        <v>630</v>
      </c>
      <c r="H10" s="44" t="s">
        <v>631</v>
      </c>
    </row>
    <row r="11" spans="2:10" ht="15.6" thickBot="1">
      <c r="B11" s="26" t="s">
        <v>632</v>
      </c>
      <c r="C11" s="24" t="s">
        <v>633</v>
      </c>
      <c r="D11" s="24" t="s">
        <v>615</v>
      </c>
      <c r="E11" s="24" t="s">
        <v>617</v>
      </c>
      <c r="F11" s="24" t="s">
        <v>620</v>
      </c>
      <c r="G11" s="24" t="s">
        <v>622</v>
      </c>
      <c r="H11" s="25" t="s">
        <v>624</v>
      </c>
    </row>
    <row r="12" spans="2:10" ht="15.6" thickBot="1"/>
    <row r="13" spans="2:10" ht="15.6" thickBot="1">
      <c r="B13" s="27" t="s">
        <v>492</v>
      </c>
      <c r="C13" s="70" t="s">
        <v>634</v>
      </c>
      <c r="D13" s="28"/>
      <c r="E13" s="29"/>
    </row>
    <row r="14" spans="2:10" ht="15.6" thickBot="1"/>
    <row r="15" spans="2:10" ht="15.6" thickBot="1">
      <c r="B15" s="27" t="s">
        <v>485</v>
      </c>
      <c r="C15" s="70" t="s">
        <v>634</v>
      </c>
      <c r="D15" s="28"/>
      <c r="E15" s="29"/>
    </row>
  </sheetData>
  <mergeCells count="4">
    <mergeCell ref="C3:D3"/>
    <mergeCell ref="E3:F3"/>
    <mergeCell ref="G3:H3"/>
    <mergeCell ref="I3:J3"/>
  </mergeCells>
  <phoneticPr fontId="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
  <sheetViews>
    <sheetView zoomScale="115" zoomScaleNormal="115" workbookViewId="0">
      <selection activeCell="B19" sqref="B19"/>
    </sheetView>
  </sheetViews>
  <sheetFormatPr defaultColWidth="9.140625" defaultRowHeight="15"/>
  <cols>
    <col min="1" max="1" width="15.28515625" style="97" customWidth="1"/>
    <col min="2" max="8" width="23.42578125" style="97" customWidth="1"/>
    <col min="9" max="16384" width="9.140625" style="97"/>
  </cols>
  <sheetData>
    <row r="1" spans="1:17">
      <c r="A1" s="33"/>
      <c r="B1" s="34" t="s">
        <v>635</v>
      </c>
      <c r="C1" s="34" t="s">
        <v>635</v>
      </c>
      <c r="D1" s="34" t="s">
        <v>635</v>
      </c>
      <c r="E1" s="34" t="s">
        <v>635</v>
      </c>
      <c r="F1" s="34" t="s">
        <v>635</v>
      </c>
      <c r="G1" s="34" t="s">
        <v>635</v>
      </c>
      <c r="H1" s="30" t="s">
        <v>636</v>
      </c>
    </row>
    <row r="2" spans="1:17">
      <c r="A2" s="35"/>
      <c r="B2" s="31" t="s">
        <v>637</v>
      </c>
      <c r="C2" s="31" t="s">
        <v>638</v>
      </c>
      <c r="D2" s="31" t="s">
        <v>614</v>
      </c>
      <c r="E2" s="31" t="s">
        <v>616</v>
      </c>
      <c r="F2" s="31" t="s">
        <v>639</v>
      </c>
      <c r="G2" s="31" t="s">
        <v>621</v>
      </c>
      <c r="H2" s="36" t="s">
        <v>623</v>
      </c>
    </row>
    <row r="3" spans="1:17">
      <c r="A3" s="35" t="s">
        <v>640</v>
      </c>
      <c r="B3" s="32" t="s">
        <v>641</v>
      </c>
      <c r="C3" s="32" t="s">
        <v>642</v>
      </c>
      <c r="D3" s="32" t="s">
        <v>643</v>
      </c>
      <c r="E3" s="32" t="s">
        <v>644</v>
      </c>
      <c r="F3" s="32" t="s">
        <v>645</v>
      </c>
      <c r="G3" s="32" t="s">
        <v>646</v>
      </c>
      <c r="H3" s="37" t="s">
        <v>647</v>
      </c>
    </row>
    <row r="4" spans="1:17" customFormat="1">
      <c r="A4" s="133" t="s">
        <v>648</v>
      </c>
      <c r="B4" s="122"/>
      <c r="C4" s="122"/>
      <c r="D4" s="122"/>
      <c r="E4" s="122" t="s">
        <v>649</v>
      </c>
      <c r="F4" s="122"/>
      <c r="G4" s="122"/>
      <c r="H4" s="98"/>
      <c r="I4" s="97"/>
      <c r="J4" s="97"/>
      <c r="K4" s="97"/>
      <c r="L4" s="97"/>
      <c r="M4" s="97"/>
      <c r="N4" s="97"/>
      <c r="O4" s="97"/>
      <c r="P4" s="97"/>
      <c r="Q4" s="97"/>
    </row>
    <row r="5" spans="1:17" customFormat="1">
      <c r="A5" s="134"/>
      <c r="B5" s="123"/>
      <c r="C5" s="123"/>
      <c r="D5" s="123"/>
      <c r="E5" s="123" t="s">
        <v>650</v>
      </c>
      <c r="F5" s="123"/>
      <c r="G5" s="123"/>
      <c r="H5" s="98"/>
      <c r="I5" s="97"/>
      <c r="J5" s="97"/>
      <c r="K5" s="97"/>
      <c r="L5" s="97"/>
      <c r="M5" s="97"/>
      <c r="N5" s="97"/>
      <c r="O5" s="97"/>
      <c r="P5" s="97"/>
      <c r="Q5" s="97"/>
    </row>
    <row r="6" spans="1:17" customFormat="1" ht="15.6" thickBot="1">
      <c r="A6" s="135"/>
      <c r="B6" s="126"/>
      <c r="C6" s="126"/>
      <c r="D6" s="126"/>
      <c r="E6" s="126" t="s">
        <v>651</v>
      </c>
      <c r="F6" s="126"/>
      <c r="G6" s="126"/>
      <c r="H6" s="99"/>
      <c r="I6" s="97"/>
      <c r="J6" s="97"/>
      <c r="K6" s="97"/>
      <c r="L6" s="97"/>
      <c r="M6" s="97"/>
      <c r="N6" s="97"/>
      <c r="O6" s="97"/>
      <c r="P6" s="97"/>
      <c r="Q6" s="97"/>
    </row>
  </sheetData>
  <mergeCells count="1">
    <mergeCell ref="A4:A6"/>
  </mergeCells>
  <phoneticPr fontId="47"/>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B86"/>
  <sheetViews>
    <sheetView workbookViewId="0">
      <selection activeCell="H27" sqref="H27:H28"/>
    </sheetView>
  </sheetViews>
  <sheetFormatPr defaultRowHeight="15"/>
  <cols>
    <col min="1" max="1" width="15" customWidth="1"/>
    <col min="2" max="2" width="20.140625" customWidth="1"/>
  </cols>
  <sheetData>
    <row r="1" spans="1:2" ht="15.6" thickBot="1">
      <c r="A1" s="88" t="s">
        <v>652</v>
      </c>
      <c r="B1" s="89" t="s">
        <v>653</v>
      </c>
    </row>
    <row r="2" spans="1:2">
      <c r="A2" s="111" t="s">
        <v>654</v>
      </c>
      <c r="B2" s="112" t="s">
        <v>655</v>
      </c>
    </row>
    <row r="3" spans="1:2">
      <c r="A3" s="65" t="s">
        <v>656</v>
      </c>
      <c r="B3" s="66" t="s">
        <v>656</v>
      </c>
    </row>
    <row r="4" spans="1:2">
      <c r="A4" s="65" t="s">
        <v>657</v>
      </c>
      <c r="B4" s="66" t="s">
        <v>658</v>
      </c>
    </row>
    <row r="5" spans="1:2">
      <c r="A5" s="65" t="s">
        <v>657</v>
      </c>
      <c r="B5" s="66" t="s">
        <v>659</v>
      </c>
    </row>
    <row r="6" spans="1:2">
      <c r="A6" s="65" t="s">
        <v>657</v>
      </c>
      <c r="B6" s="66" t="s">
        <v>660</v>
      </c>
    </row>
    <row r="7" spans="1:2">
      <c r="A7" s="65" t="s">
        <v>657</v>
      </c>
      <c r="B7" s="66" t="s">
        <v>661</v>
      </c>
    </row>
    <row r="8" spans="1:2">
      <c r="A8" s="65" t="s">
        <v>657</v>
      </c>
      <c r="B8" s="66" t="s">
        <v>662</v>
      </c>
    </row>
    <row r="9" spans="1:2">
      <c r="A9" s="65" t="s">
        <v>657</v>
      </c>
      <c r="B9" s="66" t="s">
        <v>663</v>
      </c>
    </row>
    <row r="10" spans="1:2">
      <c r="A10" s="65" t="s">
        <v>657</v>
      </c>
      <c r="B10" s="66" t="s">
        <v>664</v>
      </c>
    </row>
    <row r="11" spans="1:2">
      <c r="A11" s="65" t="s">
        <v>657</v>
      </c>
      <c r="B11" s="66" t="s">
        <v>665</v>
      </c>
    </row>
    <row r="12" spans="1:2">
      <c r="A12" s="65" t="s">
        <v>657</v>
      </c>
      <c r="B12" s="66" t="s">
        <v>666</v>
      </c>
    </row>
    <row r="13" spans="1:2">
      <c r="A13" s="65" t="s">
        <v>657</v>
      </c>
      <c r="B13" s="66" t="s">
        <v>667</v>
      </c>
    </row>
    <row r="14" spans="1:2">
      <c r="A14" s="65" t="s">
        <v>657</v>
      </c>
      <c r="B14" s="66" t="s">
        <v>668</v>
      </c>
    </row>
    <row r="15" spans="1:2">
      <c r="A15" s="65" t="s">
        <v>657</v>
      </c>
      <c r="B15" s="66" t="s">
        <v>669</v>
      </c>
    </row>
    <row r="16" spans="1:2">
      <c r="A16" s="65" t="s">
        <v>657</v>
      </c>
      <c r="B16" s="66" t="s">
        <v>670</v>
      </c>
    </row>
    <row r="17" spans="1:2">
      <c r="A17" s="65" t="s">
        <v>657</v>
      </c>
      <c r="B17" s="66" t="s">
        <v>671</v>
      </c>
    </row>
    <row r="18" spans="1:2">
      <c r="A18" s="65" t="s">
        <v>657</v>
      </c>
      <c r="B18" s="66" t="s">
        <v>672</v>
      </c>
    </row>
    <row r="19" spans="1:2">
      <c r="A19" s="65" t="s">
        <v>657</v>
      </c>
      <c r="B19" s="66" t="s">
        <v>673</v>
      </c>
    </row>
    <row r="20" spans="1:2">
      <c r="A20" s="65" t="s">
        <v>657</v>
      </c>
      <c r="B20" s="66" t="s">
        <v>674</v>
      </c>
    </row>
    <row r="21" spans="1:2">
      <c r="A21" s="65" t="s">
        <v>657</v>
      </c>
      <c r="B21" s="66" t="s">
        <v>675</v>
      </c>
    </row>
    <row r="22" spans="1:2">
      <c r="A22" s="65" t="s">
        <v>657</v>
      </c>
      <c r="B22" s="66" t="s">
        <v>676</v>
      </c>
    </row>
    <row r="23" spans="1:2">
      <c r="A23" s="65" t="s">
        <v>657</v>
      </c>
      <c r="B23" s="66" t="s">
        <v>677</v>
      </c>
    </row>
    <row r="24" spans="1:2">
      <c r="A24" s="65" t="s">
        <v>657</v>
      </c>
      <c r="B24" s="66" t="s">
        <v>678</v>
      </c>
    </row>
    <row r="25" spans="1:2">
      <c r="A25" s="65" t="s">
        <v>657</v>
      </c>
      <c r="B25" s="66" t="s">
        <v>679</v>
      </c>
    </row>
    <row r="26" spans="1:2">
      <c r="A26" s="65" t="s">
        <v>657</v>
      </c>
      <c r="B26" s="66" t="s">
        <v>680</v>
      </c>
    </row>
    <row r="27" spans="1:2">
      <c r="A27" s="65" t="s">
        <v>657</v>
      </c>
      <c r="B27" s="66" t="s">
        <v>681</v>
      </c>
    </row>
    <row r="28" spans="1:2">
      <c r="A28" s="65" t="s">
        <v>657</v>
      </c>
      <c r="B28" s="66" t="s">
        <v>682</v>
      </c>
    </row>
    <row r="29" spans="1:2">
      <c r="A29" s="38" t="s">
        <v>683</v>
      </c>
      <c r="B29" s="39" t="s">
        <v>684</v>
      </c>
    </row>
    <row r="30" spans="1:2">
      <c r="A30" s="38" t="s">
        <v>683</v>
      </c>
      <c r="B30" s="39" t="s">
        <v>685</v>
      </c>
    </row>
    <row r="31" spans="1:2">
      <c r="A31" s="38" t="s">
        <v>686</v>
      </c>
      <c r="B31" s="39" t="s">
        <v>687</v>
      </c>
    </row>
    <row r="32" spans="1:2">
      <c r="A32" s="38" t="s">
        <v>686</v>
      </c>
      <c r="B32" s="39" t="s">
        <v>688</v>
      </c>
    </row>
    <row r="33" spans="1:2">
      <c r="A33" s="38" t="s">
        <v>689</v>
      </c>
      <c r="B33" s="39" t="s">
        <v>690</v>
      </c>
    </row>
    <row r="34" spans="1:2">
      <c r="A34" s="38" t="s">
        <v>689</v>
      </c>
      <c r="B34" s="39" t="s">
        <v>691</v>
      </c>
    </row>
    <row r="35" spans="1:2">
      <c r="A35" s="38" t="s">
        <v>692</v>
      </c>
      <c r="B35" s="39" t="s">
        <v>693</v>
      </c>
    </row>
    <row r="36" spans="1:2">
      <c r="A36" s="38" t="s">
        <v>692</v>
      </c>
      <c r="B36" s="39" t="s">
        <v>694</v>
      </c>
    </row>
    <row r="37" spans="1:2">
      <c r="A37" s="38" t="s">
        <v>695</v>
      </c>
      <c r="B37" s="39" t="s">
        <v>696</v>
      </c>
    </row>
    <row r="38" spans="1:2">
      <c r="A38" s="38" t="s">
        <v>695</v>
      </c>
      <c r="B38" s="39" t="s">
        <v>697</v>
      </c>
    </row>
    <row r="39" spans="1:2">
      <c r="A39" s="38" t="s">
        <v>698</v>
      </c>
      <c r="B39" s="39" t="s">
        <v>699</v>
      </c>
    </row>
    <row r="40" spans="1:2">
      <c r="A40" s="38" t="s">
        <v>698</v>
      </c>
      <c r="B40" s="39" t="s">
        <v>700</v>
      </c>
    </row>
    <row r="41" spans="1:2">
      <c r="A41" s="38" t="s">
        <v>701</v>
      </c>
      <c r="B41" s="39" t="s">
        <v>702</v>
      </c>
    </row>
    <row r="42" spans="1:2">
      <c r="A42" s="38" t="s">
        <v>701</v>
      </c>
      <c r="B42" s="39" t="s">
        <v>703</v>
      </c>
    </row>
    <row r="43" spans="1:2">
      <c r="A43" s="38" t="s">
        <v>704</v>
      </c>
      <c r="B43" s="39" t="s">
        <v>705</v>
      </c>
    </row>
    <row r="44" spans="1:2">
      <c r="A44" s="38" t="s">
        <v>704</v>
      </c>
      <c r="B44" s="39" t="s">
        <v>706</v>
      </c>
    </row>
    <row r="45" spans="1:2">
      <c r="A45" s="38" t="s">
        <v>707</v>
      </c>
      <c r="B45" s="39" t="s">
        <v>708</v>
      </c>
    </row>
    <row r="46" spans="1:2">
      <c r="A46" s="38" t="s">
        <v>707</v>
      </c>
      <c r="B46" s="39" t="s">
        <v>709</v>
      </c>
    </row>
    <row r="47" spans="1:2">
      <c r="A47" s="38" t="s">
        <v>710</v>
      </c>
      <c r="B47" s="39" t="s">
        <v>711</v>
      </c>
    </row>
    <row r="48" spans="1:2">
      <c r="A48" s="38" t="s">
        <v>710</v>
      </c>
      <c r="B48" s="39" t="s">
        <v>712</v>
      </c>
    </row>
    <row r="49" spans="1:2">
      <c r="A49" s="38" t="s">
        <v>713</v>
      </c>
      <c r="B49" s="39" t="s">
        <v>714</v>
      </c>
    </row>
    <row r="50" spans="1:2">
      <c r="A50" s="38" t="s">
        <v>713</v>
      </c>
      <c r="B50" s="39" t="s">
        <v>715</v>
      </c>
    </row>
    <row r="51" spans="1:2">
      <c r="A51" s="38" t="s">
        <v>716</v>
      </c>
      <c r="B51" s="39" t="s">
        <v>717</v>
      </c>
    </row>
    <row r="52" spans="1:2">
      <c r="A52" s="38" t="s">
        <v>716</v>
      </c>
      <c r="B52" s="39" t="s">
        <v>718</v>
      </c>
    </row>
    <row r="53" spans="1:2">
      <c r="A53" s="38" t="s">
        <v>719</v>
      </c>
      <c r="B53" s="39" t="s">
        <v>720</v>
      </c>
    </row>
    <row r="54" spans="1:2">
      <c r="A54" s="38" t="s">
        <v>719</v>
      </c>
      <c r="B54" s="39" t="s">
        <v>721</v>
      </c>
    </row>
    <row r="55" spans="1:2">
      <c r="A55" s="38" t="s">
        <v>722</v>
      </c>
      <c r="B55" s="39" t="s">
        <v>723</v>
      </c>
    </row>
    <row r="56" spans="1:2">
      <c r="A56" s="38" t="s">
        <v>722</v>
      </c>
      <c r="B56" s="39" t="s">
        <v>724</v>
      </c>
    </row>
    <row r="57" spans="1:2">
      <c r="A57" s="38" t="s">
        <v>475</v>
      </c>
      <c r="B57" s="39" t="s">
        <v>725</v>
      </c>
    </row>
    <row r="58" spans="1:2">
      <c r="A58" s="38" t="s">
        <v>475</v>
      </c>
      <c r="B58" s="39" t="s">
        <v>726</v>
      </c>
    </row>
    <row r="59" spans="1:2">
      <c r="A59" s="38" t="s">
        <v>475</v>
      </c>
      <c r="B59" s="39" t="s">
        <v>727</v>
      </c>
    </row>
    <row r="60" spans="1:2">
      <c r="A60" s="38" t="s">
        <v>475</v>
      </c>
      <c r="B60" s="39" t="s">
        <v>728</v>
      </c>
    </row>
    <row r="61" spans="1:2">
      <c r="A61" s="38" t="s">
        <v>475</v>
      </c>
      <c r="B61" s="39" t="s">
        <v>729</v>
      </c>
    </row>
    <row r="62" spans="1:2">
      <c r="A62" s="38" t="s">
        <v>475</v>
      </c>
      <c r="B62" s="39" t="s">
        <v>730</v>
      </c>
    </row>
    <row r="63" spans="1:2">
      <c r="A63" s="38" t="s">
        <v>475</v>
      </c>
      <c r="B63" s="39" t="s">
        <v>731</v>
      </c>
    </row>
    <row r="64" spans="1:2">
      <c r="A64" s="38" t="s">
        <v>475</v>
      </c>
      <c r="B64" s="39" t="s">
        <v>732</v>
      </c>
    </row>
    <row r="65" spans="1:2">
      <c r="A65" s="38" t="s">
        <v>475</v>
      </c>
      <c r="B65" s="39" t="s">
        <v>733</v>
      </c>
    </row>
    <row r="66" spans="1:2">
      <c r="A66" s="38" t="s">
        <v>475</v>
      </c>
      <c r="B66" s="39" t="s">
        <v>734</v>
      </c>
    </row>
    <row r="67" spans="1:2">
      <c r="A67" s="38" t="s">
        <v>475</v>
      </c>
      <c r="B67" s="39" t="s">
        <v>735</v>
      </c>
    </row>
    <row r="68" spans="1:2">
      <c r="A68" s="38" t="s">
        <v>475</v>
      </c>
      <c r="B68" s="39" t="s">
        <v>736</v>
      </c>
    </row>
    <row r="69" spans="1:2">
      <c r="A69" s="38" t="s">
        <v>475</v>
      </c>
      <c r="B69" s="39" t="s">
        <v>737</v>
      </c>
    </row>
    <row r="70" spans="1:2">
      <c r="A70" s="38" t="s">
        <v>475</v>
      </c>
      <c r="B70" s="39" t="s">
        <v>738</v>
      </c>
    </row>
    <row r="71" spans="1:2">
      <c r="A71" s="38" t="s">
        <v>475</v>
      </c>
      <c r="B71" s="39" t="s">
        <v>739</v>
      </c>
    </row>
    <row r="72" spans="1:2">
      <c r="A72" s="38" t="s">
        <v>475</v>
      </c>
      <c r="B72" s="39" t="s">
        <v>740</v>
      </c>
    </row>
    <row r="73" spans="1:2">
      <c r="A73" s="38" t="s">
        <v>475</v>
      </c>
      <c r="B73" s="39" t="s">
        <v>741</v>
      </c>
    </row>
    <row r="74" spans="1:2">
      <c r="A74" s="38" t="s">
        <v>475</v>
      </c>
      <c r="B74" s="39" t="s">
        <v>742</v>
      </c>
    </row>
    <row r="75" spans="1:2">
      <c r="A75" s="38" t="s">
        <v>475</v>
      </c>
      <c r="B75" s="39" t="s">
        <v>743</v>
      </c>
    </row>
    <row r="76" spans="1:2">
      <c r="A76" s="38" t="s">
        <v>475</v>
      </c>
      <c r="B76" s="39" t="s">
        <v>744</v>
      </c>
    </row>
    <row r="77" spans="1:2">
      <c r="A77" s="38" t="s">
        <v>475</v>
      </c>
      <c r="B77" s="39" t="s">
        <v>745</v>
      </c>
    </row>
    <row r="78" spans="1:2">
      <c r="A78" s="38" t="s">
        <v>475</v>
      </c>
      <c r="B78" s="39" t="s">
        <v>746</v>
      </c>
    </row>
    <row r="79" spans="1:2">
      <c r="A79" s="38" t="s">
        <v>475</v>
      </c>
      <c r="B79" s="39" t="s">
        <v>747</v>
      </c>
    </row>
    <row r="80" spans="1:2">
      <c r="A80" s="38" t="s">
        <v>475</v>
      </c>
      <c r="B80" s="39" t="s">
        <v>748</v>
      </c>
    </row>
    <row r="81" spans="1:2">
      <c r="A81" s="38" t="s">
        <v>475</v>
      </c>
      <c r="B81" s="39" t="s">
        <v>749</v>
      </c>
    </row>
    <row r="82" spans="1:2">
      <c r="A82" s="38" t="s">
        <v>475</v>
      </c>
      <c r="B82" s="39" t="s">
        <v>750</v>
      </c>
    </row>
    <row r="83" spans="1:2">
      <c r="A83" s="38" t="s">
        <v>475</v>
      </c>
      <c r="B83" s="39" t="s">
        <v>751</v>
      </c>
    </row>
    <row r="84" spans="1:2">
      <c r="A84" s="38" t="s">
        <v>475</v>
      </c>
      <c r="B84" s="39" t="s">
        <v>752</v>
      </c>
    </row>
    <row r="85" spans="1:2">
      <c r="A85" s="38" t="s">
        <v>475</v>
      </c>
      <c r="B85" s="39" t="s">
        <v>753</v>
      </c>
    </row>
    <row r="86" spans="1:2" ht="15.6" thickBot="1">
      <c r="A86" s="40" t="s">
        <v>475</v>
      </c>
      <c r="B86" s="41" t="s">
        <v>754</v>
      </c>
    </row>
  </sheetData>
  <phoneticPr fontId="4"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workbookViewId="0"/>
  </sheetViews>
  <sheetFormatPr defaultRowHeight="15"/>
  <cols>
    <col min="1" max="1" width="26.85546875" bestFit="1" customWidth="1"/>
    <col min="2" max="2" width="16.7109375" bestFit="1" customWidth="1"/>
    <col min="3" max="3" width="16.7109375" customWidth="1"/>
  </cols>
  <sheetData>
    <row r="1" spans="1:4" ht="15.6" thickBot="1">
      <c r="A1" s="67" t="s">
        <v>755</v>
      </c>
      <c r="B1" s="90" t="s">
        <v>756</v>
      </c>
      <c r="C1" s="68" t="s">
        <v>757</v>
      </c>
    </row>
    <row r="2" spans="1:4">
      <c r="A2" s="111" t="s">
        <v>758</v>
      </c>
      <c r="B2" s="91" t="s">
        <v>759</v>
      </c>
      <c r="C2" s="66" t="s">
        <v>760</v>
      </c>
    </row>
    <row r="3" spans="1:4">
      <c r="A3" s="38" t="s">
        <v>761</v>
      </c>
      <c r="B3" s="64" t="s">
        <v>762</v>
      </c>
      <c r="C3" s="39" t="s">
        <v>760</v>
      </c>
    </row>
    <row r="4" spans="1:4">
      <c r="A4" s="38" t="s">
        <v>763</v>
      </c>
      <c r="B4" s="64" t="s">
        <v>764</v>
      </c>
      <c r="C4" s="39" t="s">
        <v>760</v>
      </c>
    </row>
    <row r="5" spans="1:4">
      <c r="A5" s="38" t="s">
        <v>765</v>
      </c>
      <c r="B5" s="64" t="s">
        <v>766</v>
      </c>
      <c r="C5" s="39" t="s">
        <v>760</v>
      </c>
    </row>
    <row r="6" spans="1:4">
      <c r="A6" s="38" t="s">
        <v>767</v>
      </c>
      <c r="B6" s="64" t="s">
        <v>768</v>
      </c>
      <c r="C6" s="39" t="s">
        <v>760</v>
      </c>
    </row>
    <row r="7" spans="1:4">
      <c r="A7" s="38" t="s">
        <v>769</v>
      </c>
      <c r="B7" s="64" t="s">
        <v>770</v>
      </c>
      <c r="C7" s="39" t="s">
        <v>760</v>
      </c>
    </row>
    <row r="8" spans="1:4">
      <c r="A8" s="38" t="s">
        <v>771</v>
      </c>
      <c r="B8" s="64" t="s">
        <v>772</v>
      </c>
      <c r="C8" s="39" t="s">
        <v>760</v>
      </c>
    </row>
    <row r="9" spans="1:4">
      <c r="A9" s="38" t="s">
        <v>773</v>
      </c>
      <c r="B9" s="64" t="s">
        <v>774</v>
      </c>
      <c r="C9" s="39" t="s">
        <v>760</v>
      </c>
    </row>
    <row r="10" spans="1:4">
      <c r="A10" s="38" t="s">
        <v>775</v>
      </c>
      <c r="B10" s="64" t="s">
        <v>776</v>
      </c>
      <c r="C10" s="39" t="s">
        <v>760</v>
      </c>
    </row>
    <row r="11" spans="1:4">
      <c r="A11" s="38" t="s">
        <v>777</v>
      </c>
      <c r="B11" s="64" t="s">
        <v>778</v>
      </c>
      <c r="C11" s="39" t="s">
        <v>760</v>
      </c>
    </row>
    <row r="12" spans="1:4">
      <c r="A12" s="38" t="s">
        <v>779</v>
      </c>
      <c r="B12" s="64" t="s">
        <v>780</v>
      </c>
      <c r="C12" s="39" t="s">
        <v>760</v>
      </c>
    </row>
    <row r="13" spans="1:4">
      <c r="A13" s="38" t="s">
        <v>781</v>
      </c>
      <c r="B13" s="64" t="s">
        <v>782</v>
      </c>
      <c r="C13" s="39" t="s">
        <v>760</v>
      </c>
    </row>
    <row r="14" spans="1:4">
      <c r="A14" s="38" t="s">
        <v>783</v>
      </c>
      <c r="B14" s="64" t="s">
        <v>784</v>
      </c>
      <c r="C14" s="39" t="s">
        <v>785</v>
      </c>
      <c r="D14" t="s">
        <v>786</v>
      </c>
    </row>
    <row r="15" spans="1:4">
      <c r="A15" s="38" t="s">
        <v>783</v>
      </c>
      <c r="B15" s="64" t="s">
        <v>784</v>
      </c>
      <c r="C15" s="39" t="s">
        <v>760</v>
      </c>
      <c r="D15" t="s">
        <v>787</v>
      </c>
    </row>
    <row r="16" spans="1:4">
      <c r="A16" s="38" t="s">
        <v>788</v>
      </c>
      <c r="B16" s="64" t="s">
        <v>789</v>
      </c>
      <c r="C16" s="39" t="s">
        <v>790</v>
      </c>
    </row>
    <row r="17" spans="1:4">
      <c r="A17" s="38" t="s">
        <v>791</v>
      </c>
      <c r="B17" s="64" t="s">
        <v>792</v>
      </c>
      <c r="C17" s="39" t="s">
        <v>790</v>
      </c>
    </row>
    <row r="18" spans="1:4" ht="15.6" thickBot="1">
      <c r="A18" s="40" t="s">
        <v>793</v>
      </c>
      <c r="B18" s="128" t="s">
        <v>794</v>
      </c>
      <c r="C18" s="41" t="s">
        <v>795</v>
      </c>
      <c r="D18" t="s">
        <v>796</v>
      </c>
    </row>
  </sheetData>
  <phoneticPr fontId="4"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AP108"/>
  <sheetViews>
    <sheetView zoomScaleNormal="100" workbookViewId="0">
      <pane xSplit="8" ySplit="1" topLeftCell="I2" activePane="bottomRight" state="frozen"/>
      <selection pane="bottomRight" activeCell="M16" sqref="M16"/>
      <selection pane="bottomLeft" activeCell="A2" sqref="A2"/>
      <selection pane="topRight" activeCell="I1" sqref="I1"/>
    </sheetView>
  </sheetViews>
  <sheetFormatPr defaultRowHeight="15" outlineLevelCol="2"/>
  <cols>
    <col min="1" max="1" width="6.5703125" bestFit="1" customWidth="1"/>
    <col min="2" max="2" width="9.7109375" customWidth="1"/>
    <col min="3" max="5" width="9.7109375" bestFit="1" customWidth="1"/>
    <col min="6" max="6" width="9.7109375" customWidth="1"/>
    <col min="7" max="8" width="9.7109375" bestFit="1" customWidth="1"/>
    <col min="9" max="10" width="13.140625" bestFit="1" customWidth="1"/>
    <col min="11" max="12" width="19.5703125" bestFit="1" customWidth="1"/>
    <col min="13" max="13" width="25.28515625" bestFit="1" customWidth="1"/>
    <col min="14" max="14" width="19.5703125" bestFit="1" customWidth="1"/>
    <col min="15" max="16" width="13.85546875" bestFit="1" customWidth="1"/>
    <col min="17" max="17" width="10.5703125" bestFit="1" customWidth="1"/>
    <col min="18" max="20" width="10.5703125" customWidth="1"/>
    <col min="21" max="21" width="3" customWidth="1"/>
    <col min="22" max="22" width="12.42578125" customWidth="1" outlineLevel="2"/>
    <col min="23" max="24" width="9.7109375" customWidth="1" outlineLevel="2"/>
    <col min="25" max="26" width="16.7109375" customWidth="1" outlineLevel="2"/>
    <col min="27" max="27" width="3.85546875" customWidth="1"/>
    <col min="28" max="28" width="12.42578125" customWidth="1" outlineLevel="2"/>
    <col min="29" max="30" width="9.7109375" customWidth="1" outlineLevel="2"/>
    <col min="31" max="31" width="16.7109375" customWidth="1" outlineLevel="2"/>
    <col min="32" max="32" width="3.85546875" customWidth="1"/>
    <col min="33" max="33" width="12.42578125" customWidth="1" outlineLevel="2"/>
    <col min="34" max="35" width="9.7109375" customWidth="1" outlineLevel="2"/>
    <col min="36" max="36" width="16.7109375" customWidth="1" outlineLevel="2"/>
    <col min="37" max="37" width="3.85546875" customWidth="1"/>
    <col min="38" max="41" width="13.28515625" customWidth="1"/>
  </cols>
  <sheetData>
    <row r="1" spans="1:42" ht="43.9" thickBot="1">
      <c r="A1" s="60" t="s">
        <v>455</v>
      </c>
      <c r="B1" s="32" t="s">
        <v>456</v>
      </c>
      <c r="C1" s="32" t="s">
        <v>457</v>
      </c>
      <c r="D1" s="32" t="s">
        <v>458</v>
      </c>
      <c r="E1" s="32" t="s">
        <v>459</v>
      </c>
      <c r="F1" s="32" t="s">
        <v>460</v>
      </c>
      <c r="G1" s="32" t="s">
        <v>461</v>
      </c>
      <c r="H1" s="32" t="s">
        <v>462</v>
      </c>
      <c r="I1" s="53" t="s">
        <v>463</v>
      </c>
      <c r="J1" s="53" t="s">
        <v>464</v>
      </c>
      <c r="K1" s="54" t="s">
        <v>465</v>
      </c>
      <c r="L1" s="54" t="s">
        <v>466</v>
      </c>
      <c r="M1" s="54" t="s">
        <v>467</v>
      </c>
      <c r="N1" s="54" t="s">
        <v>468</v>
      </c>
      <c r="O1" s="62" t="s">
        <v>469</v>
      </c>
      <c r="P1" s="54" t="s">
        <v>470</v>
      </c>
      <c r="Q1" s="54" t="s">
        <v>471</v>
      </c>
      <c r="R1" s="54" t="s">
        <v>472</v>
      </c>
      <c r="S1" s="54" t="s">
        <v>473</v>
      </c>
      <c r="T1" s="54" t="s">
        <v>474</v>
      </c>
      <c r="U1" s="56"/>
      <c r="V1" s="71" t="s">
        <v>17</v>
      </c>
      <c r="W1" s="71" t="s">
        <v>475</v>
      </c>
      <c r="X1" s="121" t="s">
        <v>476</v>
      </c>
      <c r="Y1" s="143" t="s">
        <v>477</v>
      </c>
      <c r="Z1" s="144"/>
      <c r="AA1" s="56"/>
      <c r="AB1" s="71" t="s">
        <v>478</v>
      </c>
      <c r="AC1" s="71" t="s">
        <v>475</v>
      </c>
      <c r="AD1" s="71" t="s">
        <v>476</v>
      </c>
      <c r="AE1" s="71" t="s">
        <v>477</v>
      </c>
      <c r="AF1" s="56"/>
      <c r="AG1" s="71" t="s">
        <v>479</v>
      </c>
      <c r="AH1" s="71" t="s">
        <v>475</v>
      </c>
      <c r="AI1" s="71" t="s">
        <v>476</v>
      </c>
      <c r="AJ1" s="71" t="s">
        <v>477</v>
      </c>
      <c r="AK1" s="56"/>
      <c r="AL1" s="58" t="s">
        <v>21</v>
      </c>
      <c r="AM1" s="58" t="s">
        <v>22</v>
      </c>
      <c r="AN1" s="58" t="s">
        <v>23</v>
      </c>
      <c r="AO1" s="59" t="s">
        <v>480</v>
      </c>
    </row>
    <row r="2" spans="1:42" ht="16.149999999999999">
      <c r="A2" s="60">
        <v>1</v>
      </c>
      <c r="B2" s="63">
        <v>1</v>
      </c>
      <c r="C2" s="63"/>
      <c r="D2" s="85"/>
      <c r="E2" s="85"/>
      <c r="F2" s="63">
        <v>1</v>
      </c>
      <c r="G2" s="63"/>
      <c r="H2" s="85"/>
      <c r="I2" s="45" t="s">
        <v>422</v>
      </c>
      <c r="J2" s="45" t="s">
        <v>423</v>
      </c>
      <c r="K2" s="69" t="s">
        <v>658</v>
      </c>
      <c r="L2" s="69"/>
      <c r="M2" s="69"/>
      <c r="N2" s="69"/>
      <c r="O2" s="69"/>
      <c r="P2" s="69"/>
      <c r="Q2" s="69"/>
      <c r="R2" s="69"/>
      <c r="S2" s="69"/>
      <c r="T2" s="69"/>
      <c r="U2" s="69"/>
      <c r="V2" s="72"/>
      <c r="W2" s="72"/>
      <c r="X2" s="72"/>
      <c r="Y2" s="72"/>
      <c r="Z2" s="72"/>
      <c r="AA2" s="69"/>
      <c r="AB2" s="72"/>
      <c r="AC2" s="72"/>
      <c r="AD2" s="72"/>
      <c r="AE2" s="72"/>
      <c r="AF2" s="69"/>
      <c r="AG2" s="72"/>
      <c r="AH2" s="72"/>
      <c r="AI2" s="72"/>
      <c r="AJ2" s="72"/>
      <c r="AK2" s="69"/>
      <c r="AL2" s="9" t="str">
        <f>IF(COUNTIF(J2,"P*")&gt;0,"IO"&amp;LEFT(J2,2)&amp;"MD["&amp;RIGHT(J2,1)*4+3&amp;"]","")</f>
        <v>IOPEMD[23]</v>
      </c>
      <c r="AM2" s="9" t="str">
        <f>IF(COUNTIF(J2,"P*")&gt;0,"IO"&amp;LEFT(J2,2)&amp;"MD["&amp;RIGHT(J2,1)*4+2&amp;"]","")</f>
        <v>IOPEMD[22]</v>
      </c>
      <c r="AN2" s="9" t="str">
        <f>IF(COUNTIF(J2,"P*")&gt;0,"IO"&amp;LEFT(J2,2)&amp;"MD["&amp;RIGHT(J2,1)*4+1&amp;"]","")</f>
        <v>IOPEMD[21]</v>
      </c>
      <c r="AO2" s="9" t="str">
        <f>IF(COUNTIF(J2,"P*")&gt;0,"IO"&amp;LEFT(J2,2)&amp;"MD["&amp;RIGHT(J2,1)*4&amp;"]","")</f>
        <v>IOPEMD[20]</v>
      </c>
      <c r="AP2" s="86"/>
    </row>
    <row r="3" spans="1:42" ht="16.149999999999999">
      <c r="A3" s="60">
        <v>2</v>
      </c>
      <c r="B3" s="7">
        <v>2</v>
      </c>
      <c r="C3" s="7">
        <v>1</v>
      </c>
      <c r="D3" s="87">
        <v>1</v>
      </c>
      <c r="E3" s="87"/>
      <c r="F3" s="7">
        <v>2</v>
      </c>
      <c r="G3" s="7">
        <v>1</v>
      </c>
      <c r="H3" s="87">
        <v>1</v>
      </c>
      <c r="I3" s="45" t="s">
        <v>481</v>
      </c>
      <c r="J3" s="45" t="s">
        <v>482</v>
      </c>
      <c r="K3" s="69" t="s">
        <v>663</v>
      </c>
      <c r="L3" s="69" t="s">
        <v>724</v>
      </c>
      <c r="M3" s="18" t="s">
        <v>797</v>
      </c>
      <c r="N3" s="18" t="s">
        <v>798</v>
      </c>
      <c r="O3" s="18" t="s">
        <v>799</v>
      </c>
      <c r="P3" s="69" t="s">
        <v>748</v>
      </c>
      <c r="Q3" s="69"/>
      <c r="R3" s="69"/>
      <c r="S3" s="69"/>
      <c r="T3" s="69"/>
      <c r="U3" s="69"/>
      <c r="V3" s="18"/>
      <c r="W3" s="18"/>
      <c r="X3" s="18"/>
      <c r="Y3" s="18"/>
      <c r="Z3" s="18"/>
      <c r="AA3" s="69"/>
      <c r="AB3" s="18"/>
      <c r="AC3" s="18"/>
      <c r="AD3" s="18"/>
      <c r="AE3" s="18"/>
      <c r="AF3" s="69"/>
      <c r="AG3" s="18"/>
      <c r="AH3" s="18"/>
      <c r="AI3" s="18"/>
      <c r="AJ3" s="18"/>
      <c r="AK3" s="69"/>
      <c r="AL3" s="9" t="str">
        <f t="shared" ref="AL3:AL11" si="0">IF(COUNTIF(J3,"P*")&gt;0,"IO"&amp;LEFT(J3,2)&amp;"MD["&amp;RIGHT(J3,1)*4+3&amp;"]","")</f>
        <v>IOP0MD[11]</v>
      </c>
      <c r="AM3" s="9" t="str">
        <f t="shared" ref="AM3:AM11" si="1">IF(COUNTIF(J3,"P*")&gt;0,"IO"&amp;LEFT(J3,2)&amp;"MD["&amp;RIGHT(J3,1)*4+2&amp;"]","")</f>
        <v>IOP0MD[10]</v>
      </c>
      <c r="AN3" s="9" t="str">
        <f t="shared" ref="AN3:AN11" si="2">IF(COUNTIF(J3,"P*")&gt;0,"IO"&amp;LEFT(J3,2)&amp;"MD["&amp;RIGHT(J3,1)*4+1&amp;"]","")</f>
        <v>IOP0MD[9]</v>
      </c>
      <c r="AO3" s="9" t="str">
        <f t="shared" ref="AO3:AO11" si="3">IF(COUNTIF(J3,"P*")&gt;0,"IO"&amp;LEFT(J3,2)&amp;"MD["&amp;RIGHT(J3,1)*4&amp;"]","")</f>
        <v>IOP0MD[8]</v>
      </c>
      <c r="AP3" s="86"/>
    </row>
    <row r="4" spans="1:42" ht="16.149999999999999">
      <c r="A4" s="60">
        <v>3</v>
      </c>
      <c r="B4" s="7">
        <v>3</v>
      </c>
      <c r="C4" s="7">
        <v>2</v>
      </c>
      <c r="D4" s="87"/>
      <c r="E4" s="87"/>
      <c r="F4" s="7">
        <v>3</v>
      </c>
      <c r="G4" s="7">
        <v>2</v>
      </c>
      <c r="H4" s="87"/>
      <c r="I4" s="45" t="s">
        <v>320</v>
      </c>
      <c r="J4" s="45" t="s">
        <v>321</v>
      </c>
      <c r="K4" s="69" t="s">
        <v>723</v>
      </c>
      <c r="L4" s="69"/>
      <c r="M4" s="69"/>
      <c r="N4" s="69"/>
      <c r="O4" s="69"/>
      <c r="P4" s="69"/>
      <c r="Q4" s="69"/>
      <c r="R4" s="69"/>
      <c r="S4" s="69"/>
      <c r="T4" s="69"/>
      <c r="U4" s="69"/>
      <c r="V4" s="18"/>
      <c r="W4" s="18"/>
      <c r="X4" s="18"/>
      <c r="Y4" s="18"/>
      <c r="Z4" s="18"/>
      <c r="AA4" s="69"/>
      <c r="AB4" s="18"/>
      <c r="AC4" s="18"/>
      <c r="AD4" s="18"/>
      <c r="AE4" s="18"/>
      <c r="AF4" s="69"/>
      <c r="AG4" s="18"/>
      <c r="AH4" s="18"/>
      <c r="AI4" s="18"/>
      <c r="AJ4" s="18"/>
      <c r="AK4" s="69"/>
      <c r="AL4" s="9" t="str">
        <f t="shared" si="0"/>
        <v>IOPFMD[3]</v>
      </c>
      <c r="AM4" s="9" t="str">
        <f t="shared" si="1"/>
        <v>IOPFMD[2]</v>
      </c>
      <c r="AN4" s="9" t="str">
        <f t="shared" si="2"/>
        <v>IOPFMD[1]</v>
      </c>
      <c r="AO4" s="9" t="str">
        <f t="shared" si="3"/>
        <v>IOPFMD[0]</v>
      </c>
      <c r="AP4" s="86"/>
    </row>
    <row r="5" spans="1:42" ht="16.149999999999999">
      <c r="A5" s="60">
        <v>4</v>
      </c>
      <c r="B5" s="7">
        <v>4</v>
      </c>
      <c r="C5" s="7">
        <v>3</v>
      </c>
      <c r="D5" s="87">
        <v>2</v>
      </c>
      <c r="E5" s="87"/>
      <c r="F5" s="7">
        <v>4</v>
      </c>
      <c r="G5" s="7">
        <v>3</v>
      </c>
      <c r="H5" s="87">
        <v>2</v>
      </c>
      <c r="I5" s="45" t="s">
        <v>483</v>
      </c>
      <c r="J5" s="45" t="s">
        <v>484</v>
      </c>
      <c r="K5" s="69" t="s">
        <v>660</v>
      </c>
      <c r="L5" s="18" t="s">
        <v>798</v>
      </c>
      <c r="M5" s="18" t="s">
        <v>799</v>
      </c>
      <c r="N5" s="69" t="s">
        <v>749</v>
      </c>
      <c r="O5" s="69"/>
      <c r="P5" s="69"/>
      <c r="Q5" s="69"/>
      <c r="R5" s="69"/>
      <c r="S5" s="69"/>
      <c r="T5" s="69"/>
      <c r="U5" s="69"/>
      <c r="V5" s="18"/>
      <c r="W5" s="18"/>
      <c r="X5" s="18"/>
      <c r="Y5" s="18"/>
      <c r="Z5" s="18"/>
      <c r="AA5" s="69"/>
      <c r="AB5" s="18"/>
      <c r="AC5" s="18"/>
      <c r="AD5" s="18"/>
      <c r="AE5" s="18"/>
      <c r="AF5" s="69"/>
      <c r="AG5" s="18"/>
      <c r="AH5" s="18"/>
      <c r="AI5" s="18"/>
      <c r="AJ5" s="18"/>
      <c r="AK5" s="69"/>
      <c r="AL5" s="9" t="str">
        <f t="shared" si="0"/>
        <v>IOP0MD[3]</v>
      </c>
      <c r="AM5" s="9" t="str">
        <f t="shared" si="1"/>
        <v>IOP0MD[2]</v>
      </c>
      <c r="AN5" s="9" t="str">
        <f t="shared" si="2"/>
        <v>IOP0MD[1]</v>
      </c>
      <c r="AO5" s="9" t="str">
        <f t="shared" si="3"/>
        <v>IOP0MD[0]</v>
      </c>
      <c r="AP5" s="86"/>
    </row>
    <row r="6" spans="1:42" ht="16.149999999999999">
      <c r="A6" s="60">
        <v>5</v>
      </c>
      <c r="B6" s="7">
        <v>5</v>
      </c>
      <c r="C6" s="7">
        <v>4</v>
      </c>
      <c r="D6" s="87">
        <v>3</v>
      </c>
      <c r="E6" s="87">
        <v>1</v>
      </c>
      <c r="F6" s="7">
        <v>5</v>
      </c>
      <c r="G6" s="7">
        <v>4</v>
      </c>
      <c r="H6" s="87">
        <v>3</v>
      </c>
      <c r="I6" s="45" t="s">
        <v>485</v>
      </c>
      <c r="J6" s="45" t="s">
        <v>485</v>
      </c>
      <c r="K6" s="69"/>
      <c r="L6" s="69"/>
      <c r="M6" s="69"/>
      <c r="N6" s="69"/>
      <c r="O6" s="69"/>
      <c r="P6" s="69"/>
      <c r="Q6" s="69"/>
      <c r="R6" s="69"/>
      <c r="S6" s="69"/>
      <c r="T6" s="69"/>
      <c r="U6" s="69"/>
      <c r="V6" s="18"/>
      <c r="W6" s="18"/>
      <c r="X6" s="18"/>
      <c r="Y6" s="18"/>
      <c r="Z6" s="18"/>
      <c r="AA6" s="69"/>
      <c r="AB6" s="18"/>
      <c r="AC6" s="18"/>
      <c r="AD6" s="18"/>
      <c r="AE6" s="18"/>
      <c r="AF6" s="69"/>
      <c r="AG6" s="18"/>
      <c r="AH6" s="18"/>
      <c r="AI6" s="18"/>
      <c r="AJ6" s="18"/>
      <c r="AK6" s="69"/>
      <c r="AL6" s="9" t="str">
        <f t="shared" si="0"/>
        <v/>
      </c>
      <c r="AM6" s="9" t="str">
        <f t="shared" si="1"/>
        <v/>
      </c>
      <c r="AN6" s="9" t="str">
        <f t="shared" si="2"/>
        <v/>
      </c>
      <c r="AO6" s="9" t="str">
        <f t="shared" si="3"/>
        <v/>
      </c>
      <c r="AP6" s="86"/>
    </row>
    <row r="7" spans="1:42" ht="16.149999999999999">
      <c r="A7" s="60">
        <v>6</v>
      </c>
      <c r="B7" s="7">
        <v>6</v>
      </c>
      <c r="C7" s="7">
        <v>5</v>
      </c>
      <c r="D7" s="87">
        <v>4</v>
      </c>
      <c r="E7" s="87">
        <v>2</v>
      </c>
      <c r="F7" s="7">
        <v>6</v>
      </c>
      <c r="G7" s="7">
        <v>5</v>
      </c>
      <c r="H7" s="87">
        <v>4</v>
      </c>
      <c r="I7" s="45" t="s">
        <v>486</v>
      </c>
      <c r="J7" s="45" t="s">
        <v>486</v>
      </c>
      <c r="K7" s="69"/>
      <c r="L7" s="69"/>
      <c r="M7" s="69"/>
      <c r="N7" s="69"/>
      <c r="O7" s="69"/>
      <c r="P7" s="69"/>
      <c r="Q7" s="69"/>
      <c r="R7" s="69"/>
      <c r="S7" s="69"/>
      <c r="T7" s="69"/>
      <c r="U7" s="69"/>
      <c r="V7" s="18"/>
      <c r="W7" s="18"/>
      <c r="X7" s="18"/>
      <c r="Y7" s="18"/>
      <c r="Z7" s="18"/>
      <c r="AA7" s="69"/>
      <c r="AB7" s="18"/>
      <c r="AC7" s="18"/>
      <c r="AD7" s="18"/>
      <c r="AE7" s="18"/>
      <c r="AF7" s="69"/>
      <c r="AG7" s="18"/>
      <c r="AH7" s="18"/>
      <c r="AI7" s="18"/>
      <c r="AJ7" s="18"/>
      <c r="AK7" s="69"/>
      <c r="AL7" s="9" t="str">
        <f t="shared" si="0"/>
        <v/>
      </c>
      <c r="AM7" s="9" t="str">
        <f t="shared" si="1"/>
        <v/>
      </c>
      <c r="AN7" s="9" t="str">
        <f t="shared" si="2"/>
        <v/>
      </c>
      <c r="AO7" s="9" t="str">
        <f t="shared" si="3"/>
        <v/>
      </c>
      <c r="AP7" s="86"/>
    </row>
    <row r="8" spans="1:42" ht="16.149999999999999" customHeight="1">
      <c r="A8" s="60">
        <v>7</v>
      </c>
      <c r="B8" s="87">
        <v>7</v>
      </c>
      <c r="C8" s="87">
        <v>6</v>
      </c>
      <c r="D8" s="87">
        <v>5</v>
      </c>
      <c r="E8" s="87">
        <v>3</v>
      </c>
      <c r="F8" s="87">
        <v>7</v>
      </c>
      <c r="G8" s="87">
        <v>6</v>
      </c>
      <c r="H8" s="87">
        <v>5</v>
      </c>
      <c r="I8" s="45" t="s">
        <v>487</v>
      </c>
      <c r="J8" s="45" t="s">
        <v>488</v>
      </c>
      <c r="K8" s="69" t="s">
        <v>662</v>
      </c>
      <c r="L8" s="69" t="s">
        <v>671</v>
      </c>
      <c r="M8" s="69" t="s">
        <v>800</v>
      </c>
      <c r="N8" s="69" t="s">
        <v>750</v>
      </c>
      <c r="O8" s="118" t="s">
        <v>801</v>
      </c>
      <c r="P8" s="69"/>
      <c r="Q8" s="69"/>
      <c r="R8" s="69"/>
      <c r="S8" s="69"/>
      <c r="T8" s="69"/>
      <c r="U8" s="69"/>
      <c r="V8" s="18"/>
      <c r="W8" s="18"/>
      <c r="X8" s="18"/>
      <c r="Y8" s="18"/>
      <c r="Z8" s="18"/>
      <c r="AA8" s="69"/>
      <c r="AB8" s="18"/>
      <c r="AC8" s="18"/>
      <c r="AD8" s="18"/>
      <c r="AE8" s="18"/>
      <c r="AF8" s="69"/>
      <c r="AG8" s="18"/>
      <c r="AH8" s="18"/>
      <c r="AI8" s="18"/>
      <c r="AJ8" s="18"/>
      <c r="AK8" s="69"/>
      <c r="AL8" s="9" t="str">
        <f t="shared" si="0"/>
        <v>IOP0MD[7]</v>
      </c>
      <c r="AM8" s="9" t="str">
        <f t="shared" si="1"/>
        <v>IOP0MD[6]</v>
      </c>
      <c r="AN8" s="9" t="str">
        <f t="shared" si="2"/>
        <v>IOP0MD[5]</v>
      </c>
      <c r="AO8" s="9" t="str">
        <f t="shared" si="3"/>
        <v>IOP0MD[4]</v>
      </c>
      <c r="AP8" s="86"/>
    </row>
    <row r="9" spans="1:42" ht="16.149999999999999">
      <c r="A9" s="60">
        <v>8</v>
      </c>
      <c r="B9" s="87">
        <v>8</v>
      </c>
      <c r="C9" s="87">
        <v>7</v>
      </c>
      <c r="D9" s="87"/>
      <c r="E9" s="87"/>
      <c r="F9" s="87">
        <v>8</v>
      </c>
      <c r="G9" s="87">
        <v>7</v>
      </c>
      <c r="H9" s="87"/>
      <c r="I9" s="45" t="s">
        <v>425</v>
      </c>
      <c r="J9" s="45" t="s">
        <v>426</v>
      </c>
      <c r="K9" s="69" t="s">
        <v>659</v>
      </c>
      <c r="L9" s="69" t="s">
        <v>669</v>
      </c>
      <c r="M9" s="69" t="s">
        <v>714</v>
      </c>
      <c r="N9" s="18" t="s">
        <v>802</v>
      </c>
      <c r="O9" s="69"/>
      <c r="P9" s="69"/>
      <c r="Q9" s="69"/>
      <c r="R9" s="69"/>
      <c r="S9" s="69"/>
      <c r="T9" s="69"/>
      <c r="U9" s="69"/>
      <c r="V9" s="18"/>
      <c r="W9" s="18"/>
      <c r="X9" s="18"/>
      <c r="Y9" s="18"/>
      <c r="Z9" s="18"/>
      <c r="AA9" s="69"/>
      <c r="AB9" s="18"/>
      <c r="AC9" s="18"/>
      <c r="AD9" s="18"/>
      <c r="AE9" s="18"/>
      <c r="AF9" s="69"/>
      <c r="AG9" s="18"/>
      <c r="AH9" s="18"/>
      <c r="AI9" s="18"/>
      <c r="AJ9" s="18"/>
      <c r="AK9" s="69"/>
      <c r="AL9" s="9" t="str">
        <f t="shared" si="0"/>
        <v>IOPEMD[19]</v>
      </c>
      <c r="AM9" s="9" t="str">
        <f t="shared" si="1"/>
        <v>IOPEMD[18]</v>
      </c>
      <c r="AN9" s="9" t="str">
        <f t="shared" si="2"/>
        <v>IOPEMD[17]</v>
      </c>
      <c r="AO9" s="9" t="str">
        <f t="shared" si="3"/>
        <v>IOPEMD[16]</v>
      </c>
      <c r="AP9" s="86"/>
    </row>
    <row r="10" spans="1:42" ht="16.149999999999999">
      <c r="A10" s="60">
        <v>9</v>
      </c>
      <c r="B10" s="87">
        <v>9</v>
      </c>
      <c r="C10" s="87">
        <v>8</v>
      </c>
      <c r="D10" s="87"/>
      <c r="E10" s="87"/>
      <c r="F10" s="87">
        <v>9</v>
      </c>
      <c r="G10" s="87">
        <v>8</v>
      </c>
      <c r="H10" s="87"/>
      <c r="I10" s="45" t="s">
        <v>427</v>
      </c>
      <c r="J10" s="45" t="s">
        <v>428</v>
      </c>
      <c r="K10" s="69" t="s">
        <v>660</v>
      </c>
      <c r="L10" s="69" t="s">
        <v>670</v>
      </c>
      <c r="M10" s="69" t="s">
        <v>715</v>
      </c>
      <c r="N10" s="69"/>
      <c r="O10" s="69"/>
      <c r="P10" s="69"/>
      <c r="Q10" s="69"/>
      <c r="R10" s="69"/>
      <c r="S10" s="69"/>
      <c r="T10" s="69"/>
      <c r="U10" s="69"/>
      <c r="V10" s="18"/>
      <c r="W10" s="18"/>
      <c r="X10" s="18"/>
      <c r="Y10" s="18"/>
      <c r="Z10" s="18"/>
      <c r="AA10" s="69"/>
      <c r="AB10" s="18"/>
      <c r="AC10" s="18"/>
      <c r="AD10" s="18"/>
      <c r="AE10" s="18"/>
      <c r="AF10" s="69"/>
      <c r="AG10" s="18"/>
      <c r="AH10" s="18"/>
      <c r="AI10" s="18"/>
      <c r="AJ10" s="18"/>
      <c r="AK10" s="69"/>
      <c r="AL10" s="9" t="str">
        <f t="shared" si="0"/>
        <v>IOPEMD[15]</v>
      </c>
      <c r="AM10" s="9" t="str">
        <f t="shared" si="1"/>
        <v>IOPEMD[14]</v>
      </c>
      <c r="AN10" s="9" t="str">
        <f t="shared" si="2"/>
        <v>IOPEMD[13]</v>
      </c>
      <c r="AO10" s="9" t="str">
        <f t="shared" si="3"/>
        <v>IOPEMD[12]</v>
      </c>
      <c r="AP10" s="86"/>
    </row>
    <row r="11" spans="1:42" ht="16.149999999999999">
      <c r="A11" s="60">
        <v>10</v>
      </c>
      <c r="B11" s="87">
        <v>10</v>
      </c>
      <c r="C11" s="87">
        <v>9</v>
      </c>
      <c r="D11" s="87">
        <v>6</v>
      </c>
      <c r="E11" s="87">
        <v>4</v>
      </c>
      <c r="F11" s="87">
        <v>10</v>
      </c>
      <c r="G11" s="87">
        <v>9</v>
      </c>
      <c r="H11" s="87">
        <v>6</v>
      </c>
      <c r="I11" s="45" t="s">
        <v>319</v>
      </c>
      <c r="J11" s="45" t="s">
        <v>489</v>
      </c>
      <c r="K11" s="69"/>
      <c r="L11" s="69"/>
      <c r="M11" s="69"/>
      <c r="N11" s="69"/>
      <c r="O11" s="69"/>
      <c r="P11" s="69"/>
      <c r="Q11" s="69"/>
      <c r="R11" s="69"/>
      <c r="S11" s="69"/>
      <c r="T11" s="69"/>
      <c r="U11" s="69"/>
      <c r="V11" s="18"/>
      <c r="W11" s="18"/>
      <c r="X11" s="18"/>
      <c r="Y11" s="18"/>
      <c r="Z11" s="18"/>
      <c r="AA11" s="69"/>
      <c r="AB11" s="18"/>
      <c r="AC11" s="18"/>
      <c r="AD11" s="18"/>
      <c r="AE11" s="18"/>
      <c r="AF11" s="69"/>
      <c r="AG11" s="18"/>
      <c r="AH11" s="18"/>
      <c r="AI11" s="18"/>
      <c r="AJ11" s="18"/>
      <c r="AK11" s="69"/>
      <c r="AL11" s="9" t="str">
        <f t="shared" si="0"/>
        <v/>
      </c>
      <c r="AM11" s="9" t="str">
        <f t="shared" si="1"/>
        <v/>
      </c>
      <c r="AN11" s="9" t="str">
        <f t="shared" si="2"/>
        <v/>
      </c>
      <c r="AO11" s="9" t="str">
        <f t="shared" si="3"/>
        <v/>
      </c>
      <c r="AP11" s="86"/>
    </row>
    <row r="12" spans="1:42" ht="16.149999999999999">
      <c r="A12" s="60">
        <v>11</v>
      </c>
      <c r="B12" s="7">
        <v>11</v>
      </c>
      <c r="C12" s="7">
        <v>10</v>
      </c>
      <c r="D12" s="87">
        <v>7</v>
      </c>
      <c r="E12" s="87">
        <v>5</v>
      </c>
      <c r="F12" s="7">
        <v>11</v>
      </c>
      <c r="G12" s="7">
        <v>10</v>
      </c>
      <c r="H12" s="87">
        <v>7</v>
      </c>
      <c r="I12" s="45" t="s">
        <v>490</v>
      </c>
      <c r="J12" s="45" t="s">
        <v>490</v>
      </c>
      <c r="K12" s="69"/>
      <c r="L12" s="69"/>
      <c r="M12" s="69"/>
      <c r="N12" s="69"/>
      <c r="O12" s="69"/>
      <c r="P12" s="69"/>
      <c r="Q12" s="69"/>
      <c r="R12" s="69"/>
      <c r="S12" s="69"/>
      <c r="T12" s="69"/>
      <c r="U12" s="69"/>
      <c r="V12" s="18"/>
      <c r="W12" s="18"/>
      <c r="X12" s="18"/>
      <c r="Y12" s="18"/>
      <c r="Z12" s="18"/>
      <c r="AA12" s="69"/>
      <c r="AB12" s="18"/>
      <c r="AC12" s="18"/>
      <c r="AD12" s="18"/>
      <c r="AE12" s="18"/>
      <c r="AF12" s="69"/>
      <c r="AG12" s="18"/>
      <c r="AH12" s="18"/>
      <c r="AI12" s="18"/>
      <c r="AJ12" s="18"/>
      <c r="AK12" s="69"/>
      <c r="AL12" s="9" t="str">
        <f>IF(COUNTIF(J12,"P*")&gt;0,"IO"&amp;LEFT(J12,2)&amp;"MD["&amp;RIGHT(J12,1)*4+3&amp;"]","")</f>
        <v/>
      </c>
      <c r="AM12" s="9" t="str">
        <f>IF(COUNTIF(J12,"P*")&gt;0,"IO"&amp;LEFT(J12,2)&amp;"MD["&amp;RIGHT(J12,1)*4+2&amp;"]","")</f>
        <v/>
      </c>
      <c r="AN12" s="9" t="str">
        <f>IF(COUNTIF(J12,"P*")&gt;0,"IO"&amp;LEFT(J12,2)&amp;"MD["&amp;RIGHT(J12,1)*4+1&amp;"]","")</f>
        <v/>
      </c>
      <c r="AO12" s="9" t="str">
        <f>IF(COUNTIF(J12,"P*")&gt;0,"IO"&amp;LEFT(J12,2)&amp;"MD["&amp;RIGHT(J12,1)*4&amp;"]","")</f>
        <v/>
      </c>
      <c r="AP12" s="86"/>
    </row>
    <row r="13" spans="1:42" ht="16.149999999999999">
      <c r="A13" s="60">
        <v>12</v>
      </c>
      <c r="B13" s="7">
        <v>12</v>
      </c>
      <c r="C13" s="7">
        <v>11</v>
      </c>
      <c r="D13" s="87">
        <v>8</v>
      </c>
      <c r="E13" s="87">
        <v>6</v>
      </c>
      <c r="F13" s="7">
        <v>12</v>
      </c>
      <c r="G13" s="7">
        <v>11</v>
      </c>
      <c r="H13" s="87">
        <v>8</v>
      </c>
      <c r="I13" s="45" t="s">
        <v>108</v>
      </c>
      <c r="J13" s="45" t="s">
        <v>109</v>
      </c>
      <c r="K13" s="69"/>
      <c r="L13" s="69"/>
      <c r="M13" s="69"/>
      <c r="N13" s="69"/>
      <c r="O13" s="69"/>
      <c r="P13" s="69"/>
      <c r="Q13" s="69"/>
      <c r="R13" s="69"/>
      <c r="S13" s="69"/>
      <c r="T13" s="69"/>
      <c r="U13" s="69"/>
      <c r="V13" s="18"/>
      <c r="W13" s="18"/>
      <c r="X13" s="18"/>
      <c r="Y13" s="18"/>
      <c r="Z13" s="18"/>
      <c r="AA13" s="69"/>
      <c r="AB13" s="18"/>
      <c r="AC13" s="18"/>
      <c r="AD13" s="18"/>
      <c r="AE13" s="18"/>
      <c r="AF13" s="69"/>
      <c r="AG13" s="18"/>
      <c r="AH13" s="18"/>
      <c r="AI13" s="18"/>
      <c r="AJ13" s="18"/>
      <c r="AK13" s="69"/>
      <c r="AL13" s="9" t="str">
        <f t="shared" ref="AL13:AL24" si="4">IF(COUNTIF(J13,"P*")&gt;0,"IO"&amp;LEFT(J13,2)&amp;"MD["&amp;RIGHT(J13,1)*4+3&amp;"]","")</f>
        <v/>
      </c>
      <c r="AM13" s="9" t="str">
        <f t="shared" ref="AM13:AM24" si="5">IF(COUNTIF(J13,"P*")&gt;0,"IO"&amp;LEFT(J13,2)&amp;"MD["&amp;RIGHT(J13,1)*4+2&amp;"]","")</f>
        <v/>
      </c>
      <c r="AN13" s="9" t="str">
        <f t="shared" ref="AN13:AN24" si="6">IF(COUNTIF(J13,"P*")&gt;0,"IO"&amp;LEFT(J13,2)&amp;"MD["&amp;RIGHT(J13,1)*4+1&amp;"]","")</f>
        <v/>
      </c>
      <c r="AO13" s="9" t="str">
        <f t="shared" ref="AO13:AO24" si="7">IF(COUNTIF(J13,"P*")&gt;0,"IO"&amp;LEFT(J13,2)&amp;"MD["&amp;RIGHT(J13,1)*4&amp;"]","")</f>
        <v/>
      </c>
      <c r="AP13" s="86"/>
    </row>
    <row r="14" spans="1:42" ht="16.149999999999999">
      <c r="A14" s="60">
        <v>13</v>
      </c>
      <c r="B14" s="7">
        <v>13</v>
      </c>
      <c r="C14" s="7">
        <v>12</v>
      </c>
      <c r="D14" s="87">
        <v>9</v>
      </c>
      <c r="E14" s="87">
        <v>7</v>
      </c>
      <c r="F14" s="7">
        <v>13</v>
      </c>
      <c r="G14" s="7">
        <v>12</v>
      </c>
      <c r="H14" s="87">
        <v>9</v>
      </c>
      <c r="I14" s="45" t="s">
        <v>491</v>
      </c>
      <c r="J14" s="45" t="s">
        <v>491</v>
      </c>
      <c r="K14" s="69"/>
      <c r="L14" s="69"/>
      <c r="M14" s="69"/>
      <c r="N14" s="69"/>
      <c r="O14" s="69"/>
      <c r="P14" s="69"/>
      <c r="Q14" s="69"/>
      <c r="R14" s="69"/>
      <c r="S14" s="69"/>
      <c r="T14" s="69"/>
      <c r="U14" s="69"/>
      <c r="V14" s="18"/>
      <c r="W14" s="18"/>
      <c r="X14" s="18"/>
      <c r="Y14" s="18"/>
      <c r="Z14" s="18"/>
      <c r="AA14" s="69"/>
      <c r="AB14" s="18"/>
      <c r="AC14" s="18"/>
      <c r="AD14" s="18"/>
      <c r="AE14" s="18"/>
      <c r="AF14" s="69"/>
      <c r="AG14" s="18"/>
      <c r="AH14" s="18"/>
      <c r="AI14" s="18"/>
      <c r="AJ14" s="18"/>
      <c r="AK14" s="69"/>
      <c r="AL14" s="9" t="str">
        <f t="shared" si="4"/>
        <v/>
      </c>
      <c r="AM14" s="9" t="str">
        <f t="shared" si="5"/>
        <v/>
      </c>
      <c r="AN14" s="9" t="str">
        <f t="shared" si="6"/>
        <v/>
      </c>
      <c r="AO14" s="9" t="str">
        <f t="shared" si="7"/>
        <v/>
      </c>
      <c r="AP14" s="86"/>
    </row>
    <row r="15" spans="1:42" ht="16.149999999999999">
      <c r="A15" s="60">
        <v>14</v>
      </c>
      <c r="B15" s="7">
        <v>14</v>
      </c>
      <c r="C15" s="7">
        <v>13</v>
      </c>
      <c r="D15" s="87">
        <v>10</v>
      </c>
      <c r="E15" s="87">
        <v>8</v>
      </c>
      <c r="F15" s="7">
        <v>14</v>
      </c>
      <c r="G15" s="7">
        <v>13</v>
      </c>
      <c r="H15" s="87">
        <v>10</v>
      </c>
      <c r="I15" s="45" t="s">
        <v>110</v>
      </c>
      <c r="J15" s="45" t="s">
        <v>492</v>
      </c>
      <c r="K15" s="69"/>
      <c r="L15" s="69"/>
      <c r="M15" s="18"/>
      <c r="N15" s="18"/>
      <c r="O15" s="69"/>
      <c r="P15" s="69"/>
      <c r="Q15" s="69"/>
      <c r="R15" s="69"/>
      <c r="S15" s="69"/>
      <c r="T15" s="69"/>
      <c r="U15" s="69"/>
      <c r="V15" s="18"/>
      <c r="W15" s="18"/>
      <c r="X15" s="18"/>
      <c r="Y15" s="18"/>
      <c r="Z15" s="18"/>
      <c r="AA15" s="69"/>
      <c r="AB15" s="18"/>
      <c r="AC15" s="18"/>
      <c r="AD15" s="18"/>
      <c r="AE15" s="18"/>
      <c r="AF15" s="69"/>
      <c r="AG15" s="18"/>
      <c r="AH15" s="18"/>
      <c r="AI15" s="18"/>
      <c r="AJ15" s="18"/>
      <c r="AK15" s="69"/>
      <c r="AL15" s="9" t="str">
        <f t="shared" si="4"/>
        <v/>
      </c>
      <c r="AM15" s="9" t="str">
        <f t="shared" si="5"/>
        <v/>
      </c>
      <c r="AN15" s="9" t="str">
        <f t="shared" si="6"/>
        <v/>
      </c>
      <c r="AO15" s="9" t="str">
        <f t="shared" si="7"/>
        <v/>
      </c>
      <c r="AP15" s="86"/>
    </row>
    <row r="16" spans="1:42" ht="16.149999999999999">
      <c r="A16" s="60">
        <v>15</v>
      </c>
      <c r="B16" s="7">
        <v>15</v>
      </c>
      <c r="C16" s="7">
        <v>14</v>
      </c>
      <c r="D16" s="87">
        <v>11</v>
      </c>
      <c r="E16" s="87">
        <v>9</v>
      </c>
      <c r="F16" s="7">
        <v>15</v>
      </c>
      <c r="G16" s="7">
        <v>14</v>
      </c>
      <c r="H16" s="87">
        <v>11</v>
      </c>
      <c r="I16" s="45" t="s">
        <v>429</v>
      </c>
      <c r="J16" s="45" t="s">
        <v>430</v>
      </c>
      <c r="K16" s="69" t="s">
        <v>656</v>
      </c>
      <c r="L16" s="69" t="s">
        <v>669</v>
      </c>
      <c r="M16" s="18"/>
      <c r="N16" s="18"/>
      <c r="O16" s="18"/>
      <c r="P16" s="69"/>
      <c r="Q16" s="69"/>
      <c r="R16" s="69"/>
      <c r="S16" s="69"/>
      <c r="T16" s="69"/>
      <c r="U16" s="69"/>
      <c r="V16" s="69"/>
      <c r="W16" s="18"/>
      <c r="X16" s="18"/>
      <c r="Y16" s="18"/>
      <c r="Z16" s="18"/>
      <c r="AA16" s="69"/>
      <c r="AB16" s="69"/>
      <c r="AC16" s="18"/>
      <c r="AD16" s="18"/>
      <c r="AE16" s="18"/>
      <c r="AF16" s="69"/>
      <c r="AG16" s="69"/>
      <c r="AH16" s="18"/>
      <c r="AI16" s="18"/>
      <c r="AJ16" s="18"/>
      <c r="AK16" s="69"/>
      <c r="AL16" s="9" t="str">
        <f t="shared" si="4"/>
        <v>IOPEMD[11]</v>
      </c>
      <c r="AM16" s="9" t="str">
        <f t="shared" si="5"/>
        <v>IOPEMD[10]</v>
      </c>
      <c r="AN16" s="9" t="str">
        <f t="shared" si="6"/>
        <v>IOPEMD[9]</v>
      </c>
      <c r="AO16" s="9" t="str">
        <f t="shared" si="7"/>
        <v>IOPEMD[8]</v>
      </c>
      <c r="AP16" s="86"/>
    </row>
    <row r="17" spans="1:42" ht="16.149999999999999">
      <c r="A17" s="60">
        <v>16</v>
      </c>
      <c r="B17" s="7">
        <v>16</v>
      </c>
      <c r="C17" s="7"/>
      <c r="D17" s="87"/>
      <c r="E17" s="87"/>
      <c r="F17" s="7">
        <v>16</v>
      </c>
      <c r="G17" s="7"/>
      <c r="H17" s="87"/>
      <c r="I17" s="45" t="s">
        <v>433</v>
      </c>
      <c r="J17" s="45" t="s">
        <v>434</v>
      </c>
      <c r="K17" s="69" t="s">
        <v>699</v>
      </c>
      <c r="L17" s="69" t="s">
        <v>724</v>
      </c>
      <c r="M17" s="18" t="s">
        <v>803</v>
      </c>
      <c r="N17" s="18"/>
      <c r="O17" s="18"/>
      <c r="P17" s="69"/>
      <c r="Q17" s="69"/>
      <c r="R17" s="69"/>
      <c r="S17" s="69"/>
      <c r="T17" s="69"/>
      <c r="U17" s="69"/>
      <c r="V17" s="69"/>
      <c r="W17" s="18"/>
      <c r="X17" s="18"/>
      <c r="Y17" s="18"/>
      <c r="Z17" s="18"/>
      <c r="AA17" s="69"/>
      <c r="AB17" s="69"/>
      <c r="AC17" s="18"/>
      <c r="AD17" s="18"/>
      <c r="AE17" s="18"/>
      <c r="AF17" s="69"/>
      <c r="AG17" s="69"/>
      <c r="AH17" s="18"/>
      <c r="AI17" s="18"/>
      <c r="AJ17" s="18"/>
      <c r="AK17" s="69"/>
      <c r="AL17" s="9" t="str">
        <f t="shared" si="4"/>
        <v>IOPEMD[7]</v>
      </c>
      <c r="AM17" s="9" t="str">
        <f t="shared" si="5"/>
        <v>IOPEMD[6]</v>
      </c>
      <c r="AN17" s="9" t="str">
        <f t="shared" si="6"/>
        <v>IOPEMD[5]</v>
      </c>
      <c r="AO17" s="9" t="str">
        <f t="shared" si="7"/>
        <v>IOPEMD[4]</v>
      </c>
      <c r="AP17" s="86"/>
    </row>
    <row r="18" spans="1:42" ht="16.149999999999999">
      <c r="A18" s="60">
        <v>17</v>
      </c>
      <c r="B18" s="7">
        <v>17</v>
      </c>
      <c r="C18" s="7"/>
      <c r="D18" s="87"/>
      <c r="E18" s="87"/>
      <c r="F18" s="7">
        <v>17</v>
      </c>
      <c r="G18" s="7"/>
      <c r="H18" s="87"/>
      <c r="I18" s="45" t="s">
        <v>435</v>
      </c>
      <c r="J18" s="45" t="s">
        <v>436</v>
      </c>
      <c r="K18" s="69" t="s">
        <v>688</v>
      </c>
      <c r="L18" s="69" t="s">
        <v>700</v>
      </c>
      <c r="M18" s="18" t="s">
        <v>721</v>
      </c>
      <c r="N18" s="18"/>
      <c r="O18" s="69"/>
      <c r="P18" s="69"/>
      <c r="Q18" s="69"/>
      <c r="R18" s="69"/>
      <c r="S18" s="69"/>
      <c r="T18" s="69"/>
      <c r="U18" s="69"/>
      <c r="V18" s="69"/>
      <c r="W18" s="18"/>
      <c r="X18" s="18"/>
      <c r="Y18" s="18"/>
      <c r="Z18" s="18"/>
      <c r="AA18" s="69"/>
      <c r="AB18" s="69"/>
      <c r="AC18" s="18"/>
      <c r="AD18" s="18"/>
      <c r="AE18" s="18"/>
      <c r="AF18" s="69"/>
      <c r="AG18" s="69"/>
      <c r="AH18" s="18"/>
      <c r="AI18" s="18"/>
      <c r="AJ18" s="18"/>
      <c r="AK18" s="69"/>
      <c r="AL18" s="9" t="str">
        <f t="shared" si="4"/>
        <v>IOPEMD[3]</v>
      </c>
      <c r="AM18" s="9" t="str">
        <f t="shared" si="5"/>
        <v>IOPEMD[2]</v>
      </c>
      <c r="AN18" s="9" t="str">
        <f t="shared" si="6"/>
        <v>IOPEMD[1]</v>
      </c>
      <c r="AO18" s="9" t="str">
        <f t="shared" si="7"/>
        <v>IOPEMD[0]</v>
      </c>
      <c r="AP18" s="86"/>
    </row>
    <row r="19" spans="1:42" ht="16.149999999999999">
      <c r="A19" s="60">
        <v>18</v>
      </c>
      <c r="B19" s="7">
        <v>18</v>
      </c>
      <c r="C19" s="7">
        <v>15</v>
      </c>
      <c r="D19" s="87">
        <v>12</v>
      </c>
      <c r="E19" s="87">
        <v>10</v>
      </c>
      <c r="F19" s="7">
        <v>18</v>
      </c>
      <c r="G19" s="7">
        <v>15</v>
      </c>
      <c r="H19" s="87">
        <v>12</v>
      </c>
      <c r="I19" s="45" t="s">
        <v>372</v>
      </c>
      <c r="J19" s="45" t="s">
        <v>373</v>
      </c>
      <c r="K19" s="69" t="s">
        <v>804</v>
      </c>
      <c r="L19" s="69" t="s">
        <v>676</v>
      </c>
      <c r="M19" s="69" t="s">
        <v>680</v>
      </c>
      <c r="N19" s="69" t="s">
        <v>720</v>
      </c>
      <c r="O19" s="18" t="s">
        <v>805</v>
      </c>
      <c r="P19" s="69"/>
      <c r="Q19" s="69"/>
      <c r="R19" s="69"/>
      <c r="S19" s="69"/>
      <c r="T19" s="69"/>
      <c r="U19" s="69"/>
      <c r="V19" s="69"/>
      <c r="W19" s="18"/>
      <c r="X19" s="18"/>
      <c r="Y19" s="18"/>
      <c r="Z19" s="18"/>
      <c r="AA19" s="69"/>
      <c r="AB19" s="69"/>
      <c r="AC19" s="18"/>
      <c r="AD19" s="18"/>
      <c r="AE19" s="18"/>
      <c r="AF19" s="69"/>
      <c r="AG19" s="69"/>
      <c r="AH19" s="18"/>
      <c r="AI19" s="18"/>
      <c r="AJ19" s="18"/>
      <c r="AK19" s="69"/>
      <c r="AL19" s="9" t="str">
        <f t="shared" si="4"/>
        <v>IOPDMD[31]</v>
      </c>
      <c r="AM19" s="9" t="str">
        <f t="shared" si="5"/>
        <v>IOPDMD[30]</v>
      </c>
      <c r="AN19" s="9" t="str">
        <f t="shared" si="6"/>
        <v>IOPDMD[29]</v>
      </c>
      <c r="AO19" s="9" t="str">
        <f t="shared" si="7"/>
        <v>IOPDMD[28]</v>
      </c>
      <c r="AP19" s="86"/>
    </row>
    <row r="20" spans="1:42" ht="16.149999999999999">
      <c r="A20" s="60">
        <v>19</v>
      </c>
      <c r="B20" s="7">
        <v>19</v>
      </c>
      <c r="C20" s="7">
        <v>16</v>
      </c>
      <c r="D20" s="87">
        <v>13</v>
      </c>
      <c r="E20" s="87"/>
      <c r="F20" s="7">
        <v>19</v>
      </c>
      <c r="G20" s="7">
        <v>16</v>
      </c>
      <c r="H20" s="87">
        <v>13</v>
      </c>
      <c r="I20" s="45" t="s">
        <v>374</v>
      </c>
      <c r="J20" s="45" t="s">
        <v>375</v>
      </c>
      <c r="K20" s="69" t="s">
        <v>806</v>
      </c>
      <c r="L20" s="69" t="s">
        <v>663</v>
      </c>
      <c r="M20" s="69" t="s">
        <v>687</v>
      </c>
      <c r="N20" s="69" t="s">
        <v>723</v>
      </c>
      <c r="O20" s="18" t="s">
        <v>797</v>
      </c>
      <c r="P20" s="18" t="s">
        <v>805</v>
      </c>
      <c r="Q20" s="69" t="s">
        <v>748</v>
      </c>
      <c r="R20" s="69"/>
      <c r="S20" s="69"/>
      <c r="T20" s="69"/>
      <c r="U20" s="69"/>
      <c r="V20" s="69"/>
      <c r="W20" s="69"/>
      <c r="X20" s="69"/>
      <c r="Y20" s="18"/>
      <c r="Z20" s="18"/>
      <c r="AA20" s="69"/>
      <c r="AB20" s="69"/>
      <c r="AC20" s="69"/>
      <c r="AD20" s="69"/>
      <c r="AE20" s="18"/>
      <c r="AF20" s="69"/>
      <c r="AG20" s="69"/>
      <c r="AH20" s="69"/>
      <c r="AI20" s="69"/>
      <c r="AJ20" s="18"/>
      <c r="AK20" s="69"/>
      <c r="AL20" s="9" t="str">
        <f t="shared" si="4"/>
        <v>IOPDMD[27]</v>
      </c>
      <c r="AM20" s="9" t="str">
        <f t="shared" si="5"/>
        <v>IOPDMD[26]</v>
      </c>
      <c r="AN20" s="9" t="str">
        <f t="shared" si="6"/>
        <v>IOPDMD[25]</v>
      </c>
      <c r="AO20" s="9" t="str">
        <f t="shared" si="7"/>
        <v>IOPDMD[24]</v>
      </c>
      <c r="AP20" s="86"/>
    </row>
    <row r="21" spans="1:42" ht="16.149999999999999">
      <c r="A21" s="60">
        <v>20</v>
      </c>
      <c r="B21" s="7">
        <v>20</v>
      </c>
      <c r="C21" s="7">
        <v>17</v>
      </c>
      <c r="D21" s="87">
        <v>14</v>
      </c>
      <c r="E21" s="87">
        <v>11</v>
      </c>
      <c r="F21" s="7"/>
      <c r="G21" s="7"/>
      <c r="H21" s="87"/>
      <c r="I21" s="45" t="s">
        <v>376</v>
      </c>
      <c r="J21" s="45" t="s">
        <v>377</v>
      </c>
      <c r="K21" s="116" t="s">
        <v>807</v>
      </c>
      <c r="L21" s="69" t="s">
        <v>661</v>
      </c>
      <c r="M21" s="69" t="s">
        <v>675</v>
      </c>
      <c r="N21" s="69" t="s">
        <v>681</v>
      </c>
      <c r="O21" s="18" t="s">
        <v>808</v>
      </c>
      <c r="P21" s="18" t="s">
        <v>809</v>
      </c>
      <c r="Q21" s="18" t="s">
        <v>810</v>
      </c>
      <c r="R21" s="69"/>
      <c r="S21" s="69"/>
      <c r="T21" s="69"/>
      <c r="U21" s="69"/>
      <c r="V21" s="69"/>
      <c r="W21" s="69"/>
      <c r="X21" s="69"/>
      <c r="Y21" s="18"/>
      <c r="Z21" s="18"/>
      <c r="AA21" s="69"/>
      <c r="AB21" s="69"/>
      <c r="AC21" s="69"/>
      <c r="AD21" s="69"/>
      <c r="AE21" s="18"/>
      <c r="AF21" s="69"/>
      <c r="AG21" s="69"/>
      <c r="AH21" s="69"/>
      <c r="AI21" s="69"/>
      <c r="AJ21" s="18"/>
      <c r="AK21" s="69"/>
      <c r="AL21" s="9" t="str">
        <f t="shared" si="4"/>
        <v>IOPDMD[23]</v>
      </c>
      <c r="AM21" s="9" t="str">
        <f t="shared" si="5"/>
        <v>IOPDMD[22]</v>
      </c>
      <c r="AN21" s="9" t="str">
        <f t="shared" si="6"/>
        <v>IOPDMD[21]</v>
      </c>
      <c r="AO21" s="9" t="str">
        <f t="shared" si="7"/>
        <v>IOPDMD[20]</v>
      </c>
      <c r="AP21" s="86"/>
    </row>
    <row r="22" spans="1:42" ht="16.149999999999999">
      <c r="A22" s="60" t="s">
        <v>493</v>
      </c>
      <c r="B22" s="7"/>
      <c r="C22" s="7"/>
      <c r="D22" s="87"/>
      <c r="E22" s="87"/>
      <c r="F22" s="7">
        <v>20</v>
      </c>
      <c r="G22" s="7">
        <v>17</v>
      </c>
      <c r="H22" s="87">
        <v>14</v>
      </c>
      <c r="I22" s="45" t="s">
        <v>376</v>
      </c>
      <c r="J22" s="45" t="s">
        <v>377</v>
      </c>
      <c r="K22" s="69"/>
      <c r="L22" s="69" t="s">
        <v>661</v>
      </c>
      <c r="M22" s="69" t="s">
        <v>675</v>
      </c>
      <c r="N22" s="69" t="s">
        <v>681</v>
      </c>
      <c r="O22" s="18" t="s">
        <v>808</v>
      </c>
      <c r="P22" s="18" t="s">
        <v>809</v>
      </c>
      <c r="Q22" s="18" t="s">
        <v>810</v>
      </c>
      <c r="R22" s="69"/>
      <c r="S22" s="69"/>
      <c r="T22" s="69"/>
      <c r="U22" s="69"/>
      <c r="V22" s="69"/>
      <c r="W22" s="69"/>
      <c r="X22" s="69"/>
      <c r="Y22" s="18"/>
      <c r="Z22" s="18"/>
      <c r="AA22" s="69"/>
      <c r="AB22" s="69"/>
      <c r="AC22" s="69"/>
      <c r="AD22" s="69"/>
      <c r="AE22" s="18"/>
      <c r="AF22" s="69"/>
      <c r="AG22" s="69"/>
      <c r="AH22" s="69"/>
      <c r="AI22" s="69"/>
      <c r="AJ22" s="18"/>
      <c r="AK22" s="69"/>
      <c r="AL22" s="9" t="str">
        <f t="shared" si="4"/>
        <v>IOPDMD[23]</v>
      </c>
      <c r="AM22" s="9" t="str">
        <f t="shared" si="5"/>
        <v>IOPDMD[22]</v>
      </c>
      <c r="AN22" s="9" t="str">
        <f t="shared" si="6"/>
        <v>IOPDMD[21]</v>
      </c>
      <c r="AO22" s="9" t="str">
        <f t="shared" si="7"/>
        <v>IOPDMD[20]</v>
      </c>
      <c r="AP22" s="86"/>
    </row>
    <row r="23" spans="1:42" ht="16.149999999999999">
      <c r="A23" s="60">
        <v>21</v>
      </c>
      <c r="B23" s="7">
        <v>21</v>
      </c>
      <c r="C23" s="7">
        <v>18</v>
      </c>
      <c r="D23" s="87">
        <v>15</v>
      </c>
      <c r="E23" s="87"/>
      <c r="F23" s="7">
        <v>21</v>
      </c>
      <c r="G23" s="7">
        <v>18</v>
      </c>
      <c r="H23" s="87">
        <v>15</v>
      </c>
      <c r="I23" s="45" t="s">
        <v>378</v>
      </c>
      <c r="J23" s="45" t="s">
        <v>379</v>
      </c>
      <c r="K23" s="69" t="s">
        <v>660</v>
      </c>
      <c r="L23" s="69" t="s">
        <v>685</v>
      </c>
      <c r="M23" s="69" t="s">
        <v>703</v>
      </c>
      <c r="N23" s="18" t="s">
        <v>809</v>
      </c>
      <c r="O23" s="18" t="s">
        <v>810</v>
      </c>
      <c r="P23" s="69"/>
      <c r="Q23" s="69"/>
      <c r="R23" s="69"/>
      <c r="S23" s="69"/>
      <c r="T23" s="69"/>
      <c r="U23" s="69"/>
      <c r="V23" s="69"/>
      <c r="W23" s="18"/>
      <c r="X23" s="18"/>
      <c r="Y23" s="18"/>
      <c r="Z23" s="18"/>
      <c r="AA23" s="69"/>
      <c r="AB23" s="69"/>
      <c r="AC23" s="18"/>
      <c r="AD23" s="18"/>
      <c r="AE23" s="18"/>
      <c r="AF23" s="69"/>
      <c r="AG23" s="69"/>
      <c r="AH23" s="18"/>
      <c r="AI23" s="18"/>
      <c r="AJ23" s="18"/>
      <c r="AK23" s="69"/>
      <c r="AL23" s="9" t="str">
        <f t="shared" si="4"/>
        <v>IOPDMD[19]</v>
      </c>
      <c r="AM23" s="9" t="str">
        <f t="shared" si="5"/>
        <v>IOPDMD[18]</v>
      </c>
      <c r="AN23" s="9" t="str">
        <f t="shared" si="6"/>
        <v>IOPDMD[17]</v>
      </c>
      <c r="AO23" s="9" t="str">
        <f t="shared" si="7"/>
        <v>IOPDMD[16]</v>
      </c>
      <c r="AP23" s="86"/>
    </row>
    <row r="24" spans="1:42" ht="16.149999999999999">
      <c r="A24" s="60">
        <v>22</v>
      </c>
      <c r="B24" s="7">
        <v>22</v>
      </c>
      <c r="C24" s="7">
        <v>19</v>
      </c>
      <c r="D24" s="87">
        <v>16</v>
      </c>
      <c r="E24" s="87">
        <v>12</v>
      </c>
      <c r="F24" s="7"/>
      <c r="G24" s="7"/>
      <c r="H24" s="87"/>
      <c r="I24" s="45" t="s">
        <v>381</v>
      </c>
      <c r="J24" s="45" t="s">
        <v>382</v>
      </c>
      <c r="K24" s="116" t="s">
        <v>811</v>
      </c>
      <c r="L24" s="69" t="s">
        <v>684</v>
      </c>
      <c r="M24" s="18" t="s">
        <v>808</v>
      </c>
      <c r="N24" s="18" t="s">
        <v>809</v>
      </c>
      <c r="O24" s="69"/>
      <c r="P24" s="69"/>
      <c r="Q24" s="69"/>
      <c r="R24" s="69"/>
      <c r="S24" s="69"/>
      <c r="T24" s="69"/>
      <c r="U24" s="69"/>
      <c r="V24" s="69"/>
      <c r="W24" s="18"/>
      <c r="X24" s="18"/>
      <c r="Y24" s="18"/>
      <c r="Z24" s="18"/>
      <c r="AA24" s="69"/>
      <c r="AB24" s="69"/>
      <c r="AC24" s="18"/>
      <c r="AD24" s="18"/>
      <c r="AE24" s="18"/>
      <c r="AF24" s="69"/>
      <c r="AG24" s="69"/>
      <c r="AH24" s="18"/>
      <c r="AI24" s="18"/>
      <c r="AJ24" s="18"/>
      <c r="AK24" s="69"/>
      <c r="AL24" s="9" t="str">
        <f t="shared" si="4"/>
        <v>IOPDMD[15]</v>
      </c>
      <c r="AM24" s="9" t="str">
        <f t="shared" si="5"/>
        <v>IOPDMD[14]</v>
      </c>
      <c r="AN24" s="9" t="str">
        <f t="shared" si="6"/>
        <v>IOPDMD[13]</v>
      </c>
      <c r="AO24" s="9" t="str">
        <f t="shared" si="7"/>
        <v>IOPDMD[12]</v>
      </c>
      <c r="AP24" s="86"/>
    </row>
    <row r="25" spans="1:42" ht="16.149999999999999">
      <c r="A25" s="60" t="s">
        <v>494</v>
      </c>
      <c r="B25" s="7"/>
      <c r="C25" s="7"/>
      <c r="D25" s="87"/>
      <c r="E25" s="87"/>
      <c r="F25" s="7">
        <v>22</v>
      </c>
      <c r="G25" s="7">
        <v>19</v>
      </c>
      <c r="H25" s="87">
        <v>16</v>
      </c>
      <c r="I25" s="45" t="s">
        <v>381</v>
      </c>
      <c r="J25" s="45" t="s">
        <v>382</v>
      </c>
      <c r="K25" s="69"/>
      <c r="L25" s="69" t="s">
        <v>684</v>
      </c>
      <c r="M25" s="18" t="s">
        <v>808</v>
      </c>
      <c r="N25" s="18" t="s">
        <v>809</v>
      </c>
      <c r="O25" s="69"/>
      <c r="P25" s="69"/>
      <c r="Q25" s="69"/>
      <c r="R25" s="69"/>
      <c r="S25" s="69"/>
      <c r="T25" s="69"/>
      <c r="U25" s="69"/>
      <c r="V25" s="69"/>
      <c r="W25" s="18"/>
      <c r="X25" s="18"/>
      <c r="Y25" s="18"/>
      <c r="Z25" s="18"/>
      <c r="AA25" s="69"/>
      <c r="AB25" s="69"/>
      <c r="AC25" s="18"/>
      <c r="AD25" s="18"/>
      <c r="AE25" s="18"/>
      <c r="AF25" s="69"/>
      <c r="AG25" s="69"/>
      <c r="AH25" s="18"/>
      <c r="AI25" s="18"/>
      <c r="AJ25" s="18"/>
      <c r="AK25" s="69"/>
      <c r="AL25" s="9" t="str">
        <f t="shared" ref="AL25:AL50" si="8">IF(COUNTIF(J25,"P*")&gt;0,"IO"&amp;LEFT(J25,2)&amp;"MD["&amp;RIGHT(J25,1)*4+3&amp;"]","")</f>
        <v>IOPDMD[15]</v>
      </c>
      <c r="AM25" s="9" t="str">
        <f t="shared" ref="AM25:AM50" si="9">IF(COUNTIF(J25,"P*")&gt;0,"IO"&amp;LEFT(J25,2)&amp;"MD["&amp;RIGHT(J25,1)*4+2&amp;"]","")</f>
        <v>IOPDMD[14]</v>
      </c>
      <c r="AN25" s="9" t="str">
        <f t="shared" ref="AN25:AN50" si="10">IF(COUNTIF(J25,"P*")&gt;0,"IO"&amp;LEFT(J25,2)&amp;"MD["&amp;RIGHT(J25,1)*4+1&amp;"]","")</f>
        <v>IOPDMD[13]</v>
      </c>
      <c r="AO25" s="9" t="str">
        <f t="shared" ref="AO25:AO50" si="11">IF(COUNTIF(J25,"P*")&gt;0,"IO"&amp;LEFT(J25,2)&amp;"MD["&amp;RIGHT(J25,1)*4&amp;"]","")</f>
        <v>IOPDMD[12]</v>
      </c>
      <c r="AP25" s="86"/>
    </row>
    <row r="26" spans="1:42" ht="16.149999999999999">
      <c r="A26" s="60">
        <v>23</v>
      </c>
      <c r="B26" s="7">
        <v>23</v>
      </c>
      <c r="C26" s="7">
        <v>20</v>
      </c>
      <c r="D26" s="87"/>
      <c r="E26" s="87"/>
      <c r="F26" s="7">
        <v>23</v>
      </c>
      <c r="G26" s="7">
        <v>20</v>
      </c>
      <c r="H26" s="87"/>
      <c r="I26" s="45" t="s">
        <v>385</v>
      </c>
      <c r="J26" s="45" t="s">
        <v>386</v>
      </c>
      <c r="K26" s="69" t="s">
        <v>688</v>
      </c>
      <c r="L26" s="69" t="s">
        <v>696</v>
      </c>
      <c r="M26" s="18" t="s">
        <v>812</v>
      </c>
      <c r="N26" s="18" t="s">
        <v>813</v>
      </c>
      <c r="O26" s="18" t="s">
        <v>814</v>
      </c>
      <c r="P26" s="69"/>
      <c r="Q26" s="69"/>
      <c r="R26" s="69"/>
      <c r="S26" s="69"/>
      <c r="T26" s="69"/>
      <c r="U26" s="69"/>
      <c r="V26" s="69"/>
      <c r="W26" s="69"/>
      <c r="X26" s="69"/>
      <c r="Y26" s="18"/>
      <c r="Z26" s="18"/>
      <c r="AA26" s="69"/>
      <c r="AB26" s="69"/>
      <c r="AC26" s="69"/>
      <c r="AD26" s="69"/>
      <c r="AE26" s="18"/>
      <c r="AF26" s="69"/>
      <c r="AG26" s="69"/>
      <c r="AH26" s="69"/>
      <c r="AI26" s="69"/>
      <c r="AJ26" s="18"/>
      <c r="AK26" s="69"/>
      <c r="AL26" s="9" t="str">
        <f t="shared" si="8"/>
        <v>IOPDMD[11]</v>
      </c>
      <c r="AM26" s="9" t="str">
        <f t="shared" si="9"/>
        <v>IOPDMD[10]</v>
      </c>
      <c r="AN26" s="9" t="str">
        <f t="shared" si="10"/>
        <v>IOPDMD[9]</v>
      </c>
      <c r="AO26" s="9" t="str">
        <f t="shared" si="11"/>
        <v>IOPDMD[8]</v>
      </c>
      <c r="AP26" s="86"/>
    </row>
    <row r="27" spans="1:42" ht="16.149999999999999">
      <c r="A27" s="60">
        <v>24</v>
      </c>
      <c r="B27" s="7">
        <v>24</v>
      </c>
      <c r="C27" s="7"/>
      <c r="D27" s="87"/>
      <c r="E27" s="87"/>
      <c r="F27" s="7">
        <v>24</v>
      </c>
      <c r="G27" s="7"/>
      <c r="H27" s="87"/>
      <c r="I27" s="45" t="s">
        <v>389</v>
      </c>
      <c r="J27" s="45" t="s">
        <v>390</v>
      </c>
      <c r="K27" s="69" t="s">
        <v>690</v>
      </c>
      <c r="L27" s="18" t="s">
        <v>812</v>
      </c>
      <c r="M27" s="18" t="s">
        <v>813</v>
      </c>
      <c r="N27" s="69"/>
      <c r="O27" s="69"/>
      <c r="P27" s="69"/>
      <c r="Q27" s="69"/>
      <c r="R27" s="69"/>
      <c r="S27" s="69"/>
      <c r="T27" s="69"/>
      <c r="U27" s="69"/>
      <c r="V27" s="69"/>
      <c r="W27" s="69"/>
      <c r="X27" s="69"/>
      <c r="Y27" s="18"/>
      <c r="Z27" s="18"/>
      <c r="AA27" s="69"/>
      <c r="AB27" s="69"/>
      <c r="AC27" s="69"/>
      <c r="AD27" s="69"/>
      <c r="AE27" s="18"/>
      <c r="AF27" s="69"/>
      <c r="AG27" s="69"/>
      <c r="AH27" s="69"/>
      <c r="AI27" s="69"/>
      <c r="AJ27" s="18"/>
      <c r="AK27" s="69"/>
      <c r="AL27" s="9" t="str">
        <f t="shared" si="8"/>
        <v>IOPDMD[7]</v>
      </c>
      <c r="AM27" s="9" t="str">
        <f t="shared" si="9"/>
        <v>IOPDMD[6]</v>
      </c>
      <c r="AN27" s="9" t="str">
        <f t="shared" si="10"/>
        <v>IOPDMD[5]</v>
      </c>
      <c r="AO27" s="9" t="str">
        <f t="shared" si="11"/>
        <v>IOPDMD[4]</v>
      </c>
      <c r="AP27" s="86"/>
    </row>
    <row r="28" spans="1:42" ht="16.149999999999999">
      <c r="A28" s="60">
        <v>25</v>
      </c>
      <c r="B28" s="7">
        <v>25</v>
      </c>
      <c r="C28" s="7"/>
      <c r="D28" s="87"/>
      <c r="E28" s="87"/>
      <c r="F28" s="7">
        <v>25</v>
      </c>
      <c r="G28" s="7"/>
      <c r="H28" s="87"/>
      <c r="I28" s="45" t="s">
        <v>393</v>
      </c>
      <c r="J28" s="45" t="s">
        <v>394</v>
      </c>
      <c r="K28" s="69" t="s">
        <v>702</v>
      </c>
      <c r="L28" s="18" t="s">
        <v>815</v>
      </c>
      <c r="M28" s="69"/>
      <c r="N28" s="69"/>
      <c r="O28" s="69"/>
      <c r="P28" s="69"/>
      <c r="Q28" s="69"/>
      <c r="R28" s="69"/>
      <c r="S28" s="69"/>
      <c r="T28" s="69"/>
      <c r="U28" s="69"/>
      <c r="V28" s="18"/>
      <c r="W28" s="18"/>
      <c r="X28" s="18"/>
      <c r="Y28" s="18"/>
      <c r="Z28" s="18"/>
      <c r="AA28" s="69"/>
      <c r="AB28" s="18"/>
      <c r="AC28" s="18"/>
      <c r="AD28" s="18"/>
      <c r="AE28" s="18"/>
      <c r="AF28" s="69"/>
      <c r="AG28" s="18"/>
      <c r="AH28" s="18"/>
      <c r="AI28" s="18"/>
      <c r="AJ28" s="18"/>
      <c r="AK28" s="69"/>
      <c r="AL28" s="9" t="str">
        <f t="shared" si="8"/>
        <v>IOPDMD[3]</v>
      </c>
      <c r="AM28" s="9" t="str">
        <f t="shared" si="9"/>
        <v>IOPDMD[2]</v>
      </c>
      <c r="AN28" s="9" t="str">
        <f t="shared" si="10"/>
        <v>IOPDMD[1]</v>
      </c>
      <c r="AO28" s="9" t="str">
        <f t="shared" si="11"/>
        <v>IOPDMD[0]</v>
      </c>
      <c r="AP28" s="86"/>
    </row>
    <row r="29" spans="1:42" ht="16.149999999999999">
      <c r="A29" s="61">
        <v>26</v>
      </c>
      <c r="B29" s="7">
        <v>26</v>
      </c>
      <c r="C29" s="7"/>
      <c r="D29" s="87"/>
      <c r="E29" s="87"/>
      <c r="F29" s="7">
        <v>26</v>
      </c>
      <c r="G29" s="7"/>
      <c r="H29" s="87"/>
      <c r="I29" s="45" t="s">
        <v>495</v>
      </c>
      <c r="J29" s="45" t="s">
        <v>496</v>
      </c>
      <c r="K29" s="18" t="s">
        <v>814</v>
      </c>
      <c r="L29" s="69"/>
      <c r="M29" s="69"/>
      <c r="N29" s="69"/>
      <c r="O29" s="69"/>
      <c r="P29" s="69"/>
      <c r="Q29" s="69"/>
      <c r="R29" s="69"/>
      <c r="S29" s="69"/>
      <c r="T29" s="69"/>
      <c r="U29" s="69"/>
      <c r="V29" s="18"/>
      <c r="W29" s="18"/>
      <c r="X29" s="18"/>
      <c r="Y29" s="18"/>
      <c r="Z29" s="18"/>
      <c r="AA29" s="69"/>
      <c r="AB29" s="18"/>
      <c r="AC29" s="18"/>
      <c r="AD29" s="18"/>
      <c r="AE29" s="18"/>
      <c r="AF29" s="69"/>
      <c r="AG29" s="18"/>
      <c r="AH29" s="18"/>
      <c r="AI29" s="18"/>
      <c r="AJ29" s="18"/>
      <c r="AK29" s="69"/>
      <c r="AL29" s="9" t="str">
        <f t="shared" si="8"/>
        <v>IOPBMD[31]</v>
      </c>
      <c r="AM29" s="9" t="str">
        <f t="shared" si="9"/>
        <v>IOPBMD[30]</v>
      </c>
      <c r="AN29" s="9" t="str">
        <f t="shared" si="10"/>
        <v>IOPBMD[29]</v>
      </c>
      <c r="AO29" s="9" t="str">
        <f t="shared" si="11"/>
        <v>IOPBMD[28]</v>
      </c>
      <c r="AP29" s="86"/>
    </row>
    <row r="30" spans="1:42" ht="16.149999999999999">
      <c r="A30" s="61">
        <v>27</v>
      </c>
      <c r="B30" s="7">
        <v>27</v>
      </c>
      <c r="C30" s="7">
        <v>21</v>
      </c>
      <c r="D30" s="87">
        <v>17</v>
      </c>
      <c r="E30" s="87"/>
      <c r="F30" s="7"/>
      <c r="G30" s="7"/>
      <c r="H30" s="87"/>
      <c r="I30" s="45" t="s">
        <v>497</v>
      </c>
      <c r="J30" s="45" t="s">
        <v>498</v>
      </c>
      <c r="K30" s="69" t="s">
        <v>806</v>
      </c>
      <c r="L30" s="69" t="s">
        <v>663</v>
      </c>
      <c r="M30" s="18" t="s">
        <v>816</v>
      </c>
      <c r="N30" s="18" t="s">
        <v>817</v>
      </c>
      <c r="O30" s="18" t="s">
        <v>814</v>
      </c>
      <c r="P30" s="69"/>
      <c r="Q30" s="69"/>
      <c r="R30" s="69"/>
      <c r="S30" s="69"/>
      <c r="T30" s="69"/>
      <c r="U30" s="69"/>
      <c r="V30" s="69"/>
      <c r="W30" s="18"/>
      <c r="X30" s="18"/>
      <c r="Y30" s="18"/>
      <c r="Z30" s="18"/>
      <c r="AA30" s="69"/>
      <c r="AB30" s="69"/>
      <c r="AC30" s="18"/>
      <c r="AD30" s="18"/>
      <c r="AE30" s="18"/>
      <c r="AF30" s="69"/>
      <c r="AG30" s="69"/>
      <c r="AH30" s="18"/>
      <c r="AI30" s="18"/>
      <c r="AJ30" s="18"/>
      <c r="AK30" s="69"/>
      <c r="AL30" s="9" t="str">
        <f t="shared" si="8"/>
        <v>IOPBMD[27]</v>
      </c>
      <c r="AM30" s="9" t="str">
        <f t="shared" si="9"/>
        <v>IOPBMD[26]</v>
      </c>
      <c r="AN30" s="9" t="str">
        <f t="shared" si="10"/>
        <v>IOPBMD[25]</v>
      </c>
      <c r="AO30" s="9" t="str">
        <f t="shared" si="11"/>
        <v>IOPBMD[24]</v>
      </c>
      <c r="AP30" s="86"/>
    </row>
    <row r="31" spans="1:42" ht="16.149999999999999">
      <c r="A31" s="61" t="s">
        <v>499</v>
      </c>
      <c r="B31" s="7"/>
      <c r="C31" s="7"/>
      <c r="D31" s="87"/>
      <c r="E31" s="87"/>
      <c r="F31" s="7">
        <v>27</v>
      </c>
      <c r="G31" s="7">
        <v>21</v>
      </c>
      <c r="H31" s="87">
        <v>17</v>
      </c>
      <c r="I31" s="45" t="s">
        <v>497</v>
      </c>
      <c r="J31" s="45" t="s">
        <v>500</v>
      </c>
      <c r="K31" s="69" t="s">
        <v>806</v>
      </c>
      <c r="L31" s="69" t="s">
        <v>663</v>
      </c>
      <c r="M31" s="18" t="s">
        <v>816</v>
      </c>
      <c r="N31" s="18" t="s">
        <v>817</v>
      </c>
      <c r="O31" s="18" t="s">
        <v>814</v>
      </c>
      <c r="P31" s="69"/>
      <c r="Q31" s="69"/>
      <c r="R31" s="69"/>
      <c r="S31" s="69"/>
      <c r="T31" s="69"/>
      <c r="U31" s="69"/>
      <c r="V31" s="69"/>
      <c r="W31" s="18"/>
      <c r="X31" s="18"/>
      <c r="Y31" s="18"/>
      <c r="Z31" s="18"/>
      <c r="AA31" s="69"/>
      <c r="AB31" s="69"/>
      <c r="AC31" s="18"/>
      <c r="AD31" s="18"/>
      <c r="AE31" s="18"/>
      <c r="AF31" s="69"/>
      <c r="AG31" s="69"/>
      <c r="AH31" s="18"/>
      <c r="AI31" s="18"/>
      <c r="AJ31" s="18"/>
      <c r="AK31" s="69"/>
      <c r="AL31" s="9" t="str">
        <f t="shared" si="8"/>
        <v>IOPBMD[27]</v>
      </c>
      <c r="AM31" s="9" t="str">
        <f t="shared" si="9"/>
        <v>IOPBMD[26]</v>
      </c>
      <c r="AN31" s="9" t="str">
        <f t="shared" si="10"/>
        <v>IOPBMD[25]</v>
      </c>
      <c r="AO31" s="9" t="str">
        <f t="shared" si="11"/>
        <v>IOPBMD[24]</v>
      </c>
      <c r="AP31" s="86"/>
    </row>
    <row r="32" spans="1:42" ht="16.149999999999999">
      <c r="A32" s="61">
        <v>28</v>
      </c>
      <c r="B32" s="7">
        <v>28</v>
      </c>
      <c r="C32" s="7">
        <v>22</v>
      </c>
      <c r="D32" s="87">
        <v>18</v>
      </c>
      <c r="E32" s="87"/>
      <c r="F32" s="7"/>
      <c r="G32" s="7"/>
      <c r="H32" s="87"/>
      <c r="I32" s="45" t="s">
        <v>25</v>
      </c>
      <c r="J32" s="45" t="s">
        <v>26</v>
      </c>
      <c r="K32" s="69" t="s">
        <v>818</v>
      </c>
      <c r="L32" s="18" t="s">
        <v>816</v>
      </c>
      <c r="M32" s="18" t="s">
        <v>817</v>
      </c>
      <c r="N32" s="69"/>
      <c r="O32" s="69"/>
      <c r="P32" s="69"/>
      <c r="Q32" s="69"/>
      <c r="R32" s="69"/>
      <c r="S32" s="69"/>
      <c r="T32" s="69"/>
      <c r="U32" s="69"/>
      <c r="V32" s="69"/>
      <c r="W32" s="18"/>
      <c r="X32" s="18"/>
      <c r="Y32" s="18"/>
      <c r="Z32" s="18"/>
      <c r="AA32" s="69"/>
      <c r="AB32" s="69"/>
      <c r="AC32" s="18"/>
      <c r="AD32" s="18"/>
      <c r="AE32" s="18"/>
      <c r="AF32" s="69"/>
      <c r="AG32" s="69"/>
      <c r="AH32" s="18"/>
      <c r="AI32" s="18"/>
      <c r="AJ32" s="18"/>
      <c r="AK32" s="69"/>
      <c r="AL32" s="9" t="str">
        <f t="shared" si="8"/>
        <v>IOPBMD[23]</v>
      </c>
      <c r="AM32" s="9" t="str">
        <f t="shared" si="9"/>
        <v>IOPBMD[22]</v>
      </c>
      <c r="AN32" s="9" t="str">
        <f t="shared" si="10"/>
        <v>IOPBMD[21]</v>
      </c>
      <c r="AO32" s="9" t="str">
        <f t="shared" si="11"/>
        <v>IOPBMD[20]</v>
      </c>
      <c r="AP32" s="86"/>
    </row>
    <row r="33" spans="1:42" ht="16.149999999999999">
      <c r="A33" s="61" t="s">
        <v>501</v>
      </c>
      <c r="B33" s="7"/>
      <c r="C33" s="7"/>
      <c r="D33" s="87"/>
      <c r="E33" s="87"/>
      <c r="F33" s="7">
        <v>28</v>
      </c>
      <c r="G33" s="7">
        <v>22</v>
      </c>
      <c r="H33" s="87">
        <v>18</v>
      </c>
      <c r="I33" s="45" t="s">
        <v>25</v>
      </c>
      <c r="J33" s="45" t="s">
        <v>26</v>
      </c>
      <c r="K33" s="69" t="s">
        <v>818</v>
      </c>
      <c r="L33" s="18" t="s">
        <v>816</v>
      </c>
      <c r="M33" s="18" t="s">
        <v>817</v>
      </c>
      <c r="N33" s="69"/>
      <c r="O33" s="69"/>
      <c r="P33" s="69"/>
      <c r="Q33" s="69"/>
      <c r="R33" s="69"/>
      <c r="S33" s="69"/>
      <c r="T33" s="69"/>
      <c r="U33" s="69"/>
      <c r="V33" s="69"/>
      <c r="W33" s="18"/>
      <c r="X33" s="18"/>
      <c r="Y33" s="18"/>
      <c r="Z33" s="18"/>
      <c r="AA33" s="69"/>
      <c r="AB33" s="69"/>
      <c r="AC33" s="18"/>
      <c r="AD33" s="18"/>
      <c r="AE33" s="18"/>
      <c r="AF33" s="69"/>
      <c r="AG33" s="69"/>
      <c r="AH33" s="18"/>
      <c r="AI33" s="18"/>
      <c r="AJ33" s="18"/>
      <c r="AK33" s="69"/>
      <c r="AL33" s="9" t="str">
        <f t="shared" si="8"/>
        <v>IOPBMD[23]</v>
      </c>
      <c r="AM33" s="9" t="str">
        <f t="shared" si="9"/>
        <v>IOPBMD[22]</v>
      </c>
      <c r="AN33" s="9" t="str">
        <f t="shared" si="10"/>
        <v>IOPBMD[21]</v>
      </c>
      <c r="AO33" s="9" t="str">
        <f t="shared" si="11"/>
        <v>IOPBMD[20]</v>
      </c>
      <c r="AP33" s="86"/>
    </row>
    <row r="34" spans="1:42" ht="16.149999999999999">
      <c r="A34" s="61">
        <v>29</v>
      </c>
      <c r="B34" s="7">
        <v>29</v>
      </c>
      <c r="C34" s="7">
        <v>23</v>
      </c>
      <c r="D34" s="87"/>
      <c r="E34" s="87"/>
      <c r="F34" s="7">
        <v>29</v>
      </c>
      <c r="G34" s="7">
        <v>23</v>
      </c>
      <c r="H34" s="87"/>
      <c r="I34" s="45" t="s">
        <v>110</v>
      </c>
      <c r="J34" s="45" t="s">
        <v>492</v>
      </c>
      <c r="K34" s="69"/>
      <c r="L34" s="69"/>
      <c r="M34" s="69"/>
      <c r="N34" s="69"/>
      <c r="O34" s="69"/>
      <c r="P34" s="69"/>
      <c r="Q34" s="69"/>
      <c r="R34" s="69"/>
      <c r="S34" s="69"/>
      <c r="T34" s="69"/>
      <c r="U34" s="69"/>
      <c r="V34" s="69"/>
      <c r="W34" s="18"/>
      <c r="X34" s="18"/>
      <c r="Y34" s="18"/>
      <c r="Z34" s="18"/>
      <c r="AA34" s="69"/>
      <c r="AB34" s="69"/>
      <c r="AC34" s="18"/>
      <c r="AD34" s="18"/>
      <c r="AE34" s="18"/>
      <c r="AF34" s="69"/>
      <c r="AG34" s="69"/>
      <c r="AH34" s="18"/>
      <c r="AI34" s="18"/>
      <c r="AJ34" s="18"/>
      <c r="AK34" s="69"/>
      <c r="AL34" s="9" t="str">
        <f t="shared" si="8"/>
        <v/>
      </c>
      <c r="AM34" s="9" t="str">
        <f t="shared" si="9"/>
        <v/>
      </c>
      <c r="AN34" s="9" t="str">
        <f t="shared" si="10"/>
        <v/>
      </c>
      <c r="AO34" s="9" t="str">
        <f t="shared" si="11"/>
        <v/>
      </c>
      <c r="AP34" s="86"/>
    </row>
    <row r="35" spans="1:42" ht="16.149999999999999">
      <c r="A35" s="61">
        <v>30</v>
      </c>
      <c r="B35" s="7">
        <v>30</v>
      </c>
      <c r="C35" s="7">
        <v>24</v>
      </c>
      <c r="D35" s="87">
        <v>19</v>
      </c>
      <c r="E35" s="87">
        <v>13</v>
      </c>
      <c r="F35" s="7">
        <v>30</v>
      </c>
      <c r="G35" s="7">
        <v>24</v>
      </c>
      <c r="H35" s="87">
        <v>19</v>
      </c>
      <c r="I35" s="45" t="s">
        <v>38</v>
      </c>
      <c r="J35" s="45" t="s">
        <v>39</v>
      </c>
      <c r="K35" s="69" t="s">
        <v>804</v>
      </c>
      <c r="L35" s="69" t="s">
        <v>661</v>
      </c>
      <c r="M35" s="69" t="s">
        <v>668</v>
      </c>
      <c r="N35" s="117" t="s">
        <v>803</v>
      </c>
      <c r="O35" s="69"/>
      <c r="P35" s="69"/>
      <c r="Q35" s="69"/>
      <c r="R35" s="69"/>
      <c r="S35" s="69"/>
      <c r="T35" s="69"/>
      <c r="U35" s="69"/>
      <c r="V35" s="69"/>
      <c r="W35" s="18"/>
      <c r="X35" s="18"/>
      <c r="Y35" s="18"/>
      <c r="Z35" s="18"/>
      <c r="AA35" s="69"/>
      <c r="AB35" s="69"/>
      <c r="AC35" s="18"/>
      <c r="AD35" s="18"/>
      <c r="AE35" s="18"/>
      <c r="AF35" s="69"/>
      <c r="AG35" s="69"/>
      <c r="AH35" s="18"/>
      <c r="AI35" s="18"/>
      <c r="AJ35" s="18"/>
      <c r="AK35" s="69"/>
      <c r="AL35" s="9" t="str">
        <f t="shared" si="8"/>
        <v>IOPBMD[19]</v>
      </c>
      <c r="AM35" s="9" t="str">
        <f t="shared" si="9"/>
        <v>IOPBMD[18]</v>
      </c>
      <c r="AN35" s="9" t="str">
        <f t="shared" si="10"/>
        <v>IOPBMD[17]</v>
      </c>
      <c r="AO35" s="9" t="str">
        <f t="shared" si="11"/>
        <v>IOPBMD[16]</v>
      </c>
      <c r="AP35" s="86"/>
    </row>
    <row r="36" spans="1:42" ht="16.149999999999999">
      <c r="A36" s="61">
        <v>31</v>
      </c>
      <c r="B36" s="7">
        <v>31</v>
      </c>
      <c r="C36" s="7">
        <v>25</v>
      </c>
      <c r="D36" s="87"/>
      <c r="E36" s="87"/>
      <c r="F36" s="7">
        <v>31</v>
      </c>
      <c r="G36" s="7">
        <v>25</v>
      </c>
      <c r="H36" s="87"/>
      <c r="I36" s="45" t="s">
        <v>108</v>
      </c>
      <c r="J36" s="45" t="s">
        <v>109</v>
      </c>
      <c r="K36" s="69"/>
      <c r="L36" s="69"/>
      <c r="M36" s="69"/>
      <c r="N36" s="69"/>
      <c r="O36" s="69"/>
      <c r="P36" s="69"/>
      <c r="Q36" s="69"/>
      <c r="R36" s="69"/>
      <c r="S36" s="69"/>
      <c r="T36" s="69"/>
      <c r="U36" s="69"/>
      <c r="V36" s="69"/>
      <c r="W36" s="18"/>
      <c r="X36" s="18"/>
      <c r="Y36" s="18"/>
      <c r="Z36" s="18"/>
      <c r="AA36" s="69"/>
      <c r="AB36" s="69"/>
      <c r="AC36" s="18"/>
      <c r="AD36" s="18"/>
      <c r="AE36" s="18"/>
      <c r="AF36" s="69"/>
      <c r="AG36" s="69"/>
      <c r="AH36" s="18"/>
      <c r="AI36" s="18"/>
      <c r="AJ36" s="18"/>
      <c r="AK36" s="69"/>
      <c r="AL36" s="9" t="str">
        <f t="shared" si="8"/>
        <v/>
      </c>
      <c r="AM36" s="9" t="str">
        <f t="shared" si="9"/>
        <v/>
      </c>
      <c r="AN36" s="9" t="str">
        <f t="shared" si="10"/>
        <v/>
      </c>
      <c r="AO36" s="9" t="str">
        <f t="shared" si="11"/>
        <v/>
      </c>
      <c r="AP36" s="86"/>
    </row>
    <row r="37" spans="1:42" ht="16.149999999999999">
      <c r="A37" s="61">
        <v>32</v>
      </c>
      <c r="B37" s="7">
        <v>32</v>
      </c>
      <c r="C37" s="7">
        <v>26</v>
      </c>
      <c r="D37" s="87">
        <v>20</v>
      </c>
      <c r="E37" s="87">
        <v>14</v>
      </c>
      <c r="F37" s="7">
        <v>32</v>
      </c>
      <c r="G37" s="7">
        <v>26</v>
      </c>
      <c r="H37" s="87">
        <v>20</v>
      </c>
      <c r="I37" s="45" t="s">
        <v>49</v>
      </c>
      <c r="J37" s="45" t="s">
        <v>50</v>
      </c>
      <c r="K37" s="69" t="s">
        <v>819</v>
      </c>
      <c r="L37" s="69" t="s">
        <v>708</v>
      </c>
      <c r="M37" s="18" t="s">
        <v>820</v>
      </c>
      <c r="N37" s="18" t="s">
        <v>815</v>
      </c>
      <c r="O37" s="69" t="s">
        <v>655</v>
      </c>
      <c r="P37" s="69"/>
      <c r="Q37" s="69"/>
      <c r="R37" s="69"/>
      <c r="S37" s="69"/>
      <c r="T37" s="69"/>
      <c r="U37" s="69"/>
      <c r="V37" s="18"/>
      <c r="W37" s="18"/>
      <c r="X37" s="18"/>
      <c r="Y37" s="18"/>
      <c r="Z37" s="18"/>
      <c r="AA37" s="69"/>
      <c r="AB37" s="18"/>
      <c r="AC37" s="18"/>
      <c r="AD37" s="18"/>
      <c r="AE37" s="18"/>
      <c r="AF37" s="69"/>
      <c r="AG37" s="18"/>
      <c r="AH37" s="18"/>
      <c r="AI37" s="18"/>
      <c r="AJ37" s="18"/>
      <c r="AK37" s="69"/>
      <c r="AL37" s="9" t="str">
        <f t="shared" si="8"/>
        <v>IOPBMD[15]</v>
      </c>
      <c r="AM37" s="9" t="str">
        <f t="shared" si="9"/>
        <v>IOPBMD[14]</v>
      </c>
      <c r="AN37" s="9" t="str">
        <f t="shared" si="10"/>
        <v>IOPBMD[13]</v>
      </c>
      <c r="AO37" s="9" t="str">
        <f t="shared" si="11"/>
        <v>IOPBMD[12]</v>
      </c>
      <c r="AP37" s="86"/>
    </row>
    <row r="38" spans="1:42" ht="16.149999999999999">
      <c r="A38" s="61">
        <v>33</v>
      </c>
      <c r="B38" s="7">
        <v>33</v>
      </c>
      <c r="C38" s="7">
        <v>27</v>
      </c>
      <c r="D38" s="87">
        <v>21</v>
      </c>
      <c r="E38" s="87">
        <v>15</v>
      </c>
      <c r="F38" s="7">
        <v>33</v>
      </c>
      <c r="G38" s="7">
        <v>27</v>
      </c>
      <c r="H38" s="87">
        <v>21</v>
      </c>
      <c r="I38" s="45" t="s">
        <v>60</v>
      </c>
      <c r="J38" s="45" t="s">
        <v>61</v>
      </c>
      <c r="K38" s="69" t="s">
        <v>675</v>
      </c>
      <c r="L38" s="69" t="s">
        <v>709</v>
      </c>
      <c r="M38" s="18" t="s">
        <v>821</v>
      </c>
      <c r="N38" s="18" t="s">
        <v>822</v>
      </c>
      <c r="O38" s="69"/>
      <c r="P38" s="69"/>
      <c r="Q38" s="69"/>
      <c r="R38" s="69"/>
      <c r="S38" s="69"/>
      <c r="T38" s="69"/>
      <c r="U38" s="69"/>
      <c r="V38" s="69"/>
      <c r="W38" s="18"/>
      <c r="X38" s="18"/>
      <c r="Y38" s="18"/>
      <c r="Z38" s="18"/>
      <c r="AA38" s="69"/>
      <c r="AB38" s="69"/>
      <c r="AC38" s="18"/>
      <c r="AD38" s="18"/>
      <c r="AE38" s="18"/>
      <c r="AF38" s="69"/>
      <c r="AG38" s="69"/>
      <c r="AH38" s="18"/>
      <c r="AI38" s="18"/>
      <c r="AJ38" s="18"/>
      <c r="AK38" s="69"/>
      <c r="AL38" s="9" t="str">
        <f t="shared" si="8"/>
        <v>IOPBMD[11]</v>
      </c>
      <c r="AM38" s="9" t="str">
        <f t="shared" si="9"/>
        <v>IOPBMD[10]</v>
      </c>
      <c r="AN38" s="9" t="str">
        <f t="shared" si="10"/>
        <v>IOPBMD[9]</v>
      </c>
      <c r="AO38" s="9" t="str">
        <f t="shared" si="11"/>
        <v>IOPBMD[8]</v>
      </c>
      <c r="AP38" s="86"/>
    </row>
    <row r="39" spans="1:42" ht="16.149999999999999">
      <c r="A39" s="61">
        <v>34</v>
      </c>
      <c r="B39" s="7">
        <v>34</v>
      </c>
      <c r="C39" s="7">
        <v>28</v>
      </c>
      <c r="D39" s="87">
        <v>22</v>
      </c>
      <c r="E39" s="87">
        <v>16</v>
      </c>
      <c r="F39" s="7">
        <v>34</v>
      </c>
      <c r="G39" s="7">
        <v>28</v>
      </c>
      <c r="H39" s="87">
        <v>22</v>
      </c>
      <c r="I39" s="45" t="s">
        <v>91</v>
      </c>
      <c r="J39" s="45" t="s">
        <v>92</v>
      </c>
      <c r="K39" s="69" t="s">
        <v>685</v>
      </c>
      <c r="L39" s="69" t="s">
        <v>711</v>
      </c>
      <c r="M39" s="18" t="s">
        <v>821</v>
      </c>
      <c r="N39" s="18" t="s">
        <v>822</v>
      </c>
      <c r="O39" s="18" t="s">
        <v>820</v>
      </c>
      <c r="P39" s="69"/>
      <c r="Q39" s="69"/>
      <c r="R39" s="69"/>
      <c r="S39" s="69"/>
      <c r="T39" s="69"/>
      <c r="U39" s="69"/>
      <c r="V39" s="69"/>
      <c r="W39" s="18"/>
      <c r="X39" s="18"/>
      <c r="Y39" s="18"/>
      <c r="Z39" s="18"/>
      <c r="AA39" s="69"/>
      <c r="AB39" s="69"/>
      <c r="AC39" s="18"/>
      <c r="AD39" s="18"/>
      <c r="AE39" s="18"/>
      <c r="AF39" s="69"/>
      <c r="AG39" s="69"/>
      <c r="AH39" s="18"/>
      <c r="AI39" s="18"/>
      <c r="AJ39" s="18"/>
      <c r="AK39" s="69"/>
      <c r="AL39" s="9" t="str">
        <f t="shared" si="8"/>
        <v>IOPBMD[7]</v>
      </c>
      <c r="AM39" s="9" t="str">
        <f t="shared" si="9"/>
        <v>IOPBMD[6]</v>
      </c>
      <c r="AN39" s="9" t="str">
        <f t="shared" si="10"/>
        <v>IOPBMD[5]</v>
      </c>
      <c r="AO39" s="9" t="str">
        <f t="shared" si="11"/>
        <v>IOPBMD[4]</v>
      </c>
      <c r="AP39" s="86"/>
    </row>
    <row r="40" spans="1:42" ht="16.149999999999999">
      <c r="A40" s="61">
        <v>35</v>
      </c>
      <c r="B40" s="7">
        <v>35</v>
      </c>
      <c r="C40" s="7">
        <v>29</v>
      </c>
      <c r="D40" s="87"/>
      <c r="E40" s="87"/>
      <c r="F40" s="7">
        <v>35</v>
      </c>
      <c r="G40" s="7">
        <v>29</v>
      </c>
      <c r="H40" s="87"/>
      <c r="I40" s="45" t="s">
        <v>100</v>
      </c>
      <c r="J40" s="45" t="s">
        <v>101</v>
      </c>
      <c r="K40" s="69" t="s">
        <v>674</v>
      </c>
      <c r="L40" s="69" t="s">
        <v>684</v>
      </c>
      <c r="M40" s="69" t="s">
        <v>712</v>
      </c>
      <c r="N40" s="18" t="s">
        <v>821</v>
      </c>
      <c r="O40" s="18" t="s">
        <v>822</v>
      </c>
      <c r="P40" s="18" t="s">
        <v>812</v>
      </c>
      <c r="Q40" s="18" t="s">
        <v>813</v>
      </c>
      <c r="R40" s="69"/>
      <c r="S40" s="69"/>
      <c r="T40" s="69"/>
      <c r="U40" s="69"/>
      <c r="V40" s="69"/>
      <c r="W40" s="18"/>
      <c r="X40" s="18"/>
      <c r="Y40" s="18"/>
      <c r="Z40" s="18"/>
      <c r="AA40" s="69"/>
      <c r="AB40" s="69"/>
      <c r="AC40" s="18"/>
      <c r="AD40" s="18"/>
      <c r="AE40" s="18"/>
      <c r="AF40" s="69"/>
      <c r="AG40" s="69"/>
      <c r="AH40" s="18"/>
      <c r="AI40" s="18"/>
      <c r="AJ40" s="18"/>
      <c r="AK40" s="69"/>
      <c r="AL40" s="9" t="str">
        <f t="shared" si="8"/>
        <v>IOPBMD[3]</v>
      </c>
      <c r="AM40" s="9" t="str">
        <f t="shared" si="9"/>
        <v>IOPBMD[2]</v>
      </c>
      <c r="AN40" s="9" t="str">
        <f t="shared" si="10"/>
        <v>IOPBMD[1]</v>
      </c>
      <c r="AO40" s="9" t="str">
        <f t="shared" si="11"/>
        <v>IOPBMD[0]</v>
      </c>
      <c r="AP40" s="86"/>
    </row>
    <row r="41" spans="1:42" ht="16.149999999999999">
      <c r="A41" s="61">
        <v>36</v>
      </c>
      <c r="B41" s="7">
        <v>36</v>
      </c>
      <c r="C41" s="7">
        <v>30</v>
      </c>
      <c r="D41" s="87"/>
      <c r="E41" s="87"/>
      <c r="F41" s="7">
        <v>36</v>
      </c>
      <c r="G41" s="7">
        <v>30</v>
      </c>
      <c r="H41" s="87"/>
      <c r="I41" s="45" t="s">
        <v>284</v>
      </c>
      <c r="J41" s="45" t="s">
        <v>285</v>
      </c>
      <c r="K41" s="69" t="s">
        <v>659</v>
      </c>
      <c r="L41" s="69" t="s">
        <v>673</v>
      </c>
      <c r="M41" s="69" t="s">
        <v>694</v>
      </c>
      <c r="N41" s="69" t="s">
        <v>714</v>
      </c>
      <c r="O41" s="18" t="s">
        <v>821</v>
      </c>
      <c r="P41" s="18" t="s">
        <v>822</v>
      </c>
      <c r="Q41" s="18" t="s">
        <v>820</v>
      </c>
      <c r="R41" s="18" t="s">
        <v>812</v>
      </c>
      <c r="S41" s="18" t="s">
        <v>813</v>
      </c>
      <c r="T41" s="69"/>
      <c r="U41" s="69"/>
      <c r="V41" s="69"/>
      <c r="W41" s="18"/>
      <c r="X41" s="18"/>
      <c r="Y41" s="18"/>
      <c r="Z41" s="18"/>
      <c r="AA41" s="69"/>
      <c r="AB41" s="69"/>
      <c r="AC41" s="18"/>
      <c r="AD41" s="18"/>
      <c r="AE41" s="18"/>
      <c r="AF41" s="69"/>
      <c r="AG41" s="69"/>
      <c r="AH41" s="18"/>
      <c r="AI41" s="18"/>
      <c r="AJ41" s="18"/>
      <c r="AK41" s="69"/>
      <c r="AL41" s="9" t="str">
        <f t="shared" si="8"/>
        <v>IOPAMD[23]</v>
      </c>
      <c r="AM41" s="9" t="str">
        <f t="shared" si="9"/>
        <v>IOPAMD[22]</v>
      </c>
      <c r="AN41" s="9" t="str">
        <f t="shared" si="10"/>
        <v>IOPAMD[21]</v>
      </c>
      <c r="AO41" s="9" t="str">
        <f t="shared" si="11"/>
        <v>IOPAMD[20]</v>
      </c>
      <c r="AP41" s="86"/>
    </row>
    <row r="42" spans="1:42" ht="16.149999999999999">
      <c r="A42" s="61">
        <v>37</v>
      </c>
      <c r="B42" s="7">
        <v>37</v>
      </c>
      <c r="C42" s="7"/>
      <c r="D42" s="87"/>
      <c r="E42" s="87"/>
      <c r="F42" s="7">
        <v>37</v>
      </c>
      <c r="G42" s="7"/>
      <c r="H42" s="87"/>
      <c r="I42" s="45" t="s">
        <v>288</v>
      </c>
      <c r="J42" s="45" t="s">
        <v>289</v>
      </c>
      <c r="K42" s="69" t="s">
        <v>672</v>
      </c>
      <c r="L42" s="69" t="s">
        <v>706</v>
      </c>
      <c r="M42" s="69" t="s">
        <v>715</v>
      </c>
      <c r="N42" s="18" t="s">
        <v>820</v>
      </c>
      <c r="O42" s="18" t="s">
        <v>815</v>
      </c>
      <c r="P42" s="69"/>
      <c r="Q42" s="69"/>
      <c r="R42" s="69"/>
      <c r="S42" s="69"/>
      <c r="T42" s="69"/>
      <c r="U42" s="69"/>
      <c r="V42" s="69"/>
      <c r="W42" s="18"/>
      <c r="X42" s="18"/>
      <c r="Y42" s="18"/>
      <c r="Z42" s="18"/>
      <c r="AA42" s="69"/>
      <c r="AB42" s="69"/>
      <c r="AC42" s="18"/>
      <c r="AD42" s="18"/>
      <c r="AE42" s="18"/>
      <c r="AF42" s="69"/>
      <c r="AG42" s="69"/>
      <c r="AH42" s="18"/>
      <c r="AI42" s="18"/>
      <c r="AJ42" s="18"/>
      <c r="AK42" s="69"/>
      <c r="AL42" s="9" t="str">
        <f t="shared" si="8"/>
        <v>IOPAMD[19]</v>
      </c>
      <c r="AM42" s="9" t="str">
        <f t="shared" si="9"/>
        <v>IOPAMD[18]</v>
      </c>
      <c r="AN42" s="9" t="str">
        <f t="shared" si="10"/>
        <v>IOPAMD[17]</v>
      </c>
      <c r="AO42" s="9" t="str">
        <f t="shared" si="11"/>
        <v>IOPAMD[16]</v>
      </c>
      <c r="AP42" s="86"/>
    </row>
    <row r="43" spans="1:42" ht="16.149999999999999">
      <c r="A43" s="61">
        <v>38</v>
      </c>
      <c r="B43" s="7">
        <v>38</v>
      </c>
      <c r="C43" s="7">
        <v>31</v>
      </c>
      <c r="D43" s="87"/>
      <c r="E43" s="87"/>
      <c r="F43" s="7">
        <v>38</v>
      </c>
      <c r="G43" s="7">
        <v>31</v>
      </c>
      <c r="H43" s="87"/>
      <c r="I43" s="45" t="s">
        <v>293</v>
      </c>
      <c r="J43" s="45" t="s">
        <v>294</v>
      </c>
      <c r="K43" s="69" t="s">
        <v>682</v>
      </c>
      <c r="L43" s="69" t="s">
        <v>717</v>
      </c>
      <c r="M43" s="18" t="s">
        <v>805</v>
      </c>
      <c r="N43" s="18" t="s">
        <v>823</v>
      </c>
      <c r="O43" s="69"/>
      <c r="P43" s="69"/>
      <c r="Q43" s="69"/>
      <c r="R43" s="69"/>
      <c r="S43" s="69"/>
      <c r="T43" s="69"/>
      <c r="U43" s="69"/>
      <c r="V43" s="69"/>
      <c r="W43" s="18"/>
      <c r="X43" s="18"/>
      <c r="Y43" s="18"/>
      <c r="Z43" s="18"/>
      <c r="AA43" s="69"/>
      <c r="AB43" s="69"/>
      <c r="AC43" s="18"/>
      <c r="AD43" s="18"/>
      <c r="AE43" s="18"/>
      <c r="AF43" s="69"/>
      <c r="AG43" s="69"/>
      <c r="AH43" s="18"/>
      <c r="AI43" s="18"/>
      <c r="AJ43" s="18"/>
      <c r="AK43" s="69"/>
      <c r="AL43" s="9" t="str">
        <f t="shared" si="8"/>
        <v>IOPAMD[15]</v>
      </c>
      <c r="AM43" s="9" t="str">
        <f t="shared" si="9"/>
        <v>IOPAMD[14]</v>
      </c>
      <c r="AN43" s="9" t="str">
        <f t="shared" si="10"/>
        <v>IOPAMD[13]</v>
      </c>
      <c r="AO43" s="9" t="str">
        <f t="shared" si="11"/>
        <v>IOPAMD[12]</v>
      </c>
      <c r="AP43" s="86"/>
    </row>
    <row r="44" spans="1:42" ht="16.149999999999999">
      <c r="A44" s="61">
        <v>39</v>
      </c>
      <c r="B44" s="7">
        <v>39</v>
      </c>
      <c r="C44" s="7"/>
      <c r="D44" s="87"/>
      <c r="E44" s="87"/>
      <c r="F44" s="7">
        <v>39</v>
      </c>
      <c r="G44" s="7"/>
      <c r="H44" s="87"/>
      <c r="I44" s="45" t="s">
        <v>298</v>
      </c>
      <c r="J44" s="45" t="s">
        <v>299</v>
      </c>
      <c r="K44" s="69" t="s">
        <v>705</v>
      </c>
      <c r="L44" s="69" t="s">
        <v>718</v>
      </c>
      <c r="M44" s="18" t="s">
        <v>824</v>
      </c>
      <c r="N44" s="69"/>
      <c r="O44" s="69"/>
      <c r="P44" s="69"/>
      <c r="Q44" s="69"/>
      <c r="R44" s="69"/>
      <c r="S44" s="69"/>
      <c r="T44" s="69"/>
      <c r="U44" s="69"/>
      <c r="V44" s="69"/>
      <c r="W44" s="69"/>
      <c r="X44" s="69"/>
      <c r="Y44" s="18"/>
      <c r="Z44" s="18"/>
      <c r="AA44" s="69"/>
      <c r="AB44" s="69"/>
      <c r="AC44" s="69"/>
      <c r="AD44" s="69"/>
      <c r="AE44" s="18"/>
      <c r="AF44" s="69"/>
      <c r="AG44" s="69"/>
      <c r="AH44" s="69"/>
      <c r="AI44" s="69"/>
      <c r="AJ44" s="18"/>
      <c r="AK44" s="69"/>
      <c r="AL44" s="9" t="str">
        <f t="shared" si="8"/>
        <v>IOPAMD[11]</v>
      </c>
      <c r="AM44" s="9" t="str">
        <f t="shared" si="9"/>
        <v>IOPAMD[10]</v>
      </c>
      <c r="AN44" s="9" t="str">
        <f t="shared" si="10"/>
        <v>IOPAMD[9]</v>
      </c>
      <c r="AO44" s="9" t="str">
        <f t="shared" si="11"/>
        <v>IOPAMD[8]</v>
      </c>
      <c r="AP44" s="86"/>
    </row>
    <row r="45" spans="1:42" ht="16.149999999999999">
      <c r="A45" s="61">
        <v>40</v>
      </c>
      <c r="B45" s="7">
        <v>40</v>
      </c>
      <c r="C45" s="7"/>
      <c r="D45" s="87"/>
      <c r="E45" s="87"/>
      <c r="F45" s="7">
        <v>40</v>
      </c>
      <c r="G45" s="7"/>
      <c r="H45" s="87"/>
      <c r="I45" s="45" t="s">
        <v>303</v>
      </c>
      <c r="J45" s="45" t="s">
        <v>304</v>
      </c>
      <c r="K45" s="69" t="s">
        <v>672</v>
      </c>
      <c r="L45" s="69" t="s">
        <v>696</v>
      </c>
      <c r="M45" s="69" t="s">
        <v>825</v>
      </c>
      <c r="N45" s="69"/>
      <c r="O45" s="69"/>
      <c r="P45" s="69"/>
      <c r="Q45" s="69"/>
      <c r="R45" s="69"/>
      <c r="S45" s="69"/>
      <c r="T45" s="69"/>
      <c r="U45" s="69"/>
      <c r="V45" s="69"/>
      <c r="W45" s="69"/>
      <c r="X45" s="69"/>
      <c r="Y45" s="18"/>
      <c r="Z45" s="18"/>
      <c r="AA45" s="69"/>
      <c r="AB45" s="69"/>
      <c r="AC45" s="69"/>
      <c r="AD45" s="69"/>
      <c r="AE45" s="18"/>
      <c r="AF45" s="69"/>
      <c r="AG45" s="69"/>
      <c r="AH45" s="69"/>
      <c r="AI45" s="69"/>
      <c r="AJ45" s="18"/>
      <c r="AK45" s="69"/>
      <c r="AL45" s="9" t="str">
        <f t="shared" si="8"/>
        <v>IOPAMD[7]</v>
      </c>
      <c r="AM45" s="9" t="str">
        <f t="shared" si="9"/>
        <v>IOPAMD[6]</v>
      </c>
      <c r="AN45" s="9" t="str">
        <f t="shared" si="10"/>
        <v>IOPAMD[5]</v>
      </c>
      <c r="AO45" s="9" t="str">
        <f t="shared" si="11"/>
        <v>IOPAMD[4]</v>
      </c>
      <c r="AP45" s="86"/>
    </row>
    <row r="46" spans="1:42" ht="16.149999999999999">
      <c r="A46" s="61">
        <v>41</v>
      </c>
      <c r="B46" s="7">
        <v>41</v>
      </c>
      <c r="C46" s="7"/>
      <c r="D46" s="87"/>
      <c r="E46" s="87"/>
      <c r="F46" s="7">
        <v>41</v>
      </c>
      <c r="G46" s="7"/>
      <c r="H46" s="87"/>
      <c r="I46" s="45" t="s">
        <v>308</v>
      </c>
      <c r="J46" s="45" t="s">
        <v>309</v>
      </c>
      <c r="K46" s="69" t="s">
        <v>690</v>
      </c>
      <c r="L46" s="69" t="s">
        <v>826</v>
      </c>
      <c r="M46" s="69"/>
      <c r="N46" s="69"/>
      <c r="O46" s="69"/>
      <c r="P46" s="69"/>
      <c r="Q46" s="69"/>
      <c r="R46" s="69"/>
      <c r="S46" s="69"/>
      <c r="T46" s="69"/>
      <c r="U46" s="69"/>
      <c r="V46" s="69"/>
      <c r="W46" s="69"/>
      <c r="X46" s="69"/>
      <c r="Y46" s="18"/>
      <c r="Z46" s="18"/>
      <c r="AA46" s="69"/>
      <c r="AB46" s="69"/>
      <c r="AC46" s="69"/>
      <c r="AD46" s="69"/>
      <c r="AE46" s="18"/>
      <c r="AF46" s="69"/>
      <c r="AG46" s="69"/>
      <c r="AH46" s="69"/>
      <c r="AI46" s="69"/>
      <c r="AJ46" s="18"/>
      <c r="AK46" s="69"/>
      <c r="AL46" s="9" t="str">
        <f t="shared" si="8"/>
        <v>IOPAMD[3]</v>
      </c>
      <c r="AM46" s="9" t="str">
        <f t="shared" si="9"/>
        <v>IOPAMD[2]</v>
      </c>
      <c r="AN46" s="9" t="str">
        <f t="shared" si="10"/>
        <v>IOPAMD[1]</v>
      </c>
      <c r="AO46" s="9" t="str">
        <f t="shared" si="11"/>
        <v>IOPAMD[0]</v>
      </c>
      <c r="AP46" s="86"/>
    </row>
    <row r="47" spans="1:42" ht="16.149999999999999">
      <c r="A47" s="61">
        <v>42</v>
      </c>
      <c r="B47" s="7">
        <v>42</v>
      </c>
      <c r="C47" s="7">
        <v>32</v>
      </c>
      <c r="D47" s="87">
        <v>23</v>
      </c>
      <c r="E47" s="87"/>
      <c r="F47" s="7">
        <v>42</v>
      </c>
      <c r="G47" s="7">
        <v>32</v>
      </c>
      <c r="H47" s="87">
        <v>23</v>
      </c>
      <c r="I47" s="45" t="s">
        <v>324</v>
      </c>
      <c r="J47" s="45" t="s">
        <v>502</v>
      </c>
      <c r="K47" s="69" t="s">
        <v>684</v>
      </c>
      <c r="L47" s="69" t="s">
        <v>691</v>
      </c>
      <c r="M47" s="18" t="s">
        <v>827</v>
      </c>
      <c r="N47" s="69"/>
      <c r="O47" s="69"/>
      <c r="P47" s="69"/>
      <c r="Q47" s="69"/>
      <c r="R47" s="69"/>
      <c r="S47" s="69"/>
      <c r="T47" s="69"/>
      <c r="U47" s="69"/>
      <c r="V47" s="69"/>
      <c r="W47" s="69"/>
      <c r="X47" s="69"/>
      <c r="Y47" s="18"/>
      <c r="Z47" s="18"/>
      <c r="AA47" s="69"/>
      <c r="AB47" s="69"/>
      <c r="AC47" s="69"/>
      <c r="AD47" s="69"/>
      <c r="AE47" s="18"/>
      <c r="AF47" s="69"/>
      <c r="AG47" s="69"/>
      <c r="AH47" s="69"/>
      <c r="AI47" s="69"/>
      <c r="AJ47" s="18"/>
      <c r="AK47" s="69"/>
      <c r="AL47" s="9" t="str">
        <f t="shared" si="8"/>
        <v>IOPFMD[7]</v>
      </c>
      <c r="AM47" s="9" t="str">
        <f t="shared" si="9"/>
        <v>IOPFMD[6]</v>
      </c>
      <c r="AN47" s="9" t="str">
        <f t="shared" si="10"/>
        <v>IOPFMD[5]</v>
      </c>
      <c r="AO47" s="9" t="str">
        <f t="shared" si="11"/>
        <v>IOPFMD[4]</v>
      </c>
      <c r="AP47" s="86"/>
    </row>
    <row r="48" spans="1:42" ht="16.149999999999999">
      <c r="A48" s="61">
        <v>43</v>
      </c>
      <c r="B48" s="7">
        <v>43</v>
      </c>
      <c r="C48" s="7">
        <v>33</v>
      </c>
      <c r="D48" s="87">
        <v>24</v>
      </c>
      <c r="E48" s="87">
        <v>17</v>
      </c>
      <c r="F48" s="7">
        <v>43</v>
      </c>
      <c r="G48" s="7">
        <v>33</v>
      </c>
      <c r="H48" s="87">
        <v>24</v>
      </c>
      <c r="I48" s="45" t="s">
        <v>503</v>
      </c>
      <c r="J48" s="45" t="s">
        <v>504</v>
      </c>
      <c r="K48" s="69" t="s">
        <v>662</v>
      </c>
      <c r="L48" s="69" t="s">
        <v>667</v>
      </c>
      <c r="M48" s="69" t="s">
        <v>828</v>
      </c>
      <c r="N48" s="117" t="s">
        <v>829</v>
      </c>
      <c r="O48" s="117" t="s">
        <v>830</v>
      </c>
      <c r="P48" s="69"/>
      <c r="Q48" s="69"/>
      <c r="R48" s="69"/>
      <c r="S48" s="69"/>
      <c r="T48" s="69"/>
      <c r="U48" s="69"/>
      <c r="V48" s="69"/>
      <c r="W48" s="18"/>
      <c r="X48" s="18"/>
      <c r="Y48" s="18"/>
      <c r="Z48" s="18"/>
      <c r="AA48" s="69"/>
      <c r="AB48" s="69"/>
      <c r="AC48" s="18"/>
      <c r="AD48" s="18"/>
      <c r="AE48" s="18"/>
      <c r="AF48" s="69"/>
      <c r="AG48" s="69"/>
      <c r="AH48" s="18"/>
      <c r="AI48" s="18"/>
      <c r="AJ48" s="18"/>
      <c r="AK48" s="69"/>
      <c r="AL48" s="9" t="str">
        <f t="shared" si="8"/>
        <v>IOP9MD[27]</v>
      </c>
      <c r="AM48" s="9" t="str">
        <f t="shared" si="9"/>
        <v>IOP9MD[26]</v>
      </c>
      <c r="AN48" s="9" t="str">
        <f t="shared" si="10"/>
        <v>IOP9MD[25]</v>
      </c>
      <c r="AO48" s="9" t="str">
        <f t="shared" si="11"/>
        <v>IOP9MD[24]</v>
      </c>
      <c r="AP48" s="86"/>
    </row>
    <row r="49" spans="1:42" ht="16.149999999999999">
      <c r="A49" s="61">
        <v>44</v>
      </c>
      <c r="B49" s="7">
        <v>44</v>
      </c>
      <c r="C49" s="7">
        <v>34</v>
      </c>
      <c r="D49" s="87">
        <v>25</v>
      </c>
      <c r="E49" s="87"/>
      <c r="F49" s="7">
        <v>44</v>
      </c>
      <c r="G49" s="7">
        <v>34</v>
      </c>
      <c r="H49" s="87">
        <v>25</v>
      </c>
      <c r="I49" s="45" t="s">
        <v>247</v>
      </c>
      <c r="J49" s="45" t="s">
        <v>248</v>
      </c>
      <c r="K49" s="69" t="s">
        <v>670</v>
      </c>
      <c r="L49" s="69" t="s">
        <v>672</v>
      </c>
      <c r="M49" s="69" t="s">
        <v>682</v>
      </c>
      <c r="N49" s="69" t="s">
        <v>829</v>
      </c>
      <c r="O49" s="69" t="s">
        <v>830</v>
      </c>
      <c r="P49" s="69"/>
      <c r="Q49" s="69"/>
      <c r="R49" s="69"/>
      <c r="S49" s="69"/>
      <c r="T49" s="69"/>
      <c r="U49" s="69"/>
      <c r="V49" s="69"/>
      <c r="W49" s="18"/>
      <c r="X49" s="18"/>
      <c r="Y49" s="18"/>
      <c r="Z49" s="18"/>
      <c r="AA49" s="69"/>
      <c r="AB49" s="69"/>
      <c r="AC49" s="18"/>
      <c r="AD49" s="18"/>
      <c r="AE49" s="18"/>
      <c r="AF49" s="69"/>
      <c r="AG49" s="69"/>
      <c r="AH49" s="18"/>
      <c r="AI49" s="18"/>
      <c r="AJ49" s="18"/>
      <c r="AK49" s="69"/>
      <c r="AL49" s="9" t="str">
        <f t="shared" si="8"/>
        <v>IOPFMD[11]</v>
      </c>
      <c r="AM49" s="9" t="str">
        <f t="shared" si="9"/>
        <v>IOPFMD[10]</v>
      </c>
      <c r="AN49" s="9" t="str">
        <f t="shared" si="10"/>
        <v>IOPFMD[9]</v>
      </c>
      <c r="AO49" s="9" t="str">
        <f t="shared" si="11"/>
        <v>IOPFMD[8]</v>
      </c>
      <c r="AP49" s="86"/>
    </row>
    <row r="50" spans="1:42" ht="16.149999999999999">
      <c r="A50" s="61">
        <v>45</v>
      </c>
      <c r="B50" s="7">
        <v>45</v>
      </c>
      <c r="C50" s="7">
        <v>35</v>
      </c>
      <c r="D50" s="87">
        <v>26</v>
      </c>
      <c r="E50" s="87">
        <v>18</v>
      </c>
      <c r="F50" s="7">
        <v>45</v>
      </c>
      <c r="G50" s="7">
        <v>35</v>
      </c>
      <c r="H50" s="87">
        <v>26</v>
      </c>
      <c r="I50" s="45" t="s">
        <v>505</v>
      </c>
      <c r="J50" s="45" t="s">
        <v>506</v>
      </c>
      <c r="K50" s="69" t="s">
        <v>825</v>
      </c>
      <c r="L50" s="69"/>
      <c r="M50" s="69"/>
      <c r="N50" s="69"/>
      <c r="O50" s="69"/>
      <c r="P50" s="69"/>
      <c r="Q50" s="69"/>
      <c r="R50" s="69"/>
      <c r="S50" s="69"/>
      <c r="T50" s="69"/>
      <c r="U50" s="69"/>
      <c r="V50" s="18"/>
      <c r="W50" s="18"/>
      <c r="X50" s="18"/>
      <c r="Y50" s="18"/>
      <c r="Z50" s="18"/>
      <c r="AA50" s="69"/>
      <c r="AB50" s="18"/>
      <c r="AC50" s="18"/>
      <c r="AD50" s="18"/>
      <c r="AE50" s="18"/>
      <c r="AF50" s="69"/>
      <c r="AG50" s="18"/>
      <c r="AH50" s="18"/>
      <c r="AI50" s="18"/>
      <c r="AJ50" s="18"/>
      <c r="AK50" s="69"/>
      <c r="AL50" s="9" t="str">
        <f t="shared" si="8"/>
        <v>IOP9MD[23]</v>
      </c>
      <c r="AM50" s="9" t="str">
        <f t="shared" si="9"/>
        <v>IOP9MD[22]</v>
      </c>
      <c r="AN50" s="9" t="str">
        <f t="shared" si="10"/>
        <v>IOP9MD[21]</v>
      </c>
      <c r="AO50" s="9" t="str">
        <f t="shared" si="11"/>
        <v>IOP9MD[20]</v>
      </c>
      <c r="AP50" s="86"/>
    </row>
    <row r="51" spans="1:42" ht="16.149999999999999">
      <c r="A51" s="61">
        <v>46</v>
      </c>
      <c r="B51" s="7">
        <v>46</v>
      </c>
      <c r="C51" s="7">
        <v>36</v>
      </c>
      <c r="D51" s="87">
        <v>27</v>
      </c>
      <c r="E51" s="87">
        <v>19</v>
      </c>
      <c r="F51" s="7">
        <v>46</v>
      </c>
      <c r="G51" s="7">
        <v>36</v>
      </c>
      <c r="H51" s="87">
        <v>27</v>
      </c>
      <c r="I51" s="45" t="s">
        <v>507</v>
      </c>
      <c r="J51" s="45" t="s">
        <v>508</v>
      </c>
      <c r="K51" s="69" t="s">
        <v>826</v>
      </c>
      <c r="L51" s="69"/>
      <c r="M51" s="69"/>
      <c r="N51" s="69"/>
      <c r="O51" s="69"/>
      <c r="P51" s="69"/>
      <c r="Q51" s="69"/>
      <c r="R51" s="69"/>
      <c r="S51" s="69"/>
      <c r="T51" s="69"/>
      <c r="U51" s="69"/>
      <c r="V51" s="18"/>
      <c r="W51" s="18"/>
      <c r="X51" s="18"/>
      <c r="Y51" s="18"/>
      <c r="Z51" s="18"/>
      <c r="AA51" s="69"/>
      <c r="AB51" s="18"/>
      <c r="AC51" s="18"/>
      <c r="AD51" s="18"/>
      <c r="AE51" s="18"/>
      <c r="AF51" s="69"/>
      <c r="AG51" s="18"/>
      <c r="AH51" s="18"/>
      <c r="AI51" s="18"/>
      <c r="AJ51" s="18"/>
      <c r="AK51" s="69"/>
      <c r="AL51" s="9" t="str">
        <f t="shared" ref="AL51:AL108" si="12">IF(COUNTIF(J51,"P*")&gt;0,"IO"&amp;LEFT(J51,2)&amp;"MD["&amp;RIGHT(J51,1)*4+3&amp;"]","")</f>
        <v>IOP9MD[19]</v>
      </c>
      <c r="AM51" s="9" t="str">
        <f t="shared" ref="AM51:AM108" si="13">IF(COUNTIF(J51,"P*")&gt;0,"IO"&amp;LEFT(J51,2)&amp;"MD["&amp;RIGHT(J51,1)*4+2&amp;"]","")</f>
        <v>IOP9MD[18]</v>
      </c>
      <c r="AN51" s="9" t="str">
        <f t="shared" ref="AN51:AN108" si="14">IF(COUNTIF(J51,"P*")&gt;0,"IO"&amp;LEFT(J51,2)&amp;"MD["&amp;RIGHT(J51,1)*4+1&amp;"]","")</f>
        <v>IOP9MD[17]</v>
      </c>
      <c r="AO51" s="9" t="str">
        <f t="shared" ref="AO51:AO108" si="15">IF(COUNTIF(J51,"P*")&gt;0,"IO"&amp;LEFT(J51,2)&amp;"MD["&amp;RIGHT(J51,1)*4&amp;"]","")</f>
        <v>IOP9MD[16]</v>
      </c>
      <c r="AP51" s="86"/>
    </row>
    <row r="52" spans="1:42" ht="16.149999999999999">
      <c r="A52" s="61">
        <v>47</v>
      </c>
      <c r="B52" s="7">
        <v>47</v>
      </c>
      <c r="C52" s="7">
        <v>37</v>
      </c>
      <c r="D52" s="87">
        <v>28</v>
      </c>
      <c r="E52" s="87">
        <v>20</v>
      </c>
      <c r="F52" s="7">
        <v>47</v>
      </c>
      <c r="G52" s="7">
        <v>37</v>
      </c>
      <c r="H52" s="87">
        <v>28</v>
      </c>
      <c r="I52" s="45" t="s">
        <v>509</v>
      </c>
      <c r="J52" s="45" t="s">
        <v>510</v>
      </c>
      <c r="K52" s="69" t="s">
        <v>831</v>
      </c>
      <c r="L52" s="18" t="s">
        <v>832</v>
      </c>
      <c r="M52" s="69"/>
      <c r="N52" s="69"/>
      <c r="O52" s="69"/>
      <c r="P52" s="69"/>
      <c r="Q52" s="69"/>
      <c r="R52" s="69"/>
      <c r="S52" s="69"/>
      <c r="T52" s="69"/>
      <c r="U52" s="69"/>
      <c r="V52" s="18"/>
      <c r="W52" s="18"/>
      <c r="X52" s="18"/>
      <c r="Y52" s="18"/>
      <c r="Z52" s="18"/>
      <c r="AA52" s="69"/>
      <c r="AB52" s="18"/>
      <c r="AC52" s="18"/>
      <c r="AD52" s="18"/>
      <c r="AE52" s="18"/>
      <c r="AF52" s="69"/>
      <c r="AG52" s="18"/>
      <c r="AH52" s="18"/>
      <c r="AI52" s="18"/>
      <c r="AJ52" s="18"/>
      <c r="AK52" s="69"/>
      <c r="AL52" s="9" t="str">
        <f t="shared" si="12"/>
        <v>IOP9MD[15]</v>
      </c>
      <c r="AM52" s="9" t="str">
        <f t="shared" si="13"/>
        <v>IOP9MD[14]</v>
      </c>
      <c r="AN52" s="9" t="str">
        <f t="shared" si="14"/>
        <v>IOP9MD[13]</v>
      </c>
      <c r="AO52" s="9" t="str">
        <f t="shared" si="15"/>
        <v>IOP9MD[12]</v>
      </c>
      <c r="AP52" s="86"/>
    </row>
    <row r="53" spans="1:42" ht="16.149999999999999">
      <c r="A53" s="61">
        <v>48</v>
      </c>
      <c r="B53" s="7">
        <v>48</v>
      </c>
      <c r="C53" s="7">
        <v>38</v>
      </c>
      <c r="D53" s="87">
        <v>29</v>
      </c>
      <c r="E53" s="87">
        <v>21</v>
      </c>
      <c r="F53" s="7">
        <v>48</v>
      </c>
      <c r="G53" s="7">
        <v>38</v>
      </c>
      <c r="H53" s="87">
        <v>29</v>
      </c>
      <c r="I53" s="45" t="s">
        <v>511</v>
      </c>
      <c r="J53" s="45" t="s">
        <v>512</v>
      </c>
      <c r="K53" s="69" t="s">
        <v>833</v>
      </c>
      <c r="L53" s="18" t="s">
        <v>834</v>
      </c>
      <c r="M53" s="69"/>
      <c r="N53" s="69"/>
      <c r="O53" s="69"/>
      <c r="P53" s="69"/>
      <c r="Q53" s="69"/>
      <c r="R53" s="69"/>
      <c r="S53" s="69"/>
      <c r="T53" s="69"/>
      <c r="U53" s="69"/>
      <c r="V53" s="18"/>
      <c r="W53" s="18"/>
      <c r="X53" s="18"/>
      <c r="Y53" s="18"/>
      <c r="Z53" s="18"/>
      <c r="AA53" s="69"/>
      <c r="AB53" s="18"/>
      <c r="AC53" s="18"/>
      <c r="AD53" s="18"/>
      <c r="AE53" s="18"/>
      <c r="AF53" s="69"/>
      <c r="AG53" s="18"/>
      <c r="AH53" s="18"/>
      <c r="AI53" s="18"/>
      <c r="AJ53" s="18"/>
      <c r="AK53" s="69"/>
      <c r="AL53" s="9" t="str">
        <f t="shared" si="12"/>
        <v>IOP9MD[11]</v>
      </c>
      <c r="AM53" s="9" t="str">
        <f t="shared" si="13"/>
        <v>IOP9MD[10]</v>
      </c>
      <c r="AN53" s="9" t="str">
        <f t="shared" si="14"/>
        <v>IOP9MD[9]</v>
      </c>
      <c r="AO53" s="9" t="str">
        <f t="shared" si="15"/>
        <v>IOP9MD[8]</v>
      </c>
      <c r="AP53" s="86"/>
    </row>
    <row r="54" spans="1:42" ht="16.149999999999999">
      <c r="A54" s="61">
        <v>49</v>
      </c>
      <c r="B54" s="7">
        <v>49</v>
      </c>
      <c r="C54" s="7">
        <v>39</v>
      </c>
      <c r="D54" s="87">
        <v>30</v>
      </c>
      <c r="E54" s="87">
        <v>22</v>
      </c>
      <c r="F54" s="7">
        <v>49</v>
      </c>
      <c r="G54" s="7">
        <v>39</v>
      </c>
      <c r="H54" s="87">
        <v>30</v>
      </c>
      <c r="I54" s="45" t="s">
        <v>513</v>
      </c>
      <c r="J54" s="45" t="s">
        <v>514</v>
      </c>
      <c r="K54" s="69" t="s">
        <v>835</v>
      </c>
      <c r="L54" s="18" t="s">
        <v>836</v>
      </c>
      <c r="M54" s="18" t="s">
        <v>837</v>
      </c>
      <c r="N54" s="69"/>
      <c r="O54" s="69"/>
      <c r="P54" s="69"/>
      <c r="Q54" s="69"/>
      <c r="R54" s="69"/>
      <c r="S54" s="69"/>
      <c r="T54" s="69"/>
      <c r="U54" s="69"/>
      <c r="V54" s="18"/>
      <c r="W54" s="18"/>
      <c r="X54" s="18"/>
      <c r="Y54" s="18"/>
      <c r="Z54" s="18"/>
      <c r="AA54" s="69"/>
      <c r="AB54" s="18"/>
      <c r="AC54" s="18"/>
      <c r="AD54" s="18"/>
      <c r="AE54" s="18"/>
      <c r="AF54" s="69"/>
      <c r="AG54" s="18"/>
      <c r="AH54" s="18"/>
      <c r="AI54" s="18"/>
      <c r="AJ54" s="18"/>
      <c r="AK54" s="69"/>
      <c r="AL54" s="9" t="str">
        <f t="shared" si="12"/>
        <v>IOP9MD[7]</v>
      </c>
      <c r="AM54" s="9" t="str">
        <f t="shared" si="13"/>
        <v>IOP9MD[6]</v>
      </c>
      <c r="AN54" s="9" t="str">
        <f t="shared" si="14"/>
        <v>IOP9MD[5]</v>
      </c>
      <c r="AO54" s="9" t="str">
        <f t="shared" si="15"/>
        <v>IOP9MD[4]</v>
      </c>
      <c r="AP54" s="86"/>
    </row>
    <row r="55" spans="1:42" ht="16.149999999999999">
      <c r="A55" s="61">
        <v>50</v>
      </c>
      <c r="B55" s="7">
        <v>50</v>
      </c>
      <c r="C55" s="7">
        <v>40</v>
      </c>
      <c r="D55" s="87">
        <v>31</v>
      </c>
      <c r="E55" s="87">
        <v>23</v>
      </c>
      <c r="F55" s="7">
        <v>50</v>
      </c>
      <c r="G55" s="7">
        <v>40</v>
      </c>
      <c r="H55" s="87">
        <v>31</v>
      </c>
      <c r="I55" s="45" t="s">
        <v>515</v>
      </c>
      <c r="J55" s="45" t="s">
        <v>516</v>
      </c>
      <c r="K55" s="69" t="s">
        <v>838</v>
      </c>
      <c r="L55" s="18" t="s">
        <v>836</v>
      </c>
      <c r="M55" s="18" t="s">
        <v>837</v>
      </c>
      <c r="N55" s="69"/>
      <c r="O55" s="69"/>
      <c r="P55" s="69"/>
      <c r="Q55" s="69"/>
      <c r="R55" s="69"/>
      <c r="S55" s="69"/>
      <c r="T55" s="69"/>
      <c r="U55" s="69"/>
      <c r="V55" s="18"/>
      <c r="W55" s="18"/>
      <c r="X55" s="18"/>
      <c r="Y55" s="18"/>
      <c r="Z55" s="18"/>
      <c r="AA55" s="69"/>
      <c r="AB55" s="18"/>
      <c r="AC55" s="18"/>
      <c r="AD55" s="18"/>
      <c r="AE55" s="18"/>
      <c r="AF55" s="69"/>
      <c r="AG55" s="18"/>
      <c r="AH55" s="18"/>
      <c r="AI55" s="18"/>
      <c r="AJ55" s="18"/>
      <c r="AK55" s="69"/>
      <c r="AL55" s="9" t="str">
        <f t="shared" si="12"/>
        <v>IOP9MD[3]</v>
      </c>
      <c r="AM55" s="9" t="str">
        <f t="shared" si="13"/>
        <v>IOP9MD[2]</v>
      </c>
      <c r="AN55" s="9" t="str">
        <f t="shared" si="14"/>
        <v>IOP9MD[1]</v>
      </c>
      <c r="AO55" s="9" t="str">
        <f t="shared" si="15"/>
        <v>IOP9MD[0]</v>
      </c>
      <c r="AP55" s="86"/>
    </row>
    <row r="56" spans="1:42" ht="16.149999999999999">
      <c r="A56" s="60">
        <v>51</v>
      </c>
      <c r="B56" s="7">
        <v>51</v>
      </c>
      <c r="C56" s="7">
        <v>41</v>
      </c>
      <c r="D56" s="87">
        <v>32</v>
      </c>
      <c r="E56" s="87">
        <v>24</v>
      </c>
      <c r="F56" s="7">
        <v>51</v>
      </c>
      <c r="G56" s="7">
        <v>41</v>
      </c>
      <c r="H56" s="87">
        <v>32</v>
      </c>
      <c r="I56" s="45" t="s">
        <v>517</v>
      </c>
      <c r="J56" s="45" t="s">
        <v>518</v>
      </c>
      <c r="K56" s="69" t="s">
        <v>699</v>
      </c>
      <c r="L56" s="69" t="s">
        <v>839</v>
      </c>
      <c r="M56" s="69"/>
      <c r="N56" s="69"/>
      <c r="O56" s="69"/>
      <c r="P56" s="69"/>
      <c r="Q56" s="69"/>
      <c r="R56" s="69"/>
      <c r="S56" s="69"/>
      <c r="T56" s="69"/>
      <c r="U56" s="69"/>
      <c r="V56" s="18"/>
      <c r="W56" s="18"/>
      <c r="X56" s="18"/>
      <c r="Y56" s="18"/>
      <c r="Z56" s="18"/>
      <c r="AA56" s="69"/>
      <c r="AB56" s="18"/>
      <c r="AC56" s="18"/>
      <c r="AD56" s="18"/>
      <c r="AE56" s="18"/>
      <c r="AF56" s="69"/>
      <c r="AG56" s="18"/>
      <c r="AH56" s="18"/>
      <c r="AI56" s="18"/>
      <c r="AJ56" s="18"/>
      <c r="AK56" s="69"/>
      <c r="AL56" s="9" t="str">
        <f t="shared" si="12"/>
        <v>IOP7MD[27]</v>
      </c>
      <c r="AM56" s="9" t="str">
        <f t="shared" si="13"/>
        <v>IOP7MD[26]</v>
      </c>
      <c r="AN56" s="9" t="str">
        <f t="shared" si="14"/>
        <v>IOP7MD[25]</v>
      </c>
      <c r="AO56" s="9" t="str">
        <f t="shared" si="15"/>
        <v>IOP7MD[24]</v>
      </c>
      <c r="AP56" s="86"/>
    </row>
    <row r="57" spans="1:42" ht="16.149999999999999">
      <c r="A57" s="60">
        <v>52</v>
      </c>
      <c r="B57" s="7">
        <v>52</v>
      </c>
      <c r="C57" s="7">
        <v>42</v>
      </c>
      <c r="D57" s="87">
        <v>33</v>
      </c>
      <c r="E57" s="87">
        <v>25</v>
      </c>
      <c r="F57" s="7">
        <v>52</v>
      </c>
      <c r="G57" s="7">
        <v>42</v>
      </c>
      <c r="H57" s="87">
        <v>33</v>
      </c>
      <c r="I57" s="45" t="s">
        <v>519</v>
      </c>
      <c r="J57" s="45" t="s">
        <v>520</v>
      </c>
      <c r="K57" s="69" t="s">
        <v>696</v>
      </c>
      <c r="L57" s="69" t="s">
        <v>840</v>
      </c>
      <c r="M57" s="69"/>
      <c r="N57" s="69"/>
      <c r="O57" s="69"/>
      <c r="P57" s="69"/>
      <c r="Q57" s="69"/>
      <c r="R57" s="69"/>
      <c r="S57" s="69"/>
      <c r="T57" s="69"/>
      <c r="U57" s="69"/>
      <c r="V57" s="18"/>
      <c r="W57" s="18"/>
      <c r="X57" s="18"/>
      <c r="Y57" s="18"/>
      <c r="Z57" s="18"/>
      <c r="AA57" s="69"/>
      <c r="AB57" s="18"/>
      <c r="AC57" s="18"/>
      <c r="AD57" s="18"/>
      <c r="AE57" s="18"/>
      <c r="AF57" s="69"/>
      <c r="AG57" s="18"/>
      <c r="AH57" s="18"/>
      <c r="AI57" s="18"/>
      <c r="AJ57" s="18"/>
      <c r="AK57" s="69"/>
      <c r="AL57" s="9" t="str">
        <f t="shared" si="12"/>
        <v>IOP7MD[23]</v>
      </c>
      <c r="AM57" s="9" t="str">
        <f t="shared" si="13"/>
        <v>IOP7MD[22]</v>
      </c>
      <c r="AN57" s="9" t="str">
        <f t="shared" si="14"/>
        <v>IOP7MD[21]</v>
      </c>
      <c r="AO57" s="9" t="str">
        <f t="shared" si="15"/>
        <v>IOP7MD[20]</v>
      </c>
      <c r="AP57" s="86"/>
    </row>
    <row r="58" spans="1:42" ht="16.149999999999999">
      <c r="A58" s="60">
        <v>53</v>
      </c>
      <c r="B58" s="7">
        <v>53</v>
      </c>
      <c r="C58" s="7">
        <v>43</v>
      </c>
      <c r="D58" s="87">
        <v>34</v>
      </c>
      <c r="E58" s="87">
        <v>26</v>
      </c>
      <c r="F58" s="7">
        <v>53</v>
      </c>
      <c r="G58" s="7">
        <v>43</v>
      </c>
      <c r="H58" s="87">
        <v>34</v>
      </c>
      <c r="I58" s="45" t="s">
        <v>521</v>
      </c>
      <c r="J58" s="45" t="s">
        <v>522</v>
      </c>
      <c r="K58" s="69" t="s">
        <v>693</v>
      </c>
      <c r="L58" s="69" t="s">
        <v>841</v>
      </c>
      <c r="M58" s="69"/>
      <c r="N58" s="69"/>
      <c r="O58" s="69"/>
      <c r="P58" s="69"/>
      <c r="Q58" s="69"/>
      <c r="R58" s="69"/>
      <c r="S58" s="69"/>
      <c r="T58" s="69"/>
      <c r="U58" s="69"/>
      <c r="V58" s="18"/>
      <c r="W58" s="18"/>
      <c r="X58" s="18"/>
      <c r="Y58" s="18"/>
      <c r="Z58" s="18"/>
      <c r="AA58" s="69"/>
      <c r="AB58" s="18"/>
      <c r="AC58" s="18"/>
      <c r="AD58" s="18"/>
      <c r="AE58" s="18"/>
      <c r="AF58" s="69"/>
      <c r="AG58" s="18"/>
      <c r="AH58" s="18"/>
      <c r="AI58" s="18"/>
      <c r="AJ58" s="18"/>
      <c r="AK58" s="69"/>
      <c r="AL58" s="9" t="str">
        <f t="shared" si="12"/>
        <v>IOP7MD[19]</v>
      </c>
      <c r="AM58" s="9" t="str">
        <f t="shared" si="13"/>
        <v>IOP7MD[18]</v>
      </c>
      <c r="AN58" s="9" t="str">
        <f t="shared" si="14"/>
        <v>IOP7MD[17]</v>
      </c>
      <c r="AO58" s="9" t="str">
        <f t="shared" si="15"/>
        <v>IOP7MD[16]</v>
      </c>
      <c r="AP58" s="86"/>
    </row>
    <row r="59" spans="1:42" ht="16.149999999999999">
      <c r="A59" s="60">
        <v>54</v>
      </c>
      <c r="B59" s="7">
        <v>54</v>
      </c>
      <c r="C59" s="7">
        <v>44</v>
      </c>
      <c r="D59" s="87">
        <v>35</v>
      </c>
      <c r="E59" s="87">
        <v>27</v>
      </c>
      <c r="F59" s="7">
        <v>54</v>
      </c>
      <c r="G59" s="7">
        <v>44</v>
      </c>
      <c r="H59" s="87">
        <v>35</v>
      </c>
      <c r="I59" s="45" t="s">
        <v>523</v>
      </c>
      <c r="J59" s="45" t="s">
        <v>524</v>
      </c>
      <c r="K59" s="69" t="s">
        <v>690</v>
      </c>
      <c r="L59" s="69" t="s">
        <v>842</v>
      </c>
      <c r="M59" s="69"/>
      <c r="N59" s="69"/>
      <c r="O59" s="69"/>
      <c r="P59" s="69"/>
      <c r="Q59" s="69"/>
      <c r="R59" s="69"/>
      <c r="S59" s="69"/>
      <c r="T59" s="69"/>
      <c r="U59" s="69"/>
      <c r="V59" s="18"/>
      <c r="W59" s="18"/>
      <c r="X59" s="18"/>
      <c r="Y59" s="18"/>
      <c r="Z59" s="18"/>
      <c r="AA59" s="69"/>
      <c r="AB59" s="18"/>
      <c r="AC59" s="18"/>
      <c r="AD59" s="18"/>
      <c r="AE59" s="18"/>
      <c r="AF59" s="69"/>
      <c r="AG59" s="18"/>
      <c r="AH59" s="18"/>
      <c r="AI59" s="18"/>
      <c r="AJ59" s="18"/>
      <c r="AK59" s="69"/>
      <c r="AL59" s="9" t="str">
        <f t="shared" si="12"/>
        <v>IOP7MD[15]</v>
      </c>
      <c r="AM59" s="9" t="str">
        <f t="shared" si="13"/>
        <v>IOP7MD[14]</v>
      </c>
      <c r="AN59" s="9" t="str">
        <f t="shared" si="14"/>
        <v>IOP7MD[13]</v>
      </c>
      <c r="AO59" s="9" t="str">
        <f t="shared" si="15"/>
        <v>IOP7MD[12]</v>
      </c>
      <c r="AP59" s="86"/>
    </row>
    <row r="60" spans="1:42" ht="16.149999999999999">
      <c r="A60" s="60">
        <v>55</v>
      </c>
      <c r="B60" s="7">
        <v>55</v>
      </c>
      <c r="C60" s="7">
        <v>45</v>
      </c>
      <c r="D60" s="87">
        <v>36</v>
      </c>
      <c r="E60" s="87">
        <v>28</v>
      </c>
      <c r="F60" s="7">
        <v>55</v>
      </c>
      <c r="G60" s="7">
        <v>45</v>
      </c>
      <c r="H60" s="87">
        <v>36</v>
      </c>
      <c r="I60" s="45" t="s">
        <v>525</v>
      </c>
      <c r="J60" s="45" t="s">
        <v>526</v>
      </c>
      <c r="K60" s="69" t="s">
        <v>687</v>
      </c>
      <c r="L60" s="69" t="s">
        <v>843</v>
      </c>
      <c r="M60" s="69"/>
      <c r="N60" s="69"/>
      <c r="O60" s="69"/>
      <c r="P60" s="69"/>
      <c r="Q60" s="69"/>
      <c r="R60" s="69"/>
      <c r="S60" s="69"/>
      <c r="T60" s="69"/>
      <c r="U60" s="69"/>
      <c r="V60" s="18"/>
      <c r="W60" s="18"/>
      <c r="X60" s="18"/>
      <c r="Y60" s="18"/>
      <c r="Z60" s="18"/>
      <c r="AA60" s="69"/>
      <c r="AB60" s="18"/>
      <c r="AC60" s="18"/>
      <c r="AD60" s="18"/>
      <c r="AE60" s="18"/>
      <c r="AF60" s="69"/>
      <c r="AG60" s="18"/>
      <c r="AH60" s="18"/>
      <c r="AI60" s="18"/>
      <c r="AJ60" s="18"/>
      <c r="AK60" s="69"/>
      <c r="AL60" s="9" t="str">
        <f t="shared" si="12"/>
        <v>IOP7MD[11]</v>
      </c>
      <c r="AM60" s="9" t="str">
        <f t="shared" si="13"/>
        <v>IOP7MD[10]</v>
      </c>
      <c r="AN60" s="9" t="str">
        <f t="shared" si="14"/>
        <v>IOP7MD[9]</v>
      </c>
      <c r="AO60" s="9" t="str">
        <f t="shared" si="15"/>
        <v>IOP7MD[8]</v>
      </c>
      <c r="AP60" s="86"/>
    </row>
    <row r="61" spans="1:42" ht="16.149999999999999">
      <c r="A61" s="60">
        <v>56</v>
      </c>
      <c r="B61" s="7">
        <v>56</v>
      </c>
      <c r="C61" s="7">
        <v>46</v>
      </c>
      <c r="D61" s="87">
        <v>37</v>
      </c>
      <c r="E61" s="87">
        <v>29</v>
      </c>
      <c r="F61" s="7">
        <v>56</v>
      </c>
      <c r="G61" s="7">
        <v>46</v>
      </c>
      <c r="H61" s="87">
        <v>37</v>
      </c>
      <c r="I61" s="45" t="s">
        <v>527</v>
      </c>
      <c r="J61" s="45" t="s">
        <v>528</v>
      </c>
      <c r="K61" s="69" t="s">
        <v>684</v>
      </c>
      <c r="L61" s="69" t="s">
        <v>844</v>
      </c>
      <c r="M61" s="69"/>
      <c r="N61" s="69"/>
      <c r="O61" s="69"/>
      <c r="P61" s="69"/>
      <c r="Q61" s="69"/>
      <c r="R61" s="69"/>
      <c r="S61" s="69"/>
      <c r="T61" s="69"/>
      <c r="U61" s="69"/>
      <c r="V61" s="18"/>
      <c r="W61" s="18"/>
      <c r="X61" s="18"/>
      <c r="Y61" s="18"/>
      <c r="Z61" s="18"/>
      <c r="AA61" s="69"/>
      <c r="AB61" s="18"/>
      <c r="AC61" s="18"/>
      <c r="AD61" s="18"/>
      <c r="AE61" s="18"/>
      <c r="AF61" s="69"/>
      <c r="AG61" s="18"/>
      <c r="AH61" s="18"/>
      <c r="AI61" s="18"/>
      <c r="AJ61" s="18"/>
      <c r="AK61" s="69"/>
      <c r="AL61" s="9" t="str">
        <f t="shared" si="12"/>
        <v>IOP7MD[7]</v>
      </c>
      <c r="AM61" s="9" t="str">
        <f t="shared" si="13"/>
        <v>IOP7MD[6]</v>
      </c>
      <c r="AN61" s="9" t="str">
        <f t="shared" si="14"/>
        <v>IOP7MD[5]</v>
      </c>
      <c r="AO61" s="9" t="str">
        <f t="shared" si="15"/>
        <v>IOP7MD[4]</v>
      </c>
      <c r="AP61" s="86"/>
    </row>
    <row r="62" spans="1:42" ht="16.149999999999999">
      <c r="A62" s="60">
        <v>57</v>
      </c>
      <c r="B62" s="7">
        <v>57</v>
      </c>
      <c r="C62" s="7">
        <v>47</v>
      </c>
      <c r="D62" s="87">
        <v>38</v>
      </c>
      <c r="E62" s="87">
        <v>30</v>
      </c>
      <c r="F62" s="7">
        <v>57</v>
      </c>
      <c r="G62" s="7">
        <v>47</v>
      </c>
      <c r="H62" s="87">
        <v>38</v>
      </c>
      <c r="I62" s="45" t="s">
        <v>529</v>
      </c>
      <c r="J62" s="45" t="s">
        <v>530</v>
      </c>
      <c r="K62" s="69" t="s">
        <v>663</v>
      </c>
      <c r="L62" s="69" t="s">
        <v>666</v>
      </c>
      <c r="M62" s="69"/>
      <c r="N62" s="69"/>
      <c r="O62" s="69"/>
      <c r="P62" s="69"/>
      <c r="Q62" s="69"/>
      <c r="R62" s="69"/>
      <c r="S62" s="69"/>
      <c r="T62" s="69"/>
      <c r="U62" s="69"/>
      <c r="V62" s="18"/>
      <c r="W62" s="18"/>
      <c r="X62" s="18"/>
      <c r="Y62" s="18"/>
      <c r="Z62" s="18"/>
      <c r="AA62" s="69"/>
      <c r="AB62" s="18"/>
      <c r="AC62" s="18"/>
      <c r="AD62" s="18"/>
      <c r="AE62" s="18"/>
      <c r="AF62" s="69"/>
      <c r="AG62" s="18"/>
      <c r="AH62" s="18"/>
      <c r="AI62" s="18"/>
      <c r="AJ62" s="18"/>
      <c r="AK62" s="69"/>
      <c r="AL62" s="9" t="str">
        <f t="shared" si="12"/>
        <v>IOP7MD[3]</v>
      </c>
      <c r="AM62" s="9" t="str">
        <f t="shared" si="13"/>
        <v>IOP7MD[2]</v>
      </c>
      <c r="AN62" s="9" t="str">
        <f t="shared" si="14"/>
        <v>IOP7MD[1]</v>
      </c>
      <c r="AO62" s="9" t="str">
        <f t="shared" si="15"/>
        <v>IOP7MD[0]</v>
      </c>
      <c r="AP62" s="86"/>
    </row>
    <row r="63" spans="1:42" ht="16.149999999999999">
      <c r="A63" s="60">
        <v>58</v>
      </c>
      <c r="B63" s="7">
        <v>58</v>
      </c>
      <c r="C63" s="7"/>
      <c r="D63" s="87"/>
      <c r="E63" s="87"/>
      <c r="F63" s="7">
        <v>58</v>
      </c>
      <c r="G63" s="7"/>
      <c r="H63" s="87"/>
      <c r="I63" s="45" t="s">
        <v>531</v>
      </c>
      <c r="J63" s="45" t="s">
        <v>532</v>
      </c>
      <c r="K63" s="69" t="s">
        <v>684</v>
      </c>
      <c r="L63" s="69" t="s">
        <v>711</v>
      </c>
      <c r="M63" s="69" t="s">
        <v>844</v>
      </c>
      <c r="N63" s="69"/>
      <c r="O63" s="69"/>
      <c r="P63" s="69"/>
      <c r="Q63" s="69"/>
      <c r="R63" s="69"/>
      <c r="S63" s="69"/>
      <c r="T63" s="69"/>
      <c r="U63" s="69"/>
      <c r="V63" s="18"/>
      <c r="W63" s="18"/>
      <c r="X63" s="18"/>
      <c r="Y63" s="18"/>
      <c r="Z63" s="18"/>
      <c r="AA63" s="69"/>
      <c r="AB63" s="18"/>
      <c r="AC63" s="18"/>
      <c r="AD63" s="18"/>
      <c r="AE63" s="18"/>
      <c r="AF63" s="69"/>
      <c r="AG63" s="18"/>
      <c r="AH63" s="18"/>
      <c r="AI63" s="18"/>
      <c r="AJ63" s="18"/>
      <c r="AK63" s="69"/>
      <c r="AL63" s="9" t="str">
        <f t="shared" si="12"/>
        <v>IOP3MD[15]</v>
      </c>
      <c r="AM63" s="9" t="str">
        <f t="shared" si="13"/>
        <v>IOP3MD[14]</v>
      </c>
      <c r="AN63" s="9" t="str">
        <f t="shared" si="14"/>
        <v>IOP3MD[13]</v>
      </c>
      <c r="AO63" s="9" t="str">
        <f t="shared" si="15"/>
        <v>IOP3MD[12]</v>
      </c>
      <c r="AP63" s="86"/>
    </row>
    <row r="64" spans="1:42" ht="16.149999999999999">
      <c r="A64" s="60">
        <v>59</v>
      </c>
      <c r="B64" s="7">
        <v>59</v>
      </c>
      <c r="C64" s="7"/>
      <c r="D64" s="87"/>
      <c r="E64" s="87"/>
      <c r="F64" s="7">
        <v>59</v>
      </c>
      <c r="G64" s="7"/>
      <c r="H64" s="87"/>
      <c r="I64" s="45" t="s">
        <v>533</v>
      </c>
      <c r="J64" s="45" t="s">
        <v>534</v>
      </c>
      <c r="K64" s="69" t="s">
        <v>702</v>
      </c>
      <c r="L64" s="69" t="s">
        <v>712</v>
      </c>
      <c r="M64" s="69" t="s">
        <v>843</v>
      </c>
      <c r="N64" s="69"/>
      <c r="O64" s="69"/>
      <c r="P64" s="69"/>
      <c r="Q64" s="69"/>
      <c r="R64" s="69"/>
      <c r="S64" s="69"/>
      <c r="T64" s="69"/>
      <c r="U64" s="69"/>
      <c r="V64" s="18"/>
      <c r="W64" s="18"/>
      <c r="X64" s="18"/>
      <c r="Y64" s="18"/>
      <c r="Z64" s="18"/>
      <c r="AA64" s="69"/>
      <c r="AB64" s="18"/>
      <c r="AC64" s="18"/>
      <c r="AD64" s="18"/>
      <c r="AE64" s="18"/>
      <c r="AF64" s="69"/>
      <c r="AG64" s="18"/>
      <c r="AH64" s="18"/>
      <c r="AI64" s="18"/>
      <c r="AJ64" s="18"/>
      <c r="AK64" s="69"/>
      <c r="AL64" s="9" t="str">
        <f t="shared" si="12"/>
        <v>IOP3MD[11]</v>
      </c>
      <c r="AM64" s="9" t="str">
        <f t="shared" si="13"/>
        <v>IOP3MD[10]</v>
      </c>
      <c r="AN64" s="9" t="str">
        <f t="shared" si="14"/>
        <v>IOP3MD[9]</v>
      </c>
      <c r="AO64" s="9" t="str">
        <f t="shared" si="15"/>
        <v>IOP3MD[8]</v>
      </c>
      <c r="AP64" s="86"/>
    </row>
    <row r="65" spans="1:42" ht="16.149999999999999">
      <c r="A65" s="60">
        <v>60</v>
      </c>
      <c r="B65" s="7">
        <v>60</v>
      </c>
      <c r="C65" s="7">
        <v>48</v>
      </c>
      <c r="D65" s="87">
        <v>39</v>
      </c>
      <c r="E65" s="87"/>
      <c r="F65" s="7">
        <v>60</v>
      </c>
      <c r="G65" s="7">
        <v>48</v>
      </c>
      <c r="H65" s="87">
        <v>39</v>
      </c>
      <c r="I65" s="45" t="s">
        <v>492</v>
      </c>
      <c r="J65" s="45" t="s">
        <v>492</v>
      </c>
      <c r="K65" s="69"/>
      <c r="L65" s="69"/>
      <c r="M65" s="69"/>
      <c r="N65" s="69"/>
      <c r="O65" s="69"/>
      <c r="P65" s="69"/>
      <c r="Q65" s="69"/>
      <c r="R65" s="69"/>
      <c r="S65" s="69"/>
      <c r="T65" s="69"/>
      <c r="U65" s="69"/>
      <c r="V65" s="18"/>
      <c r="W65" s="18"/>
      <c r="X65" s="18"/>
      <c r="Y65" s="18"/>
      <c r="Z65" s="18"/>
      <c r="AA65" s="69"/>
      <c r="AB65" s="18"/>
      <c r="AC65" s="18"/>
      <c r="AD65" s="18"/>
      <c r="AE65" s="18"/>
      <c r="AF65" s="69"/>
      <c r="AG65" s="18"/>
      <c r="AH65" s="18"/>
      <c r="AI65" s="18"/>
      <c r="AJ65" s="18"/>
      <c r="AK65" s="69"/>
      <c r="AL65" s="9" t="str">
        <f t="shared" si="12"/>
        <v/>
      </c>
      <c r="AM65" s="9" t="str">
        <f t="shared" si="13"/>
        <v/>
      </c>
      <c r="AN65" s="9" t="str">
        <f t="shared" si="14"/>
        <v/>
      </c>
      <c r="AO65" s="9" t="str">
        <f t="shared" si="15"/>
        <v/>
      </c>
      <c r="AP65" s="86"/>
    </row>
    <row r="66" spans="1:42" ht="16.149999999999999">
      <c r="A66" s="60">
        <v>61</v>
      </c>
      <c r="B66" s="7">
        <v>61</v>
      </c>
      <c r="C66" s="7">
        <v>49</v>
      </c>
      <c r="D66" s="87">
        <v>40</v>
      </c>
      <c r="E66" s="87"/>
      <c r="F66" s="7">
        <v>61</v>
      </c>
      <c r="G66" s="7">
        <v>49</v>
      </c>
      <c r="H66" s="87">
        <v>40</v>
      </c>
      <c r="I66" s="45" t="s">
        <v>535</v>
      </c>
      <c r="J66" s="45" t="s">
        <v>536</v>
      </c>
      <c r="K66" s="69" t="s">
        <v>664</v>
      </c>
      <c r="L66" s="69" t="s">
        <v>681</v>
      </c>
      <c r="M66" s="69" t="s">
        <v>708</v>
      </c>
      <c r="N66" s="69" t="s">
        <v>714</v>
      </c>
      <c r="O66" s="69" t="s">
        <v>845</v>
      </c>
      <c r="P66" s="69"/>
      <c r="Q66" s="69"/>
      <c r="R66" s="69"/>
      <c r="S66" s="69"/>
      <c r="T66" s="69"/>
      <c r="U66" s="69"/>
      <c r="V66" s="18"/>
      <c r="W66" s="18"/>
      <c r="X66" s="18"/>
      <c r="Y66" s="18"/>
      <c r="Z66" s="18"/>
      <c r="AA66" s="69"/>
      <c r="AB66" s="18"/>
      <c r="AC66" s="18"/>
      <c r="AD66" s="18"/>
      <c r="AE66" s="18"/>
      <c r="AF66" s="69"/>
      <c r="AG66" s="18"/>
      <c r="AH66" s="18"/>
      <c r="AI66" s="18"/>
      <c r="AJ66" s="18"/>
      <c r="AK66" s="69"/>
      <c r="AL66" s="9" t="str">
        <f t="shared" si="12"/>
        <v>IOP3MD[7]</v>
      </c>
      <c r="AM66" s="9" t="str">
        <f t="shared" si="13"/>
        <v>IOP3MD[6]</v>
      </c>
      <c r="AN66" s="9" t="str">
        <f t="shared" si="14"/>
        <v>IOP3MD[5]</v>
      </c>
      <c r="AO66" s="9" t="str">
        <f t="shared" si="15"/>
        <v>IOP3MD[4]</v>
      </c>
      <c r="AP66" s="86"/>
    </row>
    <row r="67" spans="1:42" ht="16.149999999999999">
      <c r="A67" s="60">
        <v>62</v>
      </c>
      <c r="B67" s="7">
        <v>62</v>
      </c>
      <c r="C67" s="7">
        <v>50</v>
      </c>
      <c r="D67" s="87">
        <v>41</v>
      </c>
      <c r="E67" s="87"/>
      <c r="F67" s="7">
        <v>62</v>
      </c>
      <c r="G67" s="7">
        <v>50</v>
      </c>
      <c r="H67" s="87">
        <v>41</v>
      </c>
      <c r="I67" s="45" t="s">
        <v>108</v>
      </c>
      <c r="J67" s="45" t="s">
        <v>109</v>
      </c>
      <c r="K67" s="69"/>
      <c r="L67" s="69"/>
      <c r="M67" s="69"/>
      <c r="N67" s="69"/>
      <c r="O67" s="69"/>
      <c r="P67" s="69"/>
      <c r="Q67" s="69"/>
      <c r="R67" s="69"/>
      <c r="S67" s="69"/>
      <c r="T67" s="69"/>
      <c r="U67" s="69"/>
      <c r="V67" s="18"/>
      <c r="W67" s="18"/>
      <c r="X67" s="18"/>
      <c r="Y67" s="18"/>
      <c r="Z67" s="18"/>
      <c r="AA67" s="69"/>
      <c r="AB67" s="18"/>
      <c r="AC67" s="18"/>
      <c r="AD67" s="18"/>
      <c r="AE67" s="18"/>
      <c r="AF67" s="69"/>
      <c r="AG67" s="18"/>
      <c r="AH67" s="18"/>
      <c r="AI67" s="18"/>
      <c r="AJ67" s="18"/>
      <c r="AK67" s="69"/>
      <c r="AL67" s="9" t="str">
        <f t="shared" si="12"/>
        <v/>
      </c>
      <c r="AM67" s="9" t="str">
        <f t="shared" si="13"/>
        <v/>
      </c>
      <c r="AN67" s="9" t="str">
        <f t="shared" si="14"/>
        <v/>
      </c>
      <c r="AO67" s="9" t="str">
        <f t="shared" si="15"/>
        <v/>
      </c>
      <c r="AP67" s="86"/>
    </row>
    <row r="68" spans="1:42" ht="16.149999999999999">
      <c r="A68" s="60">
        <v>63</v>
      </c>
      <c r="B68" s="7">
        <v>63</v>
      </c>
      <c r="C68" s="7">
        <v>51</v>
      </c>
      <c r="D68" s="87">
        <v>42</v>
      </c>
      <c r="E68" s="87">
        <v>31</v>
      </c>
      <c r="F68" s="7">
        <v>63</v>
      </c>
      <c r="G68" s="7">
        <v>51</v>
      </c>
      <c r="H68" s="87">
        <v>42</v>
      </c>
      <c r="I68" s="45" t="s">
        <v>537</v>
      </c>
      <c r="J68" s="45" t="s">
        <v>538</v>
      </c>
      <c r="K68" s="69" t="s">
        <v>665</v>
      </c>
      <c r="L68" s="69" t="s">
        <v>703</v>
      </c>
      <c r="M68" s="69" t="s">
        <v>709</v>
      </c>
      <c r="N68" s="69" t="s">
        <v>715</v>
      </c>
      <c r="O68" s="69" t="s">
        <v>805</v>
      </c>
      <c r="P68" s="69" t="s">
        <v>846</v>
      </c>
      <c r="Q68" s="69" t="s">
        <v>847</v>
      </c>
      <c r="R68" s="69" t="s">
        <v>848</v>
      </c>
      <c r="S68" s="69" t="s">
        <v>849</v>
      </c>
      <c r="T68" s="69" t="s">
        <v>850</v>
      </c>
      <c r="U68" s="69"/>
      <c r="V68" s="18"/>
      <c r="W68" s="18"/>
      <c r="X68" s="18"/>
      <c r="Y68" s="18"/>
      <c r="Z68" s="18"/>
      <c r="AA68" s="69"/>
      <c r="AB68" s="18"/>
      <c r="AC68" s="18"/>
      <c r="AD68" s="18"/>
      <c r="AE68" s="18"/>
      <c r="AF68" s="69"/>
      <c r="AG68" s="18"/>
      <c r="AH68" s="18"/>
      <c r="AI68" s="18"/>
      <c r="AJ68" s="18"/>
      <c r="AK68" s="69"/>
      <c r="AL68" s="9" t="str">
        <f t="shared" si="12"/>
        <v>IOP3MD[3]</v>
      </c>
      <c r="AM68" s="9" t="str">
        <f t="shared" si="13"/>
        <v>IOP3MD[2]</v>
      </c>
      <c r="AN68" s="9" t="str">
        <f t="shared" si="14"/>
        <v>IOP3MD[1]</v>
      </c>
      <c r="AO68" s="9" t="str">
        <f t="shared" si="15"/>
        <v>IOP3MD[0]</v>
      </c>
      <c r="AP68" s="86"/>
    </row>
    <row r="69" spans="1:42" ht="16.149999999999999">
      <c r="A69" s="60">
        <v>64</v>
      </c>
      <c r="B69" s="7">
        <v>64</v>
      </c>
      <c r="C69" s="7">
        <v>52</v>
      </c>
      <c r="D69" s="87">
        <v>43</v>
      </c>
      <c r="E69" s="87"/>
      <c r="F69" s="7">
        <v>64</v>
      </c>
      <c r="G69" s="7">
        <v>52</v>
      </c>
      <c r="H69" s="87">
        <v>43</v>
      </c>
      <c r="I69" s="45" t="s">
        <v>539</v>
      </c>
      <c r="J69" s="45" t="s">
        <v>540</v>
      </c>
      <c r="K69" s="69" t="s">
        <v>691</v>
      </c>
      <c r="L69" s="69" t="s">
        <v>702</v>
      </c>
      <c r="M69" s="18" t="s">
        <v>815</v>
      </c>
      <c r="N69" s="69" t="s">
        <v>851</v>
      </c>
      <c r="O69" s="69" t="s">
        <v>852</v>
      </c>
      <c r="P69" s="69" t="s">
        <v>853</v>
      </c>
      <c r="Q69" s="69" t="s">
        <v>854</v>
      </c>
      <c r="R69" s="69" t="s">
        <v>855</v>
      </c>
      <c r="S69" s="117" t="s">
        <v>856</v>
      </c>
      <c r="T69" s="69"/>
      <c r="U69" s="69"/>
      <c r="V69" s="18"/>
      <c r="W69" s="18"/>
      <c r="X69" s="18"/>
      <c r="Y69" s="18"/>
      <c r="Z69" s="18"/>
      <c r="AA69" s="69"/>
      <c r="AB69" s="18"/>
      <c r="AC69" s="18"/>
      <c r="AD69" s="18"/>
      <c r="AE69" s="18"/>
      <c r="AF69" s="69"/>
      <c r="AG69" s="18"/>
      <c r="AH69" s="18"/>
      <c r="AI69" s="18"/>
      <c r="AJ69" s="18"/>
      <c r="AK69" s="69"/>
      <c r="AL69" s="9" t="str">
        <f t="shared" si="12"/>
        <v>IOP2MD[19]</v>
      </c>
      <c r="AM69" s="9" t="str">
        <f t="shared" si="13"/>
        <v>IOP2MD[18]</v>
      </c>
      <c r="AN69" s="9" t="str">
        <f t="shared" si="14"/>
        <v>IOP2MD[17]</v>
      </c>
      <c r="AO69" s="9" t="str">
        <f t="shared" si="15"/>
        <v>IOP2MD[16]</v>
      </c>
      <c r="AP69" s="86"/>
    </row>
    <row r="70" spans="1:42" ht="16.149999999999999">
      <c r="A70" s="60" t="s">
        <v>541</v>
      </c>
      <c r="B70" s="7"/>
      <c r="C70" s="7"/>
      <c r="D70" s="87"/>
      <c r="E70" s="87">
        <v>32</v>
      </c>
      <c r="F70" s="7"/>
      <c r="G70" s="7"/>
      <c r="H70" s="87"/>
      <c r="I70" s="45" t="s">
        <v>539</v>
      </c>
      <c r="J70" s="45" t="s">
        <v>540</v>
      </c>
      <c r="K70" s="69" t="s">
        <v>691</v>
      </c>
      <c r="L70" s="69" t="s">
        <v>702</v>
      </c>
      <c r="M70" s="18" t="s">
        <v>815</v>
      </c>
      <c r="N70" s="69" t="s">
        <v>851</v>
      </c>
      <c r="O70" s="69" t="s">
        <v>852</v>
      </c>
      <c r="P70" s="69" t="s">
        <v>853</v>
      </c>
      <c r="Q70" s="69" t="s">
        <v>854</v>
      </c>
      <c r="R70" s="69" t="s">
        <v>855</v>
      </c>
      <c r="S70" s="69"/>
      <c r="T70" s="69"/>
      <c r="U70" s="69"/>
      <c r="V70" s="18"/>
      <c r="W70" s="18"/>
      <c r="X70" s="18"/>
      <c r="Y70" s="18"/>
      <c r="Z70" s="18"/>
      <c r="AA70" s="69"/>
      <c r="AB70" s="18"/>
      <c r="AC70" s="18"/>
      <c r="AD70" s="18"/>
      <c r="AE70" s="18"/>
      <c r="AF70" s="69"/>
      <c r="AG70" s="18"/>
      <c r="AH70" s="18"/>
      <c r="AI70" s="18"/>
      <c r="AJ70" s="18"/>
      <c r="AK70" s="69"/>
      <c r="AL70" s="9" t="str">
        <f t="shared" si="12"/>
        <v>IOP2MD[19]</v>
      </c>
      <c r="AM70" s="9" t="str">
        <f t="shared" si="13"/>
        <v>IOP2MD[18]</v>
      </c>
      <c r="AN70" s="9" t="str">
        <f t="shared" si="14"/>
        <v>IOP2MD[17]</v>
      </c>
      <c r="AO70" s="9" t="str">
        <f t="shared" si="15"/>
        <v>IOP2MD[16]</v>
      </c>
      <c r="AP70" s="86"/>
    </row>
    <row r="71" spans="1:42" ht="16.149999999999999">
      <c r="A71" s="60">
        <v>65</v>
      </c>
      <c r="B71" s="7">
        <v>65</v>
      </c>
      <c r="C71" s="7">
        <v>53</v>
      </c>
      <c r="D71" s="87">
        <v>44</v>
      </c>
      <c r="E71" s="87"/>
      <c r="F71" s="7">
        <v>65</v>
      </c>
      <c r="G71" s="7">
        <v>53</v>
      </c>
      <c r="H71" s="87">
        <v>44</v>
      </c>
      <c r="I71" s="45" t="s">
        <v>542</v>
      </c>
      <c r="J71" s="45" t="s">
        <v>543</v>
      </c>
      <c r="K71" s="69" t="s">
        <v>690</v>
      </c>
      <c r="L71" s="69" t="s">
        <v>705</v>
      </c>
      <c r="M71" s="18" t="s">
        <v>812</v>
      </c>
      <c r="N71" s="18" t="s">
        <v>813</v>
      </c>
      <c r="O71" s="69" t="s">
        <v>857</v>
      </c>
      <c r="P71" s="69" t="s">
        <v>858</v>
      </c>
      <c r="Q71" s="69" t="s">
        <v>848</v>
      </c>
      <c r="R71" s="69" t="s">
        <v>849</v>
      </c>
      <c r="S71" s="69" t="s">
        <v>655</v>
      </c>
      <c r="T71" s="117" t="s">
        <v>859</v>
      </c>
      <c r="U71" s="69"/>
      <c r="V71" s="18"/>
      <c r="W71" s="18"/>
      <c r="X71" s="18"/>
      <c r="Y71" s="18"/>
      <c r="Z71" s="18"/>
      <c r="AA71" s="69"/>
      <c r="AB71" s="18"/>
      <c r="AC71" s="18"/>
      <c r="AD71" s="18"/>
      <c r="AE71" s="18"/>
      <c r="AF71" s="69"/>
      <c r="AG71" s="18"/>
      <c r="AH71" s="18"/>
      <c r="AI71" s="18"/>
      <c r="AJ71" s="18"/>
      <c r="AK71" s="69"/>
      <c r="AL71" s="9" t="str">
        <f t="shared" si="12"/>
        <v>IOP2MD[15]</v>
      </c>
      <c r="AM71" s="9" t="str">
        <f t="shared" si="13"/>
        <v>IOP2MD[14]</v>
      </c>
      <c r="AN71" s="9" t="str">
        <f t="shared" si="14"/>
        <v>IOP2MD[13]</v>
      </c>
      <c r="AO71" s="9" t="str">
        <f t="shared" si="15"/>
        <v>IOP2MD[12]</v>
      </c>
      <c r="AP71" s="86"/>
    </row>
    <row r="72" spans="1:42" ht="16.149999999999999">
      <c r="A72" s="60" t="s">
        <v>544</v>
      </c>
      <c r="B72" s="7"/>
      <c r="C72" s="7"/>
      <c r="D72" s="87"/>
      <c r="E72" s="87">
        <v>33</v>
      </c>
      <c r="F72" s="7"/>
      <c r="G72" s="7"/>
      <c r="H72" s="87"/>
      <c r="I72" s="45" t="s">
        <v>542</v>
      </c>
      <c r="J72" s="45" t="s">
        <v>543</v>
      </c>
      <c r="K72" s="69" t="s">
        <v>690</v>
      </c>
      <c r="L72" s="69" t="s">
        <v>705</v>
      </c>
      <c r="M72" s="18" t="s">
        <v>812</v>
      </c>
      <c r="N72" s="18" t="s">
        <v>813</v>
      </c>
      <c r="O72" s="69" t="s">
        <v>857</v>
      </c>
      <c r="P72" s="69" t="s">
        <v>858</v>
      </c>
      <c r="Q72" s="69" t="s">
        <v>848</v>
      </c>
      <c r="R72" s="69" t="s">
        <v>849</v>
      </c>
      <c r="S72" s="69" t="s">
        <v>655</v>
      </c>
      <c r="T72" s="69"/>
      <c r="U72" s="69"/>
      <c r="V72" s="18"/>
      <c r="W72" s="18"/>
      <c r="X72" s="18"/>
      <c r="Y72" s="18"/>
      <c r="Z72" s="18"/>
      <c r="AA72" s="69"/>
      <c r="AB72" s="18"/>
      <c r="AC72" s="18"/>
      <c r="AD72" s="18"/>
      <c r="AE72" s="18"/>
      <c r="AF72" s="69"/>
      <c r="AG72" s="18"/>
      <c r="AH72" s="18"/>
      <c r="AI72" s="18"/>
      <c r="AJ72" s="18"/>
      <c r="AK72" s="69"/>
      <c r="AL72" s="9" t="str">
        <f t="shared" si="12"/>
        <v>IOP2MD[15]</v>
      </c>
      <c r="AM72" s="9" t="str">
        <f t="shared" si="13"/>
        <v>IOP2MD[14]</v>
      </c>
      <c r="AN72" s="9" t="str">
        <f t="shared" si="14"/>
        <v>IOP2MD[13]</v>
      </c>
      <c r="AO72" s="9" t="str">
        <f t="shared" si="15"/>
        <v>IOP2MD[12]</v>
      </c>
      <c r="AP72" s="86"/>
    </row>
    <row r="73" spans="1:42" ht="16.149999999999999">
      <c r="A73" s="60">
        <v>66</v>
      </c>
      <c r="B73" s="7">
        <v>66</v>
      </c>
      <c r="C73" s="7">
        <v>54</v>
      </c>
      <c r="D73" s="87">
        <v>45</v>
      </c>
      <c r="E73" s="87"/>
      <c r="F73" s="7">
        <v>66</v>
      </c>
      <c r="G73" s="7">
        <v>54</v>
      </c>
      <c r="H73" s="87">
        <v>45</v>
      </c>
      <c r="I73" s="45" t="s">
        <v>545</v>
      </c>
      <c r="J73" s="45" t="s">
        <v>546</v>
      </c>
      <c r="K73" s="69" t="s">
        <v>674</v>
      </c>
      <c r="L73" s="69" t="s">
        <v>677</v>
      </c>
      <c r="M73" s="69" t="s">
        <v>696</v>
      </c>
      <c r="N73" s="69" t="s">
        <v>717</v>
      </c>
      <c r="O73" s="69" t="s">
        <v>812</v>
      </c>
      <c r="P73" s="18" t="s">
        <v>813</v>
      </c>
      <c r="Q73" s="69" t="s">
        <v>853</v>
      </c>
      <c r="R73" s="69" t="s">
        <v>854</v>
      </c>
      <c r="S73" s="117" t="s">
        <v>860</v>
      </c>
      <c r="T73" s="69"/>
      <c r="U73" s="69"/>
      <c r="V73" s="18"/>
      <c r="W73" s="18"/>
      <c r="X73" s="18"/>
      <c r="Y73" s="18"/>
      <c r="Z73" s="18"/>
      <c r="AA73" s="69"/>
      <c r="AB73" s="18"/>
      <c r="AC73" s="18"/>
      <c r="AD73" s="18"/>
      <c r="AE73" s="18"/>
      <c r="AF73" s="69"/>
      <c r="AG73" s="18"/>
      <c r="AH73" s="18"/>
      <c r="AI73" s="18"/>
      <c r="AJ73" s="18"/>
      <c r="AK73" s="69"/>
      <c r="AL73" s="9" t="str">
        <f t="shared" si="12"/>
        <v>IOP2MD[11]</v>
      </c>
      <c r="AM73" s="9" t="str">
        <f t="shared" si="13"/>
        <v>IOP2MD[10]</v>
      </c>
      <c r="AN73" s="9" t="str">
        <f t="shared" si="14"/>
        <v>IOP2MD[9]</v>
      </c>
      <c r="AO73" s="9" t="str">
        <f t="shared" si="15"/>
        <v>IOP2MD[8]</v>
      </c>
      <c r="AP73" s="86"/>
    </row>
    <row r="74" spans="1:42" ht="16.149999999999999">
      <c r="A74" s="60" t="s">
        <v>547</v>
      </c>
      <c r="B74" s="7"/>
      <c r="C74" s="7"/>
      <c r="D74" s="87"/>
      <c r="E74" s="87">
        <v>34</v>
      </c>
      <c r="F74" s="7"/>
      <c r="G74" s="7"/>
      <c r="H74" s="87"/>
      <c r="I74" s="45" t="s">
        <v>545</v>
      </c>
      <c r="J74" s="45" t="s">
        <v>546</v>
      </c>
      <c r="K74" s="69" t="s">
        <v>674</v>
      </c>
      <c r="L74" s="69" t="s">
        <v>677</v>
      </c>
      <c r="M74" s="69" t="s">
        <v>696</v>
      </c>
      <c r="N74" s="69" t="s">
        <v>717</v>
      </c>
      <c r="O74" s="69" t="s">
        <v>812</v>
      </c>
      <c r="P74" s="18" t="s">
        <v>813</v>
      </c>
      <c r="Q74" s="69" t="s">
        <v>853</v>
      </c>
      <c r="R74" s="69" t="s">
        <v>854</v>
      </c>
      <c r="S74" s="69"/>
      <c r="T74" s="69"/>
      <c r="U74" s="69"/>
      <c r="V74" s="18"/>
      <c r="W74" s="18"/>
      <c r="X74" s="18"/>
      <c r="Y74" s="18"/>
      <c r="Z74" s="18"/>
      <c r="AA74" s="69"/>
      <c r="AB74" s="18"/>
      <c r="AC74" s="18"/>
      <c r="AD74" s="18"/>
      <c r="AE74" s="18"/>
      <c r="AF74" s="69"/>
      <c r="AG74" s="18"/>
      <c r="AH74" s="18"/>
      <c r="AI74" s="18"/>
      <c r="AJ74" s="18"/>
      <c r="AK74" s="69"/>
      <c r="AL74" s="9" t="str">
        <f t="shared" si="12"/>
        <v>IOP2MD[11]</v>
      </c>
      <c r="AM74" s="9" t="str">
        <f t="shared" si="13"/>
        <v>IOP2MD[10]</v>
      </c>
      <c r="AN74" s="9" t="str">
        <f t="shared" si="14"/>
        <v>IOP2MD[9]</v>
      </c>
      <c r="AO74" s="9" t="str">
        <f t="shared" si="15"/>
        <v>IOP2MD[8]</v>
      </c>
      <c r="AP74" s="86"/>
    </row>
    <row r="75" spans="1:42" ht="16.149999999999999">
      <c r="A75" s="60">
        <v>67</v>
      </c>
      <c r="B75" s="7">
        <v>67</v>
      </c>
      <c r="C75" s="7">
        <v>55</v>
      </c>
      <c r="D75" s="87">
        <v>46</v>
      </c>
      <c r="E75" s="87"/>
      <c r="F75" s="7">
        <v>67</v>
      </c>
      <c r="G75" s="7">
        <v>55</v>
      </c>
      <c r="H75" s="87">
        <v>46</v>
      </c>
      <c r="I75" s="45" t="s">
        <v>548</v>
      </c>
      <c r="J75" s="45" t="s">
        <v>549</v>
      </c>
      <c r="K75" s="69" t="s">
        <v>664</v>
      </c>
      <c r="L75" s="69" t="s">
        <v>673</v>
      </c>
      <c r="M75" s="69" t="s">
        <v>697</v>
      </c>
      <c r="N75" s="69" t="s">
        <v>711</v>
      </c>
      <c r="O75" s="69" t="s">
        <v>720</v>
      </c>
      <c r="P75" s="69" t="s">
        <v>861</v>
      </c>
      <c r="Q75" s="69" t="s">
        <v>862</v>
      </c>
      <c r="R75" s="69"/>
      <c r="S75" s="69"/>
      <c r="T75" s="69"/>
      <c r="U75" s="69"/>
      <c r="V75" s="69"/>
      <c r="W75" s="18"/>
      <c r="X75" s="18"/>
      <c r="Y75" s="18"/>
      <c r="Z75" s="18"/>
      <c r="AA75" s="69"/>
      <c r="AB75" s="69"/>
      <c r="AC75" s="18"/>
      <c r="AD75" s="18"/>
      <c r="AE75" s="18"/>
      <c r="AF75" s="69"/>
      <c r="AG75" s="69" t="s">
        <v>863</v>
      </c>
      <c r="AH75" s="18" t="s">
        <v>746</v>
      </c>
      <c r="AI75" s="18"/>
      <c r="AJ75" s="18" t="s">
        <v>864</v>
      </c>
      <c r="AK75" s="69"/>
      <c r="AL75" s="9" t="str">
        <f t="shared" si="12"/>
        <v>IOP2MD[7]</v>
      </c>
      <c r="AM75" s="9" t="str">
        <f t="shared" si="13"/>
        <v>IOP2MD[6]</v>
      </c>
      <c r="AN75" s="9" t="str">
        <f t="shared" si="14"/>
        <v>IOP2MD[5]</v>
      </c>
      <c r="AO75" s="9" t="str">
        <f t="shared" si="15"/>
        <v>IOP2MD[4]</v>
      </c>
      <c r="AP75" s="86"/>
    </row>
    <row r="76" spans="1:42" ht="16.149999999999999">
      <c r="A76" s="60">
        <v>68</v>
      </c>
      <c r="B76" s="7">
        <v>68</v>
      </c>
      <c r="C76" s="7">
        <v>56</v>
      </c>
      <c r="D76" s="87"/>
      <c r="E76" s="87"/>
      <c r="F76" s="7">
        <v>68</v>
      </c>
      <c r="G76" s="7">
        <v>56</v>
      </c>
      <c r="H76" s="87"/>
      <c r="I76" s="45" t="s">
        <v>550</v>
      </c>
      <c r="J76" s="45" t="s">
        <v>551</v>
      </c>
      <c r="K76" s="69" t="s">
        <v>665</v>
      </c>
      <c r="L76" s="69" t="s">
        <v>672</v>
      </c>
      <c r="M76" s="69" t="s">
        <v>679</v>
      </c>
      <c r="N76" s="69" t="s">
        <v>712</v>
      </c>
      <c r="O76" s="69" t="s">
        <v>723</v>
      </c>
      <c r="P76" s="69" t="s">
        <v>865</v>
      </c>
      <c r="Q76" s="69"/>
      <c r="R76" s="69"/>
      <c r="S76" s="69"/>
      <c r="T76" s="69"/>
      <c r="U76" s="69"/>
      <c r="V76" s="69"/>
      <c r="W76" s="18"/>
      <c r="X76" s="18"/>
      <c r="Y76" s="18"/>
      <c r="Z76" s="18"/>
      <c r="AA76" s="69"/>
      <c r="AB76" s="69"/>
      <c r="AC76" s="18"/>
      <c r="AD76" s="18"/>
      <c r="AE76" s="18"/>
      <c r="AF76" s="69"/>
      <c r="AG76" s="69" t="s">
        <v>865</v>
      </c>
      <c r="AH76" s="18" t="s">
        <v>745</v>
      </c>
      <c r="AI76" s="18"/>
      <c r="AJ76" s="18" t="s">
        <v>866</v>
      </c>
      <c r="AK76" s="69"/>
      <c r="AL76" s="9" t="str">
        <f t="shared" si="12"/>
        <v>IOP2MD[3]</v>
      </c>
      <c r="AM76" s="9" t="str">
        <f t="shared" si="13"/>
        <v>IOP2MD[2]</v>
      </c>
      <c r="AN76" s="9" t="str">
        <f t="shared" si="14"/>
        <v>IOP2MD[1]</v>
      </c>
      <c r="AO76" s="9" t="str">
        <f t="shared" si="15"/>
        <v>IOP2MD[0]</v>
      </c>
      <c r="AP76" s="86"/>
    </row>
    <row r="77" spans="1:42" ht="16.149999999999999">
      <c r="A77" s="60">
        <v>69</v>
      </c>
      <c r="B77" s="7">
        <v>69</v>
      </c>
      <c r="C77" s="7"/>
      <c r="D77" s="87"/>
      <c r="E77" s="87"/>
      <c r="F77" s="7">
        <v>69</v>
      </c>
      <c r="G77" s="7"/>
      <c r="H77" s="87"/>
      <c r="I77" s="45" t="s">
        <v>552</v>
      </c>
      <c r="J77" s="45" t="s">
        <v>553</v>
      </c>
      <c r="K77" s="69" t="s">
        <v>867</v>
      </c>
      <c r="L77" s="69"/>
      <c r="M77" s="69"/>
      <c r="N77" s="69"/>
      <c r="O77" s="69"/>
      <c r="P77" s="69"/>
      <c r="Q77" s="69"/>
      <c r="R77" s="69"/>
      <c r="S77" s="69"/>
      <c r="T77" s="69"/>
      <c r="U77" s="69"/>
      <c r="V77" s="69" t="s">
        <v>867</v>
      </c>
      <c r="W77" s="69" t="s">
        <v>744</v>
      </c>
      <c r="X77" s="18"/>
      <c r="Y77" s="18"/>
      <c r="Z77" s="18"/>
      <c r="AA77" s="69"/>
      <c r="AB77" s="69"/>
      <c r="AC77" s="18"/>
      <c r="AD77" s="18"/>
      <c r="AE77" s="18"/>
      <c r="AF77" s="69"/>
      <c r="AG77" s="69"/>
      <c r="AH77" s="18"/>
      <c r="AI77" s="18"/>
      <c r="AJ77" s="18"/>
      <c r="AK77" s="69"/>
      <c r="AL77" s="9" t="str">
        <f t="shared" si="12"/>
        <v>IOP6MD[23]</v>
      </c>
      <c r="AM77" s="9" t="str">
        <f t="shared" si="13"/>
        <v>IOP6MD[22]</v>
      </c>
      <c r="AN77" s="9" t="str">
        <f t="shared" si="14"/>
        <v>IOP6MD[21]</v>
      </c>
      <c r="AO77" s="9" t="str">
        <f t="shared" si="15"/>
        <v>IOP6MD[20]</v>
      </c>
      <c r="AP77" s="86"/>
    </row>
    <row r="78" spans="1:42" ht="16.149999999999999">
      <c r="A78" s="60">
        <v>70</v>
      </c>
      <c r="B78" s="7">
        <v>70</v>
      </c>
      <c r="C78" s="7"/>
      <c r="D78" s="87"/>
      <c r="E78" s="87"/>
      <c r="F78" s="7">
        <v>70</v>
      </c>
      <c r="G78" s="7"/>
      <c r="H78" s="87"/>
      <c r="I78" s="45" t="s">
        <v>554</v>
      </c>
      <c r="J78" s="45" t="s">
        <v>555</v>
      </c>
      <c r="K78" s="69" t="s">
        <v>868</v>
      </c>
      <c r="L78" s="69"/>
      <c r="M78" s="69"/>
      <c r="N78" s="69"/>
      <c r="O78" s="69"/>
      <c r="P78" s="69"/>
      <c r="Q78" s="69"/>
      <c r="R78" s="69"/>
      <c r="S78" s="69"/>
      <c r="T78" s="69"/>
      <c r="U78" s="69"/>
      <c r="V78" s="69" t="s">
        <v>868</v>
      </c>
      <c r="W78" s="69" t="s">
        <v>743</v>
      </c>
      <c r="X78" s="18"/>
      <c r="Y78" s="18"/>
      <c r="Z78" s="18"/>
      <c r="AA78" s="69"/>
      <c r="AB78" s="18"/>
      <c r="AC78" s="18"/>
      <c r="AD78" s="18"/>
      <c r="AE78" s="18"/>
      <c r="AF78" s="69"/>
      <c r="AG78" s="18"/>
      <c r="AH78" s="18"/>
      <c r="AI78" s="18"/>
      <c r="AJ78" s="18"/>
      <c r="AK78" s="69"/>
      <c r="AL78" s="9" t="str">
        <f t="shared" si="12"/>
        <v>IOP6MD[19]</v>
      </c>
      <c r="AM78" s="9" t="str">
        <f t="shared" si="13"/>
        <v>IOP6MD[18]</v>
      </c>
      <c r="AN78" s="9" t="str">
        <f t="shared" si="14"/>
        <v>IOP6MD[17]</v>
      </c>
      <c r="AO78" s="9" t="str">
        <f t="shared" si="15"/>
        <v>IOP6MD[16]</v>
      </c>
      <c r="AP78" s="86"/>
    </row>
    <row r="79" spans="1:42" ht="16.149999999999999">
      <c r="A79" s="60">
        <v>71</v>
      </c>
      <c r="B79" s="7">
        <v>71</v>
      </c>
      <c r="C79" s="7">
        <v>57</v>
      </c>
      <c r="D79" s="87"/>
      <c r="E79" s="87"/>
      <c r="F79" s="7">
        <v>71</v>
      </c>
      <c r="G79" s="7">
        <v>57</v>
      </c>
      <c r="H79" s="87"/>
      <c r="I79" s="45" t="s">
        <v>245</v>
      </c>
      <c r="J79" s="45" t="s">
        <v>246</v>
      </c>
      <c r="K79" s="69"/>
      <c r="L79" s="69"/>
      <c r="M79" s="69"/>
      <c r="N79" s="69"/>
      <c r="O79" s="69"/>
      <c r="P79" s="69"/>
      <c r="Q79" s="69"/>
      <c r="R79" s="69"/>
      <c r="S79" s="69"/>
      <c r="T79" s="69"/>
      <c r="U79" s="69"/>
      <c r="V79" s="18"/>
      <c r="W79" s="18"/>
      <c r="X79" s="18"/>
      <c r="Y79" s="18"/>
      <c r="Z79" s="18"/>
      <c r="AA79" s="69"/>
      <c r="AB79" s="18"/>
      <c r="AC79" s="18"/>
      <c r="AD79" s="18"/>
      <c r="AE79" s="18"/>
      <c r="AF79" s="69"/>
      <c r="AG79" s="18"/>
      <c r="AH79" s="18"/>
      <c r="AI79" s="18"/>
      <c r="AJ79" s="18"/>
      <c r="AK79" s="69"/>
      <c r="AL79" s="9" t="str">
        <f t="shared" si="12"/>
        <v>IOPFMD[15]</v>
      </c>
      <c r="AM79" s="9" t="str">
        <f t="shared" si="13"/>
        <v>IOPFMD[14]</v>
      </c>
      <c r="AN79" s="9" t="str">
        <f t="shared" si="14"/>
        <v>IOPFMD[13]</v>
      </c>
      <c r="AO79" s="9" t="str">
        <f t="shared" si="15"/>
        <v>IOPFMD[12]</v>
      </c>
      <c r="AP79" s="86"/>
    </row>
    <row r="80" spans="1:42" ht="16.149999999999999">
      <c r="A80" s="60">
        <v>72</v>
      </c>
      <c r="B80" s="7">
        <v>72</v>
      </c>
      <c r="C80" s="7">
        <v>58</v>
      </c>
      <c r="D80" s="87">
        <v>47</v>
      </c>
      <c r="E80" s="87">
        <v>35</v>
      </c>
      <c r="F80" s="7">
        <v>72</v>
      </c>
      <c r="G80" s="7">
        <v>58</v>
      </c>
      <c r="H80" s="87">
        <v>47</v>
      </c>
      <c r="I80" s="45" t="s">
        <v>556</v>
      </c>
      <c r="J80" s="45" t="s">
        <v>556</v>
      </c>
      <c r="K80" s="69"/>
      <c r="L80" s="69"/>
      <c r="M80" s="69"/>
      <c r="N80" s="69"/>
      <c r="O80" s="69"/>
      <c r="P80" s="69"/>
      <c r="Q80" s="69"/>
      <c r="R80" s="69"/>
      <c r="S80" s="69"/>
      <c r="T80" s="69"/>
      <c r="U80" s="69"/>
      <c r="V80" s="18"/>
      <c r="W80" s="18"/>
      <c r="X80" s="18"/>
      <c r="Y80" s="18"/>
      <c r="Z80" s="18"/>
      <c r="AA80" s="69"/>
      <c r="AB80" s="18"/>
      <c r="AC80" s="18"/>
      <c r="AD80" s="18"/>
      <c r="AE80" s="18"/>
      <c r="AF80" s="69"/>
      <c r="AG80" s="18"/>
      <c r="AH80" s="18"/>
      <c r="AI80" s="18"/>
      <c r="AJ80" s="18"/>
      <c r="AK80" s="69"/>
      <c r="AL80" s="9" t="str">
        <f t="shared" si="12"/>
        <v/>
      </c>
      <c r="AM80" s="9" t="str">
        <f t="shared" si="13"/>
        <v/>
      </c>
      <c r="AN80" s="9" t="str">
        <f t="shared" si="14"/>
        <v/>
      </c>
      <c r="AO80" s="9" t="str">
        <f t="shared" si="15"/>
        <v/>
      </c>
      <c r="AP80" s="86"/>
    </row>
    <row r="81" spans="1:42" ht="16.149999999999999">
      <c r="A81" s="60">
        <v>73</v>
      </c>
      <c r="B81" s="7">
        <v>73</v>
      </c>
      <c r="C81" s="7">
        <v>59</v>
      </c>
      <c r="D81" s="87">
        <v>48</v>
      </c>
      <c r="E81" s="87">
        <v>36</v>
      </c>
      <c r="F81" s="7">
        <v>73</v>
      </c>
      <c r="G81" s="7">
        <v>59</v>
      </c>
      <c r="H81" s="87">
        <v>48</v>
      </c>
      <c r="I81" s="45" t="s">
        <v>557</v>
      </c>
      <c r="J81" s="45" t="s">
        <v>557</v>
      </c>
      <c r="K81" s="69"/>
      <c r="L81" s="69"/>
      <c r="M81" s="69"/>
      <c r="N81" s="69"/>
      <c r="O81" s="69"/>
      <c r="P81" s="69"/>
      <c r="Q81" s="69"/>
      <c r="R81" s="69"/>
      <c r="S81" s="69"/>
      <c r="T81" s="69"/>
      <c r="U81" s="69"/>
      <c r="V81" s="18"/>
      <c r="W81" s="18"/>
      <c r="X81" s="18"/>
      <c r="Y81" s="18"/>
      <c r="Z81" s="18"/>
      <c r="AA81" s="69"/>
      <c r="AB81" s="18"/>
      <c r="AC81" s="18"/>
      <c r="AD81" s="18"/>
      <c r="AE81" s="18"/>
      <c r="AF81" s="69"/>
      <c r="AG81" s="18"/>
      <c r="AH81" s="18"/>
      <c r="AI81" s="18"/>
      <c r="AJ81" s="18"/>
      <c r="AK81" s="69"/>
      <c r="AL81" s="9" t="str">
        <f t="shared" si="12"/>
        <v/>
      </c>
      <c r="AM81" s="9" t="str">
        <f t="shared" si="13"/>
        <v/>
      </c>
      <c r="AN81" s="9" t="str">
        <f t="shared" si="14"/>
        <v/>
      </c>
      <c r="AO81" s="9" t="str">
        <f t="shared" si="15"/>
        <v/>
      </c>
      <c r="AP81" s="86"/>
    </row>
    <row r="82" spans="1:42" ht="16.149999999999999">
      <c r="A82" s="60">
        <v>74</v>
      </c>
      <c r="B82" s="7">
        <v>74</v>
      </c>
      <c r="C82" s="7"/>
      <c r="D82" s="87"/>
      <c r="E82" s="87"/>
      <c r="F82" s="7">
        <v>74</v>
      </c>
      <c r="G82" s="7"/>
      <c r="H82" s="87"/>
      <c r="I82" s="45" t="s">
        <v>558</v>
      </c>
      <c r="J82" s="45" t="s">
        <v>559</v>
      </c>
      <c r="K82" s="69" t="s">
        <v>665</v>
      </c>
      <c r="L82" s="69" t="s">
        <v>869</v>
      </c>
      <c r="M82" s="69"/>
      <c r="N82" s="69"/>
      <c r="O82" s="69"/>
      <c r="P82" s="69"/>
      <c r="Q82" s="69"/>
      <c r="R82" s="69"/>
      <c r="S82" s="69"/>
      <c r="T82" s="69"/>
      <c r="U82" s="69"/>
      <c r="V82" s="18"/>
      <c r="W82" s="18"/>
      <c r="X82" s="18"/>
      <c r="Y82" s="18"/>
      <c r="Z82" s="18"/>
      <c r="AA82" s="69"/>
      <c r="AB82" s="69" t="s">
        <v>869</v>
      </c>
      <c r="AC82" s="69" t="s">
        <v>742</v>
      </c>
      <c r="AD82" s="18"/>
      <c r="AE82" s="18"/>
      <c r="AF82" s="69"/>
      <c r="AG82" s="18"/>
      <c r="AH82" s="18"/>
      <c r="AI82" s="18"/>
      <c r="AJ82" s="18"/>
      <c r="AK82" s="69"/>
      <c r="AL82" s="9" t="str">
        <f t="shared" si="12"/>
        <v>IOP6MD[15]</v>
      </c>
      <c r="AM82" s="9" t="str">
        <f t="shared" si="13"/>
        <v>IOP6MD[14]</v>
      </c>
      <c r="AN82" s="9" t="str">
        <f t="shared" si="14"/>
        <v>IOP6MD[13]</v>
      </c>
      <c r="AO82" s="9" t="str">
        <f t="shared" si="15"/>
        <v>IOP6MD[12]</v>
      </c>
      <c r="AP82" s="86"/>
    </row>
    <row r="83" spans="1:42" ht="16.149999999999999">
      <c r="A83" s="60">
        <v>75</v>
      </c>
      <c r="B83" s="7">
        <v>75</v>
      </c>
      <c r="C83" s="7">
        <v>60</v>
      </c>
      <c r="D83" s="87"/>
      <c r="E83" s="87"/>
      <c r="F83" s="7">
        <v>75</v>
      </c>
      <c r="G83" s="7">
        <v>60</v>
      </c>
      <c r="H83" s="87"/>
      <c r="I83" s="45" t="s">
        <v>560</v>
      </c>
      <c r="J83" s="45" t="s">
        <v>561</v>
      </c>
      <c r="K83" s="69" t="s">
        <v>664</v>
      </c>
      <c r="L83" s="69" t="s">
        <v>870</v>
      </c>
      <c r="M83" s="69"/>
      <c r="N83" s="69"/>
      <c r="O83" s="69"/>
      <c r="P83" s="69"/>
      <c r="Q83" s="69"/>
      <c r="R83" s="69"/>
      <c r="S83" s="69"/>
      <c r="T83" s="69"/>
      <c r="U83" s="69"/>
      <c r="V83" s="18"/>
      <c r="W83" s="18"/>
      <c r="X83" s="18"/>
      <c r="Y83" s="18"/>
      <c r="Z83" s="18"/>
      <c r="AA83" s="69"/>
      <c r="AB83" s="69" t="s">
        <v>870</v>
      </c>
      <c r="AC83" s="69" t="s">
        <v>741</v>
      </c>
      <c r="AD83" s="18"/>
      <c r="AE83" s="18"/>
      <c r="AF83" s="69"/>
      <c r="AG83" s="18"/>
      <c r="AH83" s="18"/>
      <c r="AI83" s="18"/>
      <c r="AJ83" s="18"/>
      <c r="AK83" s="69"/>
      <c r="AL83" s="9" t="str">
        <f t="shared" si="12"/>
        <v>IOP6MD[11]</v>
      </c>
      <c r="AM83" s="9" t="str">
        <f t="shared" si="13"/>
        <v>IOP6MD[10]</v>
      </c>
      <c r="AN83" s="9" t="str">
        <f t="shared" si="14"/>
        <v>IOP6MD[9]</v>
      </c>
      <c r="AO83" s="9" t="str">
        <f t="shared" si="15"/>
        <v>IOP6MD[8]</v>
      </c>
      <c r="AP83" s="86"/>
    </row>
    <row r="84" spans="1:42" ht="16.149999999999999">
      <c r="A84" s="61">
        <v>76</v>
      </c>
      <c r="B84" s="7">
        <v>76</v>
      </c>
      <c r="C84" s="7"/>
      <c r="D84" s="87"/>
      <c r="E84" s="87"/>
      <c r="F84" s="7">
        <v>76</v>
      </c>
      <c r="G84" s="7"/>
      <c r="H84" s="87"/>
      <c r="I84" s="45" t="s">
        <v>562</v>
      </c>
      <c r="J84" s="45" t="s">
        <v>563</v>
      </c>
      <c r="K84" s="69" t="s">
        <v>663</v>
      </c>
      <c r="L84" s="69" t="s">
        <v>871</v>
      </c>
      <c r="M84" s="69"/>
      <c r="N84" s="69"/>
      <c r="O84" s="69"/>
      <c r="P84" s="69"/>
      <c r="Q84" s="69"/>
      <c r="R84" s="69"/>
      <c r="S84" s="69"/>
      <c r="T84" s="69"/>
      <c r="U84" s="69"/>
      <c r="V84" s="69"/>
      <c r="W84" s="69"/>
      <c r="X84" s="69"/>
      <c r="Y84" s="18"/>
      <c r="Z84" s="18"/>
      <c r="AA84" s="69"/>
      <c r="AB84" s="69" t="s">
        <v>871</v>
      </c>
      <c r="AC84" s="69" t="s">
        <v>740</v>
      </c>
      <c r="AD84" s="69"/>
      <c r="AE84" s="18"/>
      <c r="AF84" s="69"/>
      <c r="AG84" s="69"/>
      <c r="AH84" s="69"/>
      <c r="AI84" s="69"/>
      <c r="AJ84" s="18"/>
      <c r="AK84" s="69"/>
      <c r="AL84" s="9" t="str">
        <f t="shared" si="12"/>
        <v>IOP6MD[7]</v>
      </c>
      <c r="AM84" s="9" t="str">
        <f t="shared" si="13"/>
        <v>IOP6MD[6]</v>
      </c>
      <c r="AN84" s="9" t="str">
        <f t="shared" si="14"/>
        <v>IOP6MD[5]</v>
      </c>
      <c r="AO84" s="9" t="str">
        <f t="shared" si="15"/>
        <v>IOP6MD[4]</v>
      </c>
      <c r="AP84" s="86"/>
    </row>
    <row r="85" spans="1:42" ht="16.149999999999999">
      <c r="A85" s="61">
        <v>77</v>
      </c>
      <c r="B85" s="7">
        <v>77</v>
      </c>
      <c r="C85" s="7"/>
      <c r="D85" s="87"/>
      <c r="E85" s="87"/>
      <c r="F85" s="7">
        <v>77</v>
      </c>
      <c r="G85" s="7"/>
      <c r="H85" s="87"/>
      <c r="I85" s="45" t="s">
        <v>564</v>
      </c>
      <c r="J85" s="45" t="s">
        <v>565</v>
      </c>
      <c r="K85" s="69" t="s">
        <v>662</v>
      </c>
      <c r="L85" s="69" t="s">
        <v>872</v>
      </c>
      <c r="M85" s="69"/>
      <c r="N85" s="69"/>
      <c r="O85" s="69"/>
      <c r="P85" s="69"/>
      <c r="Q85" s="69"/>
      <c r="R85" s="69"/>
      <c r="S85" s="69"/>
      <c r="T85" s="69"/>
      <c r="U85" s="69"/>
      <c r="V85" s="69"/>
      <c r="W85" s="69"/>
      <c r="X85" s="69"/>
      <c r="Y85" s="18"/>
      <c r="Z85" s="18"/>
      <c r="AA85" s="69"/>
      <c r="AB85" s="69" t="s">
        <v>872</v>
      </c>
      <c r="AC85" s="69" t="s">
        <v>739</v>
      </c>
      <c r="AD85" s="69"/>
      <c r="AE85" s="18"/>
      <c r="AF85" s="69"/>
      <c r="AG85" s="69"/>
      <c r="AH85" s="69"/>
      <c r="AI85" s="69"/>
      <c r="AJ85" s="18"/>
      <c r="AK85" s="69"/>
      <c r="AL85" s="9" t="str">
        <f t="shared" si="12"/>
        <v>IOP6MD[3]</v>
      </c>
      <c r="AM85" s="9" t="str">
        <f t="shared" si="13"/>
        <v>IOP6MD[2]</v>
      </c>
      <c r="AN85" s="9" t="str">
        <f t="shared" si="14"/>
        <v>IOP6MD[1]</v>
      </c>
      <c r="AO85" s="9" t="str">
        <f t="shared" si="15"/>
        <v>IOP6MD[0]</v>
      </c>
      <c r="AP85" s="86"/>
    </row>
    <row r="86" spans="1:42" ht="16.149999999999999">
      <c r="A86" s="61">
        <v>78</v>
      </c>
      <c r="B86" s="7">
        <v>78</v>
      </c>
      <c r="C86" s="7">
        <v>61</v>
      </c>
      <c r="D86" s="87"/>
      <c r="E86" s="87"/>
      <c r="F86" s="7">
        <v>78</v>
      </c>
      <c r="G86" s="7">
        <v>61</v>
      </c>
      <c r="H86" s="87"/>
      <c r="I86" s="45" t="s">
        <v>566</v>
      </c>
      <c r="J86" s="45" t="s">
        <v>567</v>
      </c>
      <c r="K86" s="69" t="s">
        <v>661</v>
      </c>
      <c r="L86" s="69" t="s">
        <v>873</v>
      </c>
      <c r="M86" s="69"/>
      <c r="N86" s="69"/>
      <c r="O86" s="69"/>
      <c r="P86" s="69"/>
      <c r="Q86" s="69"/>
      <c r="R86" s="69"/>
      <c r="S86" s="69"/>
      <c r="T86" s="69"/>
      <c r="U86" s="69"/>
      <c r="V86" s="69"/>
      <c r="W86" s="69"/>
      <c r="X86" s="69"/>
      <c r="Y86" s="18"/>
      <c r="Z86" s="18"/>
      <c r="AA86" s="69"/>
      <c r="AB86" s="69" t="s">
        <v>873</v>
      </c>
      <c r="AC86" s="69" t="s">
        <v>738</v>
      </c>
      <c r="AD86" s="69"/>
      <c r="AE86" s="18"/>
      <c r="AF86" s="69"/>
      <c r="AG86" s="69"/>
      <c r="AH86" s="69"/>
      <c r="AI86" s="69"/>
      <c r="AJ86" s="18"/>
      <c r="AK86" s="69"/>
      <c r="AL86" s="9" t="str">
        <f t="shared" si="12"/>
        <v>IOP5MD[23]</v>
      </c>
      <c r="AM86" s="9" t="str">
        <f t="shared" si="13"/>
        <v>IOP5MD[22]</v>
      </c>
      <c r="AN86" s="9" t="str">
        <f t="shared" si="14"/>
        <v>IOP5MD[21]</v>
      </c>
      <c r="AO86" s="9" t="str">
        <f t="shared" si="15"/>
        <v>IOP5MD[20]</v>
      </c>
      <c r="AP86" s="86"/>
    </row>
    <row r="87" spans="1:42" ht="16.149999999999999">
      <c r="A87" s="61">
        <v>79</v>
      </c>
      <c r="B87" s="7">
        <v>79</v>
      </c>
      <c r="C87" s="7">
        <v>62</v>
      </c>
      <c r="D87" s="87">
        <v>49</v>
      </c>
      <c r="E87" s="87"/>
      <c r="F87" s="7">
        <v>79</v>
      </c>
      <c r="G87" s="7">
        <v>62</v>
      </c>
      <c r="H87" s="87">
        <v>49</v>
      </c>
      <c r="I87" s="45" t="s">
        <v>568</v>
      </c>
      <c r="J87" s="45" t="s">
        <v>569</v>
      </c>
      <c r="K87" s="69" t="s">
        <v>660</v>
      </c>
      <c r="L87" s="69" t="s">
        <v>874</v>
      </c>
      <c r="M87" s="69"/>
      <c r="N87" s="69"/>
      <c r="O87" s="69"/>
      <c r="P87" s="69"/>
      <c r="Q87" s="69"/>
      <c r="R87" s="69"/>
      <c r="S87" s="69"/>
      <c r="T87" s="69"/>
      <c r="U87" s="69"/>
      <c r="V87" s="69"/>
      <c r="W87" s="69"/>
      <c r="X87" s="69"/>
      <c r="Y87" s="18"/>
      <c r="Z87" s="18"/>
      <c r="AA87" s="69"/>
      <c r="AB87" s="69" t="s">
        <v>874</v>
      </c>
      <c r="AC87" s="69" t="s">
        <v>737</v>
      </c>
      <c r="AD87" s="69"/>
      <c r="AE87" s="18"/>
      <c r="AF87" s="69"/>
      <c r="AG87" s="69"/>
      <c r="AH87" s="69"/>
      <c r="AI87" s="69"/>
      <c r="AJ87" s="18"/>
      <c r="AK87" s="69"/>
      <c r="AL87" s="9" t="str">
        <f t="shared" si="12"/>
        <v>IOP5MD[19]</v>
      </c>
      <c r="AM87" s="9" t="str">
        <f t="shared" si="13"/>
        <v>IOP5MD[18]</v>
      </c>
      <c r="AN87" s="9" t="str">
        <f t="shared" si="14"/>
        <v>IOP5MD[17]</v>
      </c>
      <c r="AO87" s="9" t="str">
        <f t="shared" si="15"/>
        <v>IOP5MD[16]</v>
      </c>
      <c r="AP87" s="86"/>
    </row>
    <row r="88" spans="1:42" ht="16.149999999999999">
      <c r="A88" s="61">
        <v>80</v>
      </c>
      <c r="B88" s="7">
        <v>80</v>
      </c>
      <c r="C88" s="7">
        <v>63</v>
      </c>
      <c r="D88" s="87">
        <v>50</v>
      </c>
      <c r="E88" s="87"/>
      <c r="F88" s="7">
        <v>80</v>
      </c>
      <c r="G88" s="7">
        <v>63</v>
      </c>
      <c r="H88" s="87">
        <v>50</v>
      </c>
      <c r="I88" s="45" t="s">
        <v>570</v>
      </c>
      <c r="J88" s="45" t="s">
        <v>571</v>
      </c>
      <c r="K88" s="69" t="s">
        <v>659</v>
      </c>
      <c r="L88" s="69" t="s">
        <v>875</v>
      </c>
      <c r="M88" s="69"/>
      <c r="N88" s="69"/>
      <c r="O88" s="69"/>
      <c r="P88" s="69"/>
      <c r="Q88" s="69"/>
      <c r="R88" s="69"/>
      <c r="S88" s="69"/>
      <c r="T88" s="69"/>
      <c r="U88" s="69"/>
      <c r="V88" s="69"/>
      <c r="W88" s="69"/>
      <c r="X88" s="69"/>
      <c r="Y88" s="18"/>
      <c r="Z88" s="18"/>
      <c r="AA88" s="69"/>
      <c r="AB88" s="69" t="s">
        <v>875</v>
      </c>
      <c r="AC88" s="69" t="s">
        <v>736</v>
      </c>
      <c r="AD88" s="69"/>
      <c r="AE88" s="18"/>
      <c r="AF88" s="69"/>
      <c r="AG88" s="69"/>
      <c r="AH88" s="69"/>
      <c r="AI88" s="69"/>
      <c r="AJ88" s="18"/>
      <c r="AK88" s="69"/>
      <c r="AL88" s="9" t="str">
        <f t="shared" si="12"/>
        <v>IOP5MD[15]</v>
      </c>
      <c r="AM88" s="9" t="str">
        <f t="shared" si="13"/>
        <v>IOP5MD[14]</v>
      </c>
      <c r="AN88" s="9" t="str">
        <f t="shared" si="14"/>
        <v>IOP5MD[13]</v>
      </c>
      <c r="AO88" s="9" t="str">
        <f t="shared" si="15"/>
        <v>IOP5MD[12]</v>
      </c>
      <c r="AP88" s="86"/>
    </row>
    <row r="89" spans="1:42" ht="16.149999999999999">
      <c r="A89" s="61">
        <v>81</v>
      </c>
      <c r="B89" s="7">
        <v>81</v>
      </c>
      <c r="C89" s="7">
        <v>64</v>
      </c>
      <c r="D89" s="87">
        <v>51</v>
      </c>
      <c r="E89" s="87">
        <v>37</v>
      </c>
      <c r="F89" s="7">
        <v>81</v>
      </c>
      <c r="G89" s="7">
        <v>64</v>
      </c>
      <c r="H89" s="87">
        <v>51</v>
      </c>
      <c r="I89" s="45" t="s">
        <v>572</v>
      </c>
      <c r="J89" s="45" t="s">
        <v>573</v>
      </c>
      <c r="K89" s="69" t="s">
        <v>658</v>
      </c>
      <c r="L89" s="69" t="s">
        <v>876</v>
      </c>
      <c r="M89" s="69"/>
      <c r="N89" s="69"/>
      <c r="O89" s="69"/>
      <c r="P89" s="69"/>
      <c r="Q89" s="69"/>
      <c r="R89" s="69"/>
      <c r="S89" s="69"/>
      <c r="T89" s="69"/>
      <c r="U89" s="69"/>
      <c r="V89" s="69"/>
      <c r="W89" s="69"/>
      <c r="X89" s="69"/>
      <c r="Y89" s="18"/>
      <c r="Z89" s="18"/>
      <c r="AA89" s="69"/>
      <c r="AB89" s="69" t="s">
        <v>876</v>
      </c>
      <c r="AC89" s="69" t="s">
        <v>735</v>
      </c>
      <c r="AD89" s="69"/>
      <c r="AE89" s="18"/>
      <c r="AF89" s="69"/>
      <c r="AG89" s="69"/>
      <c r="AH89" s="69"/>
      <c r="AI89" s="69"/>
      <c r="AJ89" s="18"/>
      <c r="AK89" s="69"/>
      <c r="AL89" s="9" t="str">
        <f t="shared" si="12"/>
        <v>IOP5MD[11]</v>
      </c>
      <c r="AM89" s="9" t="str">
        <f t="shared" si="13"/>
        <v>IOP5MD[10]</v>
      </c>
      <c r="AN89" s="9" t="str">
        <f t="shared" si="14"/>
        <v>IOP5MD[9]</v>
      </c>
      <c r="AO89" s="9" t="str">
        <f t="shared" si="15"/>
        <v>IOP5MD[8]</v>
      </c>
      <c r="AP89" s="86"/>
    </row>
    <row r="90" spans="1:42" ht="16.149999999999999">
      <c r="A90" s="61">
        <v>82</v>
      </c>
      <c r="B90" s="7">
        <v>82</v>
      </c>
      <c r="C90" s="7">
        <v>65</v>
      </c>
      <c r="D90" s="87">
        <v>52</v>
      </c>
      <c r="E90" s="87">
        <v>38</v>
      </c>
      <c r="F90" s="7">
        <v>82</v>
      </c>
      <c r="G90" s="7">
        <v>65</v>
      </c>
      <c r="H90" s="87">
        <v>52</v>
      </c>
      <c r="I90" s="45" t="s">
        <v>574</v>
      </c>
      <c r="J90" s="45" t="s">
        <v>575</v>
      </c>
      <c r="K90" s="69" t="s">
        <v>678</v>
      </c>
      <c r="L90" s="69" t="s">
        <v>877</v>
      </c>
      <c r="M90" s="69"/>
      <c r="N90" s="69"/>
      <c r="O90" s="69"/>
      <c r="P90" s="69"/>
      <c r="Q90" s="69"/>
      <c r="R90" s="69"/>
      <c r="S90" s="69"/>
      <c r="T90" s="69"/>
      <c r="U90" s="69"/>
      <c r="V90" s="69"/>
      <c r="W90" s="69"/>
      <c r="X90" s="69"/>
      <c r="Y90" s="18"/>
      <c r="Z90" s="18"/>
      <c r="AA90" s="69"/>
      <c r="AB90" s="69" t="s">
        <v>877</v>
      </c>
      <c r="AC90" s="69" t="s">
        <v>734</v>
      </c>
      <c r="AD90" s="69"/>
      <c r="AE90" s="18"/>
      <c r="AF90" s="69"/>
      <c r="AG90" s="69"/>
      <c r="AH90" s="69"/>
      <c r="AI90" s="69"/>
      <c r="AJ90" s="18"/>
      <c r="AK90" s="69"/>
      <c r="AL90" s="9" t="str">
        <f t="shared" si="12"/>
        <v>IOP5MD[7]</v>
      </c>
      <c r="AM90" s="9" t="str">
        <f t="shared" si="13"/>
        <v>IOP5MD[6]</v>
      </c>
      <c r="AN90" s="9" t="str">
        <f t="shared" si="14"/>
        <v>IOP5MD[5]</v>
      </c>
      <c r="AO90" s="9" t="str">
        <f t="shared" si="15"/>
        <v>IOP5MD[4]</v>
      </c>
      <c r="AP90" s="86"/>
    </row>
    <row r="91" spans="1:42" ht="16.149999999999999">
      <c r="A91" s="61">
        <v>83</v>
      </c>
      <c r="B91" s="7">
        <v>83</v>
      </c>
      <c r="C91" s="7">
        <v>66</v>
      </c>
      <c r="D91" s="87">
        <v>53</v>
      </c>
      <c r="E91" s="87">
        <v>39</v>
      </c>
      <c r="F91" s="7">
        <v>83</v>
      </c>
      <c r="G91" s="7">
        <v>66</v>
      </c>
      <c r="H91" s="87">
        <v>53</v>
      </c>
      <c r="I91" s="45" t="s">
        <v>576</v>
      </c>
      <c r="J91" s="45" t="s">
        <v>577</v>
      </c>
      <c r="K91" s="69" t="s">
        <v>878</v>
      </c>
      <c r="L91" s="69"/>
      <c r="M91" s="69"/>
      <c r="N91" s="69"/>
      <c r="O91" s="69"/>
      <c r="P91" s="69"/>
      <c r="Q91" s="69"/>
      <c r="R91" s="69"/>
      <c r="S91" s="69"/>
      <c r="T91" s="69"/>
      <c r="U91" s="69"/>
      <c r="V91" s="69" t="s">
        <v>878</v>
      </c>
      <c r="W91" s="69" t="s">
        <v>733</v>
      </c>
      <c r="X91" s="69" t="s">
        <v>879</v>
      </c>
      <c r="Y91" s="18" t="s">
        <v>880</v>
      </c>
      <c r="Z91" s="18" t="s">
        <v>881</v>
      </c>
      <c r="AA91" s="69"/>
      <c r="AB91" s="69"/>
      <c r="AC91" s="69"/>
      <c r="AD91" s="69"/>
      <c r="AE91" s="18"/>
      <c r="AF91" s="69"/>
      <c r="AG91" s="69"/>
      <c r="AH91" s="69"/>
      <c r="AI91" s="69"/>
      <c r="AJ91" s="18"/>
      <c r="AK91" s="69"/>
      <c r="AL91" s="9" t="str">
        <f t="shared" si="12"/>
        <v>IOP5MD[3]</v>
      </c>
      <c r="AM91" s="9" t="str">
        <f t="shared" si="13"/>
        <v>IOP5MD[2]</v>
      </c>
      <c r="AN91" s="9" t="str">
        <f t="shared" si="14"/>
        <v>IOP5MD[1]</v>
      </c>
      <c r="AO91" s="9" t="str">
        <f t="shared" si="15"/>
        <v>IOP5MD[0]</v>
      </c>
      <c r="AP91" s="86"/>
    </row>
    <row r="92" spans="1:42" ht="16.149999999999999">
      <c r="A92" s="61">
        <v>84</v>
      </c>
      <c r="B92" s="7">
        <v>84</v>
      </c>
      <c r="C92" s="7">
        <v>67</v>
      </c>
      <c r="D92" s="87"/>
      <c r="E92" s="87"/>
      <c r="F92" s="7">
        <v>84</v>
      </c>
      <c r="G92" s="7">
        <v>67</v>
      </c>
      <c r="H92" s="87"/>
      <c r="I92" s="45" t="s">
        <v>578</v>
      </c>
      <c r="J92" s="45" t="s">
        <v>579</v>
      </c>
      <c r="K92" s="69" t="s">
        <v>882</v>
      </c>
      <c r="L92" s="69"/>
      <c r="M92" s="69"/>
      <c r="N92" s="69"/>
      <c r="O92" s="69"/>
      <c r="P92" s="69"/>
      <c r="Q92" s="69"/>
      <c r="R92" s="69"/>
      <c r="S92" s="69"/>
      <c r="T92" s="69"/>
      <c r="U92" s="69"/>
      <c r="V92" s="69" t="s">
        <v>882</v>
      </c>
      <c r="W92" s="69" t="s">
        <v>732</v>
      </c>
      <c r="X92" s="69"/>
      <c r="Y92" s="18"/>
      <c r="Z92" s="18"/>
      <c r="AA92" s="69"/>
      <c r="AB92" s="69"/>
      <c r="AC92" s="69"/>
      <c r="AD92" s="69"/>
      <c r="AE92" s="18"/>
      <c r="AF92" s="69"/>
      <c r="AG92" s="69"/>
      <c r="AH92" s="69"/>
      <c r="AI92" s="69"/>
      <c r="AJ92" s="18"/>
      <c r="AK92" s="69"/>
      <c r="AL92" s="9" t="str">
        <f t="shared" si="12"/>
        <v>IOP4MD[31]</v>
      </c>
      <c r="AM92" s="9" t="str">
        <f t="shared" si="13"/>
        <v>IOP4MD[30]</v>
      </c>
      <c r="AN92" s="9" t="str">
        <f t="shared" si="14"/>
        <v>IOP4MD[29]</v>
      </c>
      <c r="AO92" s="9" t="str">
        <f t="shared" si="15"/>
        <v>IOP4MD[28]</v>
      </c>
      <c r="AP92" s="86"/>
    </row>
    <row r="93" spans="1:42" ht="16.149999999999999">
      <c r="A93" s="61">
        <v>85</v>
      </c>
      <c r="B93" s="7">
        <v>85</v>
      </c>
      <c r="C93" s="7">
        <v>68</v>
      </c>
      <c r="D93" s="87">
        <v>54</v>
      </c>
      <c r="E93" s="87">
        <v>40</v>
      </c>
      <c r="F93" s="7">
        <v>85</v>
      </c>
      <c r="G93" s="7">
        <v>68</v>
      </c>
      <c r="H93" s="87">
        <v>54</v>
      </c>
      <c r="I93" s="45" t="s">
        <v>580</v>
      </c>
      <c r="J93" s="45" t="s">
        <v>581</v>
      </c>
      <c r="K93" s="69" t="s">
        <v>883</v>
      </c>
      <c r="L93" s="69"/>
      <c r="M93" s="69"/>
      <c r="N93" s="69"/>
      <c r="O93" s="69"/>
      <c r="P93" s="69"/>
      <c r="Q93" s="69"/>
      <c r="R93" s="69"/>
      <c r="S93" s="69"/>
      <c r="T93" s="69"/>
      <c r="U93" s="69"/>
      <c r="V93" s="69" t="s">
        <v>883</v>
      </c>
      <c r="W93" s="69" t="s">
        <v>731</v>
      </c>
      <c r="X93" s="69" t="s">
        <v>884</v>
      </c>
      <c r="Y93" s="18" t="s">
        <v>885</v>
      </c>
      <c r="Z93" s="18"/>
      <c r="AA93" s="69"/>
      <c r="AB93" s="69"/>
      <c r="AC93" s="69"/>
      <c r="AD93" s="69"/>
      <c r="AE93" s="18"/>
      <c r="AF93" s="69"/>
      <c r="AG93" s="69"/>
      <c r="AH93" s="69"/>
      <c r="AI93" s="69"/>
      <c r="AJ93" s="18"/>
      <c r="AK93" s="69"/>
      <c r="AL93" s="9" t="str">
        <f t="shared" si="12"/>
        <v>IOP4MD[27]</v>
      </c>
      <c r="AM93" s="9" t="str">
        <f t="shared" si="13"/>
        <v>IOP4MD[26]</v>
      </c>
      <c r="AN93" s="9" t="str">
        <f t="shared" si="14"/>
        <v>IOP4MD[25]</v>
      </c>
      <c r="AO93" s="9" t="str">
        <f t="shared" si="15"/>
        <v>IOP4MD[24]</v>
      </c>
      <c r="AP93" s="86"/>
    </row>
    <row r="94" spans="1:42" ht="16.149999999999999">
      <c r="A94" s="61">
        <v>86</v>
      </c>
      <c r="B94" s="7">
        <v>86</v>
      </c>
      <c r="C94" s="7">
        <v>69</v>
      </c>
      <c r="D94" s="87">
        <v>55</v>
      </c>
      <c r="E94" s="87">
        <v>41</v>
      </c>
      <c r="F94" s="7">
        <v>86</v>
      </c>
      <c r="G94" s="7">
        <v>69</v>
      </c>
      <c r="H94" s="87">
        <v>55</v>
      </c>
      <c r="I94" s="45" t="s">
        <v>582</v>
      </c>
      <c r="J94" s="45" t="s">
        <v>583</v>
      </c>
      <c r="K94" s="69" t="s">
        <v>886</v>
      </c>
      <c r="L94" s="69"/>
      <c r="M94" s="69"/>
      <c r="N94" s="69"/>
      <c r="O94" s="69"/>
      <c r="P94" s="69"/>
      <c r="Q94" s="69"/>
      <c r="R94" s="69"/>
      <c r="S94" s="69"/>
      <c r="T94" s="69"/>
      <c r="U94" s="69"/>
      <c r="V94" s="69" t="s">
        <v>886</v>
      </c>
      <c r="W94" s="69" t="s">
        <v>730</v>
      </c>
      <c r="X94" s="69" t="s">
        <v>887</v>
      </c>
      <c r="Y94" s="18" t="s">
        <v>888</v>
      </c>
      <c r="Z94" s="18" t="s">
        <v>889</v>
      </c>
      <c r="AA94" s="69"/>
      <c r="AB94" s="69"/>
      <c r="AC94" s="69"/>
      <c r="AD94" s="69"/>
      <c r="AE94" s="18"/>
      <c r="AF94" s="69"/>
      <c r="AG94" s="69"/>
      <c r="AH94" s="69"/>
      <c r="AI94" s="69"/>
      <c r="AJ94" s="18"/>
      <c r="AK94" s="69"/>
      <c r="AL94" s="9" t="str">
        <f t="shared" si="12"/>
        <v>IOP4MD[23]</v>
      </c>
      <c r="AM94" s="9" t="str">
        <f t="shared" si="13"/>
        <v>IOP4MD[22]</v>
      </c>
      <c r="AN94" s="9" t="str">
        <f t="shared" si="14"/>
        <v>IOP4MD[21]</v>
      </c>
      <c r="AO94" s="9" t="str">
        <f t="shared" si="15"/>
        <v>IOP4MD[20]</v>
      </c>
      <c r="AP94" s="86"/>
    </row>
    <row r="95" spans="1:42" ht="16.149999999999999">
      <c r="A95" s="61">
        <v>87</v>
      </c>
      <c r="B95" s="7">
        <v>87</v>
      </c>
      <c r="C95" s="7">
        <v>70</v>
      </c>
      <c r="D95" s="87">
        <v>56</v>
      </c>
      <c r="E95" s="87">
        <v>42</v>
      </c>
      <c r="F95" s="7">
        <v>87</v>
      </c>
      <c r="G95" s="7">
        <v>70</v>
      </c>
      <c r="H95" s="87">
        <v>56</v>
      </c>
      <c r="I95" s="45" t="s">
        <v>584</v>
      </c>
      <c r="J95" s="45" t="s">
        <v>585</v>
      </c>
      <c r="K95" s="69" t="s">
        <v>890</v>
      </c>
      <c r="L95" s="69"/>
      <c r="M95" s="69"/>
      <c r="N95" s="69"/>
      <c r="O95" s="69"/>
      <c r="P95" s="69"/>
      <c r="Q95" s="69"/>
      <c r="R95" s="69"/>
      <c r="S95" s="69"/>
      <c r="T95" s="69"/>
      <c r="U95" s="69"/>
      <c r="V95" s="69" t="s">
        <v>890</v>
      </c>
      <c r="W95" s="69" t="s">
        <v>729</v>
      </c>
      <c r="X95" s="69" t="s">
        <v>891</v>
      </c>
      <c r="Y95" s="18" t="s">
        <v>880</v>
      </c>
      <c r="Z95" s="18" t="s">
        <v>885</v>
      </c>
      <c r="AA95" s="69"/>
      <c r="AB95" s="69"/>
      <c r="AC95" s="69"/>
      <c r="AD95" s="69"/>
      <c r="AE95" s="18"/>
      <c r="AF95" s="69"/>
      <c r="AG95" s="69"/>
      <c r="AH95" s="69"/>
      <c r="AI95" s="69"/>
      <c r="AJ95" s="18"/>
      <c r="AK95" s="69"/>
      <c r="AL95" s="9" t="str">
        <f t="shared" si="12"/>
        <v>IOP4MD[19]</v>
      </c>
      <c r="AM95" s="9" t="str">
        <f t="shared" si="13"/>
        <v>IOP4MD[18]</v>
      </c>
      <c r="AN95" s="9" t="str">
        <f t="shared" si="14"/>
        <v>IOP4MD[17]</v>
      </c>
      <c r="AO95" s="9" t="str">
        <f t="shared" si="15"/>
        <v>IOP4MD[16]</v>
      </c>
      <c r="AP95" s="86"/>
    </row>
    <row r="96" spans="1:42" ht="16.149999999999999">
      <c r="A96" s="61">
        <v>88</v>
      </c>
      <c r="B96" s="7">
        <v>88</v>
      </c>
      <c r="C96" s="7">
        <v>71</v>
      </c>
      <c r="D96" s="87"/>
      <c r="E96" s="87"/>
      <c r="F96" s="7">
        <v>88</v>
      </c>
      <c r="G96" s="7">
        <v>71</v>
      </c>
      <c r="H96" s="87"/>
      <c r="I96" s="45" t="s">
        <v>586</v>
      </c>
      <c r="J96" s="45" t="s">
        <v>587</v>
      </c>
      <c r="K96" s="69" t="s">
        <v>892</v>
      </c>
      <c r="L96" s="69"/>
      <c r="M96" s="69"/>
      <c r="N96" s="69"/>
      <c r="O96" s="69"/>
      <c r="P96" s="69"/>
      <c r="Q96" s="69"/>
      <c r="R96" s="69"/>
      <c r="S96" s="69"/>
      <c r="T96" s="69"/>
      <c r="U96" s="69"/>
      <c r="V96" s="69" t="s">
        <v>892</v>
      </c>
      <c r="W96" s="69" t="s">
        <v>728</v>
      </c>
      <c r="X96" s="69"/>
      <c r="Y96" s="18"/>
      <c r="Z96" s="18"/>
      <c r="AA96" s="69"/>
      <c r="AB96" s="69"/>
      <c r="AC96" s="69"/>
      <c r="AD96" s="69"/>
      <c r="AE96" s="18"/>
      <c r="AF96" s="69"/>
      <c r="AG96" s="69"/>
      <c r="AH96" s="69"/>
      <c r="AI96" s="69"/>
      <c r="AJ96" s="18"/>
      <c r="AK96" s="69"/>
      <c r="AL96" s="9" t="str">
        <f t="shared" si="12"/>
        <v>IOP4MD[15]</v>
      </c>
      <c r="AM96" s="9" t="str">
        <f t="shared" si="13"/>
        <v>IOP4MD[14]</v>
      </c>
      <c r="AN96" s="9" t="str">
        <f t="shared" si="14"/>
        <v>IOP4MD[13]</v>
      </c>
      <c r="AO96" s="9" t="str">
        <f t="shared" si="15"/>
        <v>IOP4MD[12]</v>
      </c>
      <c r="AP96" s="86"/>
    </row>
    <row r="97" spans="1:42" ht="16.149999999999999">
      <c r="A97" s="61">
        <v>89</v>
      </c>
      <c r="B97" s="7">
        <v>89</v>
      </c>
      <c r="C97" s="7">
        <v>72</v>
      </c>
      <c r="D97" s="87">
        <v>57</v>
      </c>
      <c r="E97" s="87">
        <v>43</v>
      </c>
      <c r="F97" s="7">
        <v>89</v>
      </c>
      <c r="G97" s="7">
        <v>72</v>
      </c>
      <c r="H97" s="87">
        <v>57</v>
      </c>
      <c r="I97" s="45" t="s">
        <v>588</v>
      </c>
      <c r="J97" s="45" t="s">
        <v>589</v>
      </c>
      <c r="K97" s="69" t="s">
        <v>893</v>
      </c>
      <c r="L97" s="69"/>
      <c r="M97" s="69"/>
      <c r="N97" s="69"/>
      <c r="O97" s="69"/>
      <c r="P97" s="69"/>
      <c r="Q97" s="69"/>
      <c r="R97" s="69"/>
      <c r="S97" s="69"/>
      <c r="T97" s="69"/>
      <c r="U97" s="69"/>
      <c r="V97" s="69" t="s">
        <v>893</v>
      </c>
      <c r="W97" s="69" t="s">
        <v>727</v>
      </c>
      <c r="X97" s="69" t="s">
        <v>894</v>
      </c>
      <c r="Y97" s="18"/>
      <c r="Z97" s="18"/>
      <c r="AA97" s="69"/>
      <c r="AB97" s="69"/>
      <c r="AC97" s="69"/>
      <c r="AD97" s="69"/>
      <c r="AE97" s="18"/>
      <c r="AF97" s="69"/>
      <c r="AG97" s="69"/>
      <c r="AH97" s="69"/>
      <c r="AI97" s="69"/>
      <c r="AJ97" s="18"/>
      <c r="AK97" s="69"/>
      <c r="AL97" s="9" t="str">
        <f t="shared" si="12"/>
        <v>IOP4MD[11]</v>
      </c>
      <c r="AM97" s="9" t="str">
        <f t="shared" si="13"/>
        <v>IOP4MD[10]</v>
      </c>
      <c r="AN97" s="9" t="str">
        <f t="shared" si="14"/>
        <v>IOP4MD[9]</v>
      </c>
      <c r="AO97" s="9" t="str">
        <f t="shared" si="15"/>
        <v>IOP4MD[8]</v>
      </c>
      <c r="AP97" s="86"/>
    </row>
    <row r="98" spans="1:42" ht="16.149999999999999">
      <c r="A98" s="61">
        <v>90</v>
      </c>
      <c r="B98" s="7">
        <v>90</v>
      </c>
      <c r="C98" s="7">
        <v>73</v>
      </c>
      <c r="D98" s="87">
        <v>58</v>
      </c>
      <c r="E98" s="87">
        <v>44</v>
      </c>
      <c r="F98" s="7">
        <v>90</v>
      </c>
      <c r="G98" s="7">
        <v>73</v>
      </c>
      <c r="H98" s="87">
        <v>58</v>
      </c>
      <c r="I98" s="45" t="s">
        <v>590</v>
      </c>
      <c r="J98" s="45" t="s">
        <v>591</v>
      </c>
      <c r="K98" s="69" t="s">
        <v>895</v>
      </c>
      <c r="L98" s="69"/>
      <c r="M98" s="69"/>
      <c r="N98" s="69"/>
      <c r="O98" s="69"/>
      <c r="P98" s="69"/>
      <c r="Q98" s="69"/>
      <c r="R98" s="69"/>
      <c r="S98" s="69"/>
      <c r="T98" s="69"/>
      <c r="U98" s="69"/>
      <c r="V98" s="69" t="s">
        <v>895</v>
      </c>
      <c r="W98" s="69" t="s">
        <v>726</v>
      </c>
      <c r="X98" s="69" t="s">
        <v>896</v>
      </c>
      <c r="Y98" s="18"/>
      <c r="Z98" s="18"/>
      <c r="AA98" s="69"/>
      <c r="AB98" s="69"/>
      <c r="AC98" s="69"/>
      <c r="AD98" s="69"/>
      <c r="AE98" s="18"/>
      <c r="AF98" s="69"/>
      <c r="AG98" s="69"/>
      <c r="AH98" s="69"/>
      <c r="AI98" s="69"/>
      <c r="AJ98" s="18"/>
      <c r="AK98" s="69"/>
      <c r="AL98" s="9" t="str">
        <f t="shared" si="12"/>
        <v>IOP4MD[7]</v>
      </c>
      <c r="AM98" s="9" t="str">
        <f t="shared" si="13"/>
        <v>IOP4MD[6]</v>
      </c>
      <c r="AN98" s="9" t="str">
        <f t="shared" si="14"/>
        <v>IOP4MD[5]</v>
      </c>
      <c r="AO98" s="9" t="str">
        <f t="shared" si="15"/>
        <v>IOP4MD[4]</v>
      </c>
      <c r="AP98" s="86"/>
    </row>
    <row r="99" spans="1:42" ht="16.149999999999999">
      <c r="A99" s="61">
        <v>91</v>
      </c>
      <c r="B99" s="7">
        <v>91</v>
      </c>
      <c r="C99" s="7">
        <v>74</v>
      </c>
      <c r="D99" s="87">
        <v>59</v>
      </c>
      <c r="E99" s="87">
        <v>45</v>
      </c>
      <c r="F99" s="7">
        <v>91</v>
      </c>
      <c r="G99" s="7">
        <v>74</v>
      </c>
      <c r="H99" s="87">
        <v>59</v>
      </c>
      <c r="I99" s="45" t="s">
        <v>592</v>
      </c>
      <c r="J99" s="45" t="s">
        <v>593</v>
      </c>
      <c r="K99" s="69" t="s">
        <v>897</v>
      </c>
      <c r="L99" s="69"/>
      <c r="M99" s="69"/>
      <c r="N99" s="69"/>
      <c r="O99" s="69"/>
      <c r="P99" s="69"/>
      <c r="Q99" s="69"/>
      <c r="R99" s="69"/>
      <c r="S99" s="69"/>
      <c r="T99" s="69"/>
      <c r="U99" s="69"/>
      <c r="V99" s="69" t="s">
        <v>897</v>
      </c>
      <c r="W99" s="69" t="s">
        <v>725</v>
      </c>
      <c r="X99" s="69" t="s">
        <v>898</v>
      </c>
      <c r="Y99" s="18" t="s">
        <v>889</v>
      </c>
      <c r="Z99" s="18"/>
      <c r="AA99" s="69"/>
      <c r="AB99" s="69"/>
      <c r="AC99" s="69"/>
      <c r="AD99" s="69"/>
      <c r="AE99" s="18"/>
      <c r="AF99" s="69"/>
      <c r="AG99" s="69"/>
      <c r="AH99" s="69"/>
      <c r="AI99" s="69"/>
      <c r="AJ99" s="18"/>
      <c r="AK99" s="69"/>
      <c r="AL99" s="9" t="str">
        <f t="shared" si="12"/>
        <v>IOP4MD[3]</v>
      </c>
      <c r="AM99" s="9" t="str">
        <f t="shared" si="13"/>
        <v>IOP4MD[2]</v>
      </c>
      <c r="AN99" s="9" t="str">
        <f t="shared" si="14"/>
        <v>IOP4MD[1]</v>
      </c>
      <c r="AO99" s="9" t="str">
        <f t="shared" si="15"/>
        <v>IOP4MD[0]</v>
      </c>
      <c r="AP99" s="86"/>
    </row>
    <row r="100" spans="1:42" ht="16.149999999999999">
      <c r="A100" s="61">
        <v>92</v>
      </c>
      <c r="B100" s="7">
        <v>92</v>
      </c>
      <c r="C100" s="7">
        <v>75</v>
      </c>
      <c r="D100" s="87">
        <v>60</v>
      </c>
      <c r="E100" s="87">
        <v>46</v>
      </c>
      <c r="F100" s="7">
        <v>92</v>
      </c>
      <c r="G100" s="7">
        <v>75</v>
      </c>
      <c r="H100" s="87">
        <v>60</v>
      </c>
      <c r="I100" s="45" t="s">
        <v>216</v>
      </c>
      <c r="J100" s="45" t="s">
        <v>217</v>
      </c>
      <c r="K100" s="69" t="s">
        <v>899</v>
      </c>
      <c r="L100" s="69"/>
      <c r="M100" s="69"/>
      <c r="N100" s="69"/>
      <c r="O100" s="69"/>
      <c r="P100" s="69"/>
      <c r="Q100" s="69"/>
      <c r="R100" s="69"/>
      <c r="S100" s="69"/>
      <c r="T100" s="69"/>
      <c r="U100" s="69"/>
      <c r="V100" s="69" t="s">
        <v>899</v>
      </c>
      <c r="W100" s="69" t="s">
        <v>747</v>
      </c>
      <c r="X100" s="69" t="s">
        <v>900</v>
      </c>
      <c r="Y100" s="18" t="s">
        <v>888</v>
      </c>
      <c r="Z100" s="18" t="s">
        <v>901</v>
      </c>
      <c r="AA100" s="69"/>
      <c r="AB100" s="69"/>
      <c r="AC100" s="69"/>
      <c r="AD100" s="69"/>
      <c r="AE100" s="18"/>
      <c r="AF100" s="69"/>
      <c r="AG100" s="69"/>
      <c r="AH100" s="69"/>
      <c r="AI100" s="69"/>
      <c r="AJ100" s="18"/>
      <c r="AK100" s="69"/>
      <c r="AL100" s="9" t="str">
        <f t="shared" si="12"/>
        <v>IOPFMD[19]</v>
      </c>
      <c r="AM100" s="9" t="str">
        <f t="shared" si="13"/>
        <v>IOPFMD[18]</v>
      </c>
      <c r="AN100" s="9" t="str">
        <f t="shared" si="14"/>
        <v>IOPFMD[17]</v>
      </c>
      <c r="AO100" s="9" t="str">
        <f t="shared" si="15"/>
        <v>IOPFMD[16]</v>
      </c>
      <c r="AP100" s="86"/>
    </row>
    <row r="101" spans="1:42" ht="16.149999999999999">
      <c r="A101" s="61">
        <v>93</v>
      </c>
      <c r="B101" s="7">
        <v>93</v>
      </c>
      <c r="C101" s="7">
        <v>76</v>
      </c>
      <c r="D101" s="87">
        <v>61</v>
      </c>
      <c r="E101" s="87">
        <v>47</v>
      </c>
      <c r="F101" s="7">
        <v>93</v>
      </c>
      <c r="G101" s="7">
        <v>76</v>
      </c>
      <c r="H101" s="87">
        <v>61</v>
      </c>
      <c r="I101" s="45" t="s">
        <v>110</v>
      </c>
      <c r="J101" s="45" t="s">
        <v>492</v>
      </c>
      <c r="K101" s="69"/>
      <c r="L101" s="69"/>
      <c r="M101" s="69"/>
      <c r="N101" s="69"/>
      <c r="O101" s="69"/>
      <c r="P101" s="69"/>
      <c r="Q101" s="69"/>
      <c r="R101" s="69"/>
      <c r="S101" s="69"/>
      <c r="T101" s="69"/>
      <c r="U101" s="69"/>
      <c r="V101" s="69"/>
      <c r="W101" s="69"/>
      <c r="X101" s="69"/>
      <c r="Y101" s="18"/>
      <c r="Z101" s="18"/>
      <c r="AA101" s="69"/>
      <c r="AB101" s="69"/>
      <c r="AC101" s="69"/>
      <c r="AD101" s="69"/>
      <c r="AE101" s="18"/>
      <c r="AF101" s="69"/>
      <c r="AG101" s="69"/>
      <c r="AH101" s="69"/>
      <c r="AI101" s="69"/>
      <c r="AJ101" s="18"/>
      <c r="AK101" s="69"/>
      <c r="AL101" s="9" t="str">
        <f t="shared" si="12"/>
        <v/>
      </c>
      <c r="AM101" s="9" t="str">
        <f t="shared" si="13"/>
        <v/>
      </c>
      <c r="AN101" s="9" t="str">
        <f t="shared" si="14"/>
        <v/>
      </c>
      <c r="AO101" s="9" t="str">
        <f t="shared" si="15"/>
        <v/>
      </c>
      <c r="AP101" s="86"/>
    </row>
    <row r="102" spans="1:42" ht="16.149999999999999">
      <c r="A102" s="61">
        <v>94</v>
      </c>
      <c r="B102" s="7">
        <v>94</v>
      </c>
      <c r="C102" s="7">
        <v>77</v>
      </c>
      <c r="D102" s="87">
        <v>62</v>
      </c>
      <c r="E102" s="87"/>
      <c r="F102" s="7">
        <v>94</v>
      </c>
      <c r="G102" s="7">
        <v>77</v>
      </c>
      <c r="H102" s="87">
        <v>62</v>
      </c>
      <c r="I102" s="45" t="s">
        <v>212</v>
      </c>
      <c r="J102" s="45" t="s">
        <v>213</v>
      </c>
      <c r="K102" s="69" t="s">
        <v>679</v>
      </c>
      <c r="L102" s="69" t="s">
        <v>694</v>
      </c>
      <c r="M102" s="69" t="s">
        <v>715</v>
      </c>
      <c r="N102" s="69" t="s">
        <v>841</v>
      </c>
      <c r="O102" s="69"/>
      <c r="P102" s="69"/>
      <c r="Q102" s="69"/>
      <c r="R102" s="69"/>
      <c r="S102" s="69"/>
      <c r="T102" s="69"/>
      <c r="U102" s="69"/>
      <c r="V102" s="69"/>
      <c r="W102" s="69"/>
      <c r="X102" s="69"/>
      <c r="Y102" s="18"/>
      <c r="Z102" s="18"/>
      <c r="AA102" s="69"/>
      <c r="AB102" s="69"/>
      <c r="AC102" s="69"/>
      <c r="AD102" s="69"/>
      <c r="AE102" s="18"/>
      <c r="AF102" s="69"/>
      <c r="AG102" s="69"/>
      <c r="AH102" s="69"/>
      <c r="AI102" s="69"/>
      <c r="AJ102" s="18"/>
      <c r="AK102" s="69"/>
      <c r="AL102" s="9" t="str">
        <f t="shared" si="12"/>
        <v>IOPFMD[23]</v>
      </c>
      <c r="AM102" s="9" t="str">
        <f t="shared" si="13"/>
        <v>IOPFMD[22]</v>
      </c>
      <c r="AN102" s="9" t="str">
        <f t="shared" si="14"/>
        <v>IOPFMD[21]</v>
      </c>
      <c r="AO102" s="9" t="str">
        <f t="shared" si="15"/>
        <v>IOPFMD[20]</v>
      </c>
      <c r="AP102" s="86"/>
    </row>
    <row r="103" spans="1:42" ht="16.149999999999999">
      <c r="A103" s="61">
        <v>95</v>
      </c>
      <c r="B103" s="7">
        <v>95</v>
      </c>
      <c r="C103" s="7">
        <v>78</v>
      </c>
      <c r="D103" s="87">
        <v>63</v>
      </c>
      <c r="E103" s="87">
        <v>48</v>
      </c>
      <c r="F103" s="7">
        <v>95</v>
      </c>
      <c r="G103" s="7">
        <v>78</v>
      </c>
      <c r="H103" s="87">
        <v>63</v>
      </c>
      <c r="I103" s="45" t="s">
        <v>108</v>
      </c>
      <c r="J103" s="45" t="s">
        <v>109</v>
      </c>
      <c r="K103" s="69"/>
      <c r="L103" s="69"/>
      <c r="M103" s="69"/>
      <c r="N103" s="69"/>
      <c r="O103" s="69"/>
      <c r="P103" s="69"/>
      <c r="Q103" s="69"/>
      <c r="R103" s="69"/>
      <c r="S103" s="69"/>
      <c r="T103" s="69"/>
      <c r="U103" s="69"/>
      <c r="V103" s="69"/>
      <c r="W103" s="69"/>
      <c r="X103" s="69"/>
      <c r="Y103" s="18"/>
      <c r="Z103" s="18"/>
      <c r="AA103" s="69"/>
      <c r="AB103" s="69"/>
      <c r="AC103" s="69"/>
      <c r="AD103" s="69"/>
      <c r="AE103" s="18"/>
      <c r="AF103" s="69"/>
      <c r="AG103" s="69"/>
      <c r="AH103" s="69"/>
      <c r="AI103" s="69"/>
      <c r="AJ103" s="18"/>
      <c r="AK103" s="69"/>
      <c r="AL103" s="9" t="str">
        <f t="shared" si="12"/>
        <v/>
      </c>
      <c r="AM103" s="9" t="str">
        <f t="shared" si="13"/>
        <v/>
      </c>
      <c r="AN103" s="9" t="str">
        <f t="shared" si="14"/>
        <v/>
      </c>
      <c r="AO103" s="9" t="str">
        <f t="shared" si="15"/>
        <v/>
      </c>
      <c r="AP103" s="86"/>
    </row>
    <row r="104" spans="1:42" ht="16.149999999999999">
      <c r="A104" s="61">
        <v>96</v>
      </c>
      <c r="B104" s="7">
        <v>96</v>
      </c>
      <c r="C104" s="7"/>
      <c r="D104" s="87"/>
      <c r="E104" s="87"/>
      <c r="F104" s="7">
        <v>96</v>
      </c>
      <c r="G104" s="7"/>
      <c r="H104" s="87"/>
      <c r="I104" s="45" t="s">
        <v>594</v>
      </c>
      <c r="J104" s="45" t="s">
        <v>595</v>
      </c>
      <c r="K104" s="69" t="s">
        <v>696</v>
      </c>
      <c r="L104" s="69" t="s">
        <v>702</v>
      </c>
      <c r="M104" s="18" t="s">
        <v>820</v>
      </c>
      <c r="N104" s="69"/>
      <c r="O104" s="69"/>
      <c r="P104" s="69"/>
      <c r="Q104" s="69"/>
      <c r="R104" s="69"/>
      <c r="S104" s="69"/>
      <c r="T104" s="69"/>
      <c r="U104" s="69"/>
      <c r="V104" s="69"/>
      <c r="W104" s="69"/>
      <c r="X104" s="69"/>
      <c r="Y104" s="18"/>
      <c r="Z104" s="18"/>
      <c r="AA104" s="69"/>
      <c r="AB104" s="69"/>
      <c r="AC104" s="69"/>
      <c r="AD104" s="69"/>
      <c r="AE104" s="18"/>
      <c r="AF104" s="69"/>
      <c r="AG104" s="69"/>
      <c r="AH104" s="69"/>
      <c r="AI104" s="69"/>
      <c r="AJ104" s="18"/>
      <c r="AK104" s="69"/>
      <c r="AL104" s="9" t="str">
        <f t="shared" si="12"/>
        <v>IOP8MD[11]</v>
      </c>
      <c r="AM104" s="9" t="str">
        <f t="shared" si="13"/>
        <v>IOP8MD[10]</v>
      </c>
      <c r="AN104" s="9" t="str">
        <f t="shared" si="14"/>
        <v>IOP8MD[9]</v>
      </c>
      <c r="AO104" s="9" t="str">
        <f t="shared" si="15"/>
        <v>IOP8MD[8]</v>
      </c>
      <c r="AP104" s="86"/>
    </row>
    <row r="105" spans="1:42" ht="16.149999999999999">
      <c r="A105" s="61">
        <v>97</v>
      </c>
      <c r="B105" s="7">
        <v>97</v>
      </c>
      <c r="C105" s="7"/>
      <c r="D105" s="87"/>
      <c r="E105" s="87"/>
      <c r="F105" s="7">
        <v>97</v>
      </c>
      <c r="G105" s="7"/>
      <c r="H105" s="87"/>
      <c r="I105" s="45" t="s">
        <v>596</v>
      </c>
      <c r="J105" s="45" t="s">
        <v>597</v>
      </c>
      <c r="K105" s="69" t="s">
        <v>697</v>
      </c>
      <c r="L105" s="69" t="s">
        <v>705</v>
      </c>
      <c r="M105" s="18" t="s">
        <v>821</v>
      </c>
      <c r="N105" s="18" t="s">
        <v>822</v>
      </c>
      <c r="O105" s="69"/>
      <c r="P105" s="69"/>
      <c r="Q105" s="69"/>
      <c r="R105" s="69"/>
      <c r="S105" s="69"/>
      <c r="T105" s="69"/>
      <c r="U105" s="69"/>
      <c r="V105" s="69"/>
      <c r="W105" s="69"/>
      <c r="X105" s="69"/>
      <c r="Y105" s="18"/>
      <c r="Z105" s="18"/>
      <c r="AA105" s="69"/>
      <c r="AB105" s="69"/>
      <c r="AC105" s="69"/>
      <c r="AD105" s="69"/>
      <c r="AE105" s="18"/>
      <c r="AF105" s="69"/>
      <c r="AG105" s="69"/>
      <c r="AH105" s="69"/>
      <c r="AI105" s="69"/>
      <c r="AJ105" s="18"/>
      <c r="AK105" s="69"/>
      <c r="AL105" s="9" t="str">
        <f t="shared" si="12"/>
        <v>IOP8MD[7]</v>
      </c>
      <c r="AM105" s="9" t="str">
        <f t="shared" si="13"/>
        <v>IOP8MD[6]</v>
      </c>
      <c r="AN105" s="9" t="str">
        <f t="shared" si="14"/>
        <v>IOP8MD[5]</v>
      </c>
      <c r="AO105" s="9" t="str">
        <f t="shared" si="15"/>
        <v>IOP8MD[4]</v>
      </c>
      <c r="AP105" s="86"/>
    </row>
    <row r="106" spans="1:42" ht="16.149999999999999">
      <c r="A106" s="61">
        <v>98</v>
      </c>
      <c r="B106" s="7">
        <v>98</v>
      </c>
      <c r="C106" s="7"/>
      <c r="D106" s="87"/>
      <c r="E106" s="87"/>
      <c r="F106" s="7">
        <v>98</v>
      </c>
      <c r="G106" s="7"/>
      <c r="H106" s="87"/>
      <c r="I106" s="45" t="s">
        <v>598</v>
      </c>
      <c r="J106" s="45" t="s">
        <v>599</v>
      </c>
      <c r="K106" s="69" t="s">
        <v>679</v>
      </c>
      <c r="L106" s="69" t="s">
        <v>717</v>
      </c>
      <c r="M106" s="18" t="s">
        <v>821</v>
      </c>
      <c r="N106" s="18" t="s">
        <v>822</v>
      </c>
      <c r="O106" s="69" t="s">
        <v>820</v>
      </c>
      <c r="P106" s="69"/>
      <c r="Q106" s="69"/>
      <c r="R106" s="69"/>
      <c r="S106" s="69"/>
      <c r="T106" s="69"/>
      <c r="U106" s="69"/>
      <c r="V106" s="69"/>
      <c r="W106" s="69"/>
      <c r="X106" s="69"/>
      <c r="Y106" s="18"/>
      <c r="Z106" s="18"/>
      <c r="AA106" s="69"/>
      <c r="AB106" s="69"/>
      <c r="AC106" s="69"/>
      <c r="AD106" s="69"/>
      <c r="AE106" s="18"/>
      <c r="AF106" s="69"/>
      <c r="AG106" s="69"/>
      <c r="AH106" s="69"/>
      <c r="AI106" s="69"/>
      <c r="AJ106" s="18"/>
      <c r="AK106" s="69"/>
      <c r="AL106" s="9" t="str">
        <f t="shared" si="12"/>
        <v>IOP8MD[3]</v>
      </c>
      <c r="AM106" s="9" t="str">
        <f t="shared" si="13"/>
        <v>IOP8MD[2]</v>
      </c>
      <c r="AN106" s="9" t="str">
        <f t="shared" si="14"/>
        <v>IOP8MD[1]</v>
      </c>
      <c r="AO106" s="9" t="str">
        <f t="shared" si="15"/>
        <v>IOP8MD[0]</v>
      </c>
      <c r="AP106" s="86"/>
    </row>
    <row r="107" spans="1:42" ht="16.149999999999999">
      <c r="A107" s="61">
        <v>99</v>
      </c>
      <c r="B107" s="7">
        <v>99</v>
      </c>
      <c r="C107" s="7">
        <v>79</v>
      </c>
      <c r="D107" s="87">
        <v>64</v>
      </c>
      <c r="E107" s="87"/>
      <c r="F107" s="7">
        <v>99</v>
      </c>
      <c r="G107" s="7">
        <v>79</v>
      </c>
      <c r="H107" s="87">
        <v>64</v>
      </c>
      <c r="I107" s="45" t="s">
        <v>600</v>
      </c>
      <c r="J107" s="45" t="s">
        <v>601</v>
      </c>
      <c r="K107" s="69" t="s">
        <v>659</v>
      </c>
      <c r="L107" s="69" t="s">
        <v>693</v>
      </c>
      <c r="M107" s="69" t="s">
        <v>714</v>
      </c>
      <c r="N107" s="69" t="s">
        <v>844</v>
      </c>
      <c r="O107" s="69"/>
      <c r="P107" s="69"/>
      <c r="Q107" s="69"/>
      <c r="R107" s="69"/>
      <c r="S107" s="69"/>
      <c r="T107" s="69"/>
      <c r="U107" s="69"/>
      <c r="V107" s="69"/>
      <c r="W107" s="69"/>
      <c r="X107" s="69"/>
      <c r="Y107" s="18"/>
      <c r="Z107" s="18"/>
      <c r="AA107" s="69"/>
      <c r="AB107" s="69"/>
      <c r="AC107" s="69"/>
      <c r="AD107" s="69"/>
      <c r="AE107" s="18"/>
      <c r="AF107" s="69"/>
      <c r="AG107" s="69"/>
      <c r="AH107" s="69"/>
      <c r="AI107" s="69"/>
      <c r="AJ107" s="18"/>
      <c r="AK107" s="69"/>
      <c r="AL107" s="9" t="str">
        <f t="shared" si="12"/>
        <v>IOP1MD[7]</v>
      </c>
      <c r="AM107" s="9" t="str">
        <f t="shared" si="13"/>
        <v>IOP1MD[6]</v>
      </c>
      <c r="AN107" s="9" t="str">
        <f t="shared" si="14"/>
        <v>IOP1MD[5]</v>
      </c>
      <c r="AO107" s="9" t="str">
        <f t="shared" si="15"/>
        <v>IOP1MD[4]</v>
      </c>
      <c r="AP107" s="86"/>
    </row>
    <row r="108" spans="1:42" ht="16.149999999999999">
      <c r="A108" s="61">
        <v>100</v>
      </c>
      <c r="B108" s="7">
        <v>100</v>
      </c>
      <c r="C108" s="7">
        <v>80</v>
      </c>
      <c r="D108" s="87"/>
      <c r="E108" s="87"/>
      <c r="F108" s="7">
        <v>100</v>
      </c>
      <c r="G108" s="7">
        <v>80</v>
      </c>
      <c r="H108" s="87"/>
      <c r="I108" s="45" t="s">
        <v>602</v>
      </c>
      <c r="J108" s="45" t="s">
        <v>603</v>
      </c>
      <c r="K108" s="69" t="s">
        <v>658</v>
      </c>
      <c r="L108" s="69" t="s">
        <v>671</v>
      </c>
      <c r="M108" s="69" t="s">
        <v>678</v>
      </c>
      <c r="N108" s="69" t="s">
        <v>715</v>
      </c>
      <c r="O108" s="69" t="s">
        <v>721</v>
      </c>
      <c r="P108" s="18" t="s">
        <v>824</v>
      </c>
      <c r="Q108" s="69"/>
      <c r="R108" s="69"/>
      <c r="S108" s="69"/>
      <c r="T108" s="69"/>
      <c r="U108" s="69"/>
      <c r="V108" s="69"/>
      <c r="W108" s="69"/>
      <c r="X108" s="69"/>
      <c r="Y108" s="18"/>
      <c r="Z108" s="18"/>
      <c r="AA108" s="69"/>
      <c r="AB108" s="69"/>
      <c r="AC108" s="69"/>
      <c r="AD108" s="69"/>
      <c r="AE108" s="18"/>
      <c r="AF108" s="69"/>
      <c r="AG108" s="69"/>
      <c r="AH108" s="69"/>
      <c r="AI108" s="69"/>
      <c r="AJ108" s="18"/>
      <c r="AK108" s="69"/>
      <c r="AL108" s="9" t="str">
        <f t="shared" si="12"/>
        <v>IOP1MD[3]</v>
      </c>
      <c r="AM108" s="9" t="str">
        <f t="shared" si="13"/>
        <v>IOP1MD[2]</v>
      </c>
      <c r="AN108" s="9" t="str">
        <f t="shared" si="14"/>
        <v>IOP1MD[1]</v>
      </c>
      <c r="AO108" s="9" t="str">
        <f t="shared" si="15"/>
        <v>IOP1MD[0]</v>
      </c>
      <c r="AP108" s="86"/>
    </row>
  </sheetData>
  <autoFilter ref="A1:AP108" xr:uid="{00000000-0009-0000-0000-000006000000}"/>
  <mergeCells count="1">
    <mergeCell ref="Y1:Z1"/>
  </mergeCells>
  <phoneticPr fontId="47"/>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B1:H250"/>
  <sheetViews>
    <sheetView zoomScaleNormal="100" workbookViewId="0">
      <pane xSplit="2" ySplit="3" topLeftCell="C4" activePane="bottomRight" state="frozen"/>
      <selection pane="bottomRight" activeCell="G43" sqref="G43"/>
      <selection pane="bottomLeft" activeCell="H40" sqref="H40"/>
      <selection pane="topRight" activeCell="H40" sqref="H40"/>
    </sheetView>
  </sheetViews>
  <sheetFormatPr defaultColWidth="9.140625" defaultRowHeight="13.15"/>
  <cols>
    <col min="1" max="1" width="3.5703125" style="100" customWidth="1"/>
    <col min="2" max="2" width="27.140625" style="100" bestFit="1" customWidth="1"/>
    <col min="3" max="3" width="16.42578125" style="100" customWidth="1"/>
    <col min="4" max="4" width="15.28515625" style="100" customWidth="1"/>
    <col min="5" max="5" width="17.28515625" style="100" bestFit="1" customWidth="1"/>
    <col min="6" max="6" width="23.5703125" style="100" customWidth="1"/>
    <col min="7" max="7" width="19.140625" style="100" customWidth="1"/>
    <col min="8" max="8" width="25.7109375" style="100" bestFit="1" customWidth="1"/>
    <col min="9" max="9" width="19.85546875" style="100" bestFit="1" customWidth="1"/>
    <col min="10" max="10" width="10.5703125" style="100" bestFit="1" customWidth="1"/>
    <col min="11" max="12" width="18.5703125" style="100" bestFit="1" customWidth="1"/>
    <col min="13" max="13" width="10.140625" style="100" bestFit="1" customWidth="1"/>
    <col min="14" max="14" width="11.42578125" style="100" bestFit="1" customWidth="1"/>
    <col min="15" max="16384" width="9.140625" style="100"/>
  </cols>
  <sheetData>
    <row r="1" spans="2:8" ht="15.6" customHeight="1" thickBot="1"/>
    <row r="2" spans="2:8" ht="15.6" customHeight="1">
      <c r="B2" s="145" t="s">
        <v>902</v>
      </c>
      <c r="C2" s="146" t="s">
        <v>903</v>
      </c>
      <c r="D2" s="147" t="s">
        <v>904</v>
      </c>
      <c r="F2" s="100" t="s">
        <v>905</v>
      </c>
      <c r="G2" s="148" t="s">
        <v>906</v>
      </c>
      <c r="H2" s="148" t="s">
        <v>907</v>
      </c>
    </row>
    <row r="3" spans="2:8" ht="16.5" customHeight="1" thickBot="1">
      <c r="B3" s="149"/>
      <c r="C3" s="150"/>
      <c r="D3" s="151"/>
      <c r="F3" s="101" t="s">
        <v>908</v>
      </c>
      <c r="G3" s="152"/>
      <c r="H3" s="152"/>
    </row>
    <row r="4" spans="2:8">
      <c r="B4" s="153" t="s">
        <v>909</v>
      </c>
      <c r="C4" s="102" t="s">
        <v>910</v>
      </c>
      <c r="D4" s="103" t="s">
        <v>911</v>
      </c>
      <c r="F4" s="100">
        <v>1</v>
      </c>
      <c r="G4" s="104" t="str">
        <f t="shared" ref="G4:G131" si="0">C4</f>
        <v>DBG</v>
      </c>
      <c r="H4" s="103" t="str">
        <f t="shared" ref="H4:H131" si="1">IF(F4=1,C4&amp;"_"&amp;D4,D4)</f>
        <v>DBG_SWDCLK</v>
      </c>
    </row>
    <row r="5" spans="2:8">
      <c r="B5" s="154"/>
      <c r="C5" s="107" t="s">
        <v>910</v>
      </c>
      <c r="D5" s="105" t="s">
        <v>811</v>
      </c>
      <c r="F5" s="100">
        <v>1</v>
      </c>
      <c r="G5" s="106" t="str">
        <f t="shared" si="0"/>
        <v>DBG</v>
      </c>
      <c r="H5" s="103" t="str">
        <f t="shared" si="1"/>
        <v>DBG_SWDD</v>
      </c>
    </row>
    <row r="6" spans="2:8">
      <c r="B6" s="154"/>
      <c r="C6" s="107" t="s">
        <v>910</v>
      </c>
      <c r="D6" s="105" t="s">
        <v>845</v>
      </c>
      <c r="F6" s="100">
        <v>1</v>
      </c>
      <c r="G6" s="106" t="str">
        <f t="shared" ref="G6:G10" si="2">C6</f>
        <v>DBG</v>
      </c>
      <c r="H6" s="103" t="str">
        <f t="shared" ref="H6:H10" si="3">IF(F6=1,C6&amp;"_"&amp;D6,D6)</f>
        <v>DBG_TRCCLK</v>
      </c>
    </row>
    <row r="7" spans="2:8">
      <c r="B7" s="154"/>
      <c r="C7" s="107" t="s">
        <v>910</v>
      </c>
      <c r="D7" s="105" t="s">
        <v>850</v>
      </c>
      <c r="F7" s="100">
        <v>1</v>
      </c>
      <c r="G7" s="106" t="str">
        <f t="shared" si="2"/>
        <v>DBG</v>
      </c>
      <c r="H7" s="103" t="str">
        <f t="shared" si="3"/>
        <v>DBG_TRCSWO</v>
      </c>
    </row>
    <row r="8" spans="2:8">
      <c r="B8" s="154"/>
      <c r="C8" s="107" t="s">
        <v>910</v>
      </c>
      <c r="D8" s="105" t="s">
        <v>856</v>
      </c>
      <c r="F8" s="100">
        <v>1</v>
      </c>
      <c r="G8" s="106" t="str">
        <f t="shared" si="2"/>
        <v>DBG</v>
      </c>
      <c r="H8" s="103" t="str">
        <f t="shared" si="3"/>
        <v>DBG_TRCD0</v>
      </c>
    </row>
    <row r="9" spans="2:8">
      <c r="B9" s="154"/>
      <c r="C9" s="107" t="s">
        <v>910</v>
      </c>
      <c r="D9" s="105" t="s">
        <v>859</v>
      </c>
      <c r="F9" s="100">
        <v>1</v>
      </c>
      <c r="G9" s="106" t="str">
        <f t="shared" si="2"/>
        <v>DBG</v>
      </c>
      <c r="H9" s="103" t="str">
        <f t="shared" si="3"/>
        <v>DBG_TRCD1</v>
      </c>
    </row>
    <row r="10" spans="2:8">
      <c r="B10" s="154"/>
      <c r="C10" s="107" t="s">
        <v>910</v>
      </c>
      <c r="D10" s="105" t="s">
        <v>860</v>
      </c>
      <c r="F10" s="100">
        <v>1</v>
      </c>
      <c r="G10" s="106" t="str">
        <f t="shared" si="2"/>
        <v>DBG</v>
      </c>
      <c r="H10" s="103" t="str">
        <f t="shared" si="3"/>
        <v>DBG_TRCD2</v>
      </c>
    </row>
    <row r="11" spans="2:8">
      <c r="B11" s="154"/>
      <c r="C11" s="107" t="s">
        <v>910</v>
      </c>
      <c r="D11" s="105" t="s">
        <v>862</v>
      </c>
      <c r="F11" s="100">
        <v>1</v>
      </c>
      <c r="G11" s="106" t="str">
        <f t="shared" si="0"/>
        <v>DBG</v>
      </c>
      <c r="H11" s="103" t="str">
        <f t="shared" si="1"/>
        <v>DBG_TRCD3</v>
      </c>
    </row>
    <row r="12" spans="2:8">
      <c r="B12" s="106" t="s">
        <v>912</v>
      </c>
      <c r="C12" s="107" t="s">
        <v>913</v>
      </c>
      <c r="D12" s="105" t="s">
        <v>655</v>
      </c>
      <c r="F12" s="100">
        <v>2</v>
      </c>
      <c r="G12" s="106" t="str">
        <f t="shared" ref="G12:G38" si="4">C12</f>
        <v>CKM</v>
      </c>
      <c r="H12" s="103" t="str">
        <f t="shared" ref="H12:H38" si="5">IF(F12=1,C12&amp;"_"&amp;D12,D12)</f>
        <v>CKMREF</v>
      </c>
    </row>
    <row r="13" spans="2:8">
      <c r="B13" s="154" t="s">
        <v>914</v>
      </c>
      <c r="C13" s="107" t="s">
        <v>915</v>
      </c>
      <c r="D13" s="105" t="s">
        <v>656</v>
      </c>
      <c r="F13" s="100">
        <v>2</v>
      </c>
      <c r="G13" s="106" t="str">
        <f t="shared" si="4"/>
        <v>NMI</v>
      </c>
      <c r="H13" s="103" t="str">
        <f>IF(F13=1,C13&amp;"_"&amp;D13,D13)</f>
        <v>NMI</v>
      </c>
    </row>
    <row r="14" spans="2:8">
      <c r="B14" s="154"/>
      <c r="C14" s="107" t="s">
        <v>916</v>
      </c>
      <c r="D14" s="105" t="s">
        <v>658</v>
      </c>
      <c r="F14" s="100">
        <v>2</v>
      </c>
      <c r="G14" s="106" t="str">
        <f t="shared" si="4"/>
        <v>IRQ</v>
      </c>
      <c r="H14" s="103" t="str">
        <f t="shared" si="5"/>
        <v>IRQ00</v>
      </c>
    </row>
    <row r="15" spans="2:8">
      <c r="B15" s="154"/>
      <c r="C15" s="107" t="s">
        <v>916</v>
      </c>
      <c r="D15" s="105" t="s">
        <v>659</v>
      </c>
      <c r="F15" s="100">
        <v>2</v>
      </c>
      <c r="G15" s="106" t="str">
        <f t="shared" si="4"/>
        <v>IRQ</v>
      </c>
      <c r="H15" s="103" t="str">
        <f t="shared" si="5"/>
        <v>IRQ01</v>
      </c>
    </row>
    <row r="16" spans="2:8">
      <c r="B16" s="154"/>
      <c r="C16" s="107" t="s">
        <v>916</v>
      </c>
      <c r="D16" s="105" t="s">
        <v>660</v>
      </c>
      <c r="F16" s="100">
        <v>2</v>
      </c>
      <c r="G16" s="106" t="str">
        <f t="shared" si="4"/>
        <v>IRQ</v>
      </c>
      <c r="H16" s="103" t="str">
        <f t="shared" si="5"/>
        <v>IRQ02</v>
      </c>
    </row>
    <row r="17" spans="2:8">
      <c r="B17" s="154"/>
      <c r="C17" s="107" t="s">
        <v>916</v>
      </c>
      <c r="D17" s="105" t="s">
        <v>661</v>
      </c>
      <c r="F17" s="100">
        <v>2</v>
      </c>
      <c r="G17" s="106" t="str">
        <f t="shared" si="4"/>
        <v>IRQ</v>
      </c>
      <c r="H17" s="103" t="str">
        <f t="shared" si="5"/>
        <v>IRQ03</v>
      </c>
    </row>
    <row r="18" spans="2:8">
      <c r="B18" s="154"/>
      <c r="C18" s="107" t="s">
        <v>916</v>
      </c>
      <c r="D18" s="105" t="s">
        <v>662</v>
      </c>
      <c r="F18" s="100">
        <v>2</v>
      </c>
      <c r="G18" s="106" t="str">
        <f t="shared" si="4"/>
        <v>IRQ</v>
      </c>
      <c r="H18" s="103" t="str">
        <f t="shared" si="5"/>
        <v>IRQ04</v>
      </c>
    </row>
    <row r="19" spans="2:8">
      <c r="B19" s="154"/>
      <c r="C19" s="107" t="s">
        <v>916</v>
      </c>
      <c r="D19" s="105" t="s">
        <v>663</v>
      </c>
      <c r="F19" s="100">
        <v>2</v>
      </c>
      <c r="G19" s="106" t="str">
        <f t="shared" si="4"/>
        <v>IRQ</v>
      </c>
      <c r="H19" s="103" t="str">
        <f t="shared" si="5"/>
        <v>IRQ05</v>
      </c>
    </row>
    <row r="20" spans="2:8">
      <c r="B20" s="154"/>
      <c r="C20" s="107" t="s">
        <v>916</v>
      </c>
      <c r="D20" s="105" t="s">
        <v>664</v>
      </c>
      <c r="F20" s="100">
        <v>2</v>
      </c>
      <c r="G20" s="106" t="str">
        <f t="shared" si="4"/>
        <v>IRQ</v>
      </c>
      <c r="H20" s="103" t="str">
        <f t="shared" si="5"/>
        <v>IRQ06</v>
      </c>
    </row>
    <row r="21" spans="2:8">
      <c r="B21" s="154"/>
      <c r="C21" s="107" t="s">
        <v>916</v>
      </c>
      <c r="D21" s="105" t="s">
        <v>665</v>
      </c>
      <c r="F21" s="100">
        <v>2</v>
      </c>
      <c r="G21" s="106" t="str">
        <f t="shared" si="4"/>
        <v>IRQ</v>
      </c>
      <c r="H21" s="103" t="str">
        <f t="shared" si="5"/>
        <v>IRQ07</v>
      </c>
    </row>
    <row r="22" spans="2:8">
      <c r="B22" s="154"/>
      <c r="C22" s="107" t="s">
        <v>916</v>
      </c>
      <c r="D22" s="105" t="s">
        <v>666</v>
      </c>
      <c r="F22" s="100">
        <v>2</v>
      </c>
      <c r="G22" s="106" t="str">
        <f t="shared" si="4"/>
        <v>IRQ</v>
      </c>
      <c r="H22" s="103" t="str">
        <f t="shared" si="5"/>
        <v>IRQ10</v>
      </c>
    </row>
    <row r="23" spans="2:8">
      <c r="B23" s="154"/>
      <c r="C23" s="107" t="s">
        <v>916</v>
      </c>
      <c r="D23" s="105" t="s">
        <v>667</v>
      </c>
      <c r="F23" s="100">
        <v>2</v>
      </c>
      <c r="G23" s="106" t="str">
        <f t="shared" si="4"/>
        <v>IRQ</v>
      </c>
      <c r="H23" s="103" t="str">
        <f t="shared" si="5"/>
        <v>IRQ11</v>
      </c>
    </row>
    <row r="24" spans="2:8">
      <c r="B24" s="154"/>
      <c r="C24" s="107" t="s">
        <v>916</v>
      </c>
      <c r="D24" s="105" t="s">
        <v>668</v>
      </c>
      <c r="F24" s="100">
        <v>2</v>
      </c>
      <c r="G24" s="106" t="str">
        <f t="shared" si="4"/>
        <v>IRQ</v>
      </c>
      <c r="H24" s="103" t="str">
        <f t="shared" si="5"/>
        <v>IRQ12</v>
      </c>
    </row>
    <row r="25" spans="2:8">
      <c r="B25" s="154"/>
      <c r="C25" s="107" t="s">
        <v>916</v>
      </c>
      <c r="D25" s="105" t="s">
        <v>669</v>
      </c>
      <c r="F25" s="100">
        <v>2</v>
      </c>
      <c r="G25" s="106" t="str">
        <f t="shared" si="4"/>
        <v>IRQ</v>
      </c>
      <c r="H25" s="103" t="str">
        <f t="shared" si="5"/>
        <v>IRQ13</v>
      </c>
    </row>
    <row r="26" spans="2:8">
      <c r="B26" s="154"/>
      <c r="C26" s="107" t="s">
        <v>916</v>
      </c>
      <c r="D26" s="105" t="s">
        <v>670</v>
      </c>
      <c r="F26" s="100">
        <v>2</v>
      </c>
      <c r="G26" s="106" t="str">
        <f t="shared" si="4"/>
        <v>IRQ</v>
      </c>
      <c r="H26" s="103" t="str">
        <f t="shared" si="5"/>
        <v>IRQ14</v>
      </c>
    </row>
    <row r="27" spans="2:8">
      <c r="B27" s="154"/>
      <c r="C27" s="107" t="s">
        <v>916</v>
      </c>
      <c r="D27" s="105" t="s">
        <v>671</v>
      </c>
      <c r="F27" s="100">
        <v>2</v>
      </c>
      <c r="G27" s="106" t="str">
        <f t="shared" si="4"/>
        <v>IRQ</v>
      </c>
      <c r="H27" s="103" t="str">
        <f t="shared" si="5"/>
        <v>IRQ15</v>
      </c>
    </row>
    <row r="28" spans="2:8">
      <c r="B28" s="154"/>
      <c r="C28" s="107" t="s">
        <v>916</v>
      </c>
      <c r="D28" s="105" t="s">
        <v>672</v>
      </c>
      <c r="F28" s="100">
        <v>2</v>
      </c>
      <c r="G28" s="106" t="str">
        <f t="shared" si="4"/>
        <v>IRQ</v>
      </c>
      <c r="H28" s="103" t="str">
        <f t="shared" si="5"/>
        <v>IRQ20</v>
      </c>
    </row>
    <row r="29" spans="2:8">
      <c r="B29" s="154"/>
      <c r="C29" s="107" t="s">
        <v>916</v>
      </c>
      <c r="D29" s="105" t="s">
        <v>673</v>
      </c>
      <c r="F29" s="100">
        <v>2</v>
      </c>
      <c r="G29" s="106" t="str">
        <f t="shared" si="4"/>
        <v>IRQ</v>
      </c>
      <c r="H29" s="103" t="str">
        <f t="shared" si="5"/>
        <v>IRQ21</v>
      </c>
    </row>
    <row r="30" spans="2:8">
      <c r="B30" s="154"/>
      <c r="C30" s="107" t="s">
        <v>916</v>
      </c>
      <c r="D30" s="105" t="s">
        <v>674</v>
      </c>
      <c r="F30" s="100">
        <v>2</v>
      </c>
      <c r="G30" s="106" t="str">
        <f t="shared" si="4"/>
        <v>IRQ</v>
      </c>
      <c r="H30" s="103" t="str">
        <f t="shared" si="5"/>
        <v>IRQ22</v>
      </c>
    </row>
    <row r="31" spans="2:8">
      <c r="B31" s="154"/>
      <c r="C31" s="107" t="s">
        <v>916</v>
      </c>
      <c r="D31" s="105" t="s">
        <v>675</v>
      </c>
      <c r="F31" s="100">
        <v>2</v>
      </c>
      <c r="G31" s="106" t="str">
        <f t="shared" si="4"/>
        <v>IRQ</v>
      </c>
      <c r="H31" s="103" t="str">
        <f t="shared" si="5"/>
        <v>IRQ30</v>
      </c>
    </row>
    <row r="32" spans="2:8">
      <c r="B32" s="154"/>
      <c r="C32" s="107" t="s">
        <v>916</v>
      </c>
      <c r="D32" s="105" t="s">
        <v>676</v>
      </c>
      <c r="F32" s="100">
        <v>2</v>
      </c>
      <c r="G32" s="106" t="str">
        <f t="shared" si="4"/>
        <v>IRQ</v>
      </c>
      <c r="H32" s="103" t="str">
        <f t="shared" si="5"/>
        <v>IRQ31</v>
      </c>
    </row>
    <row r="33" spans="2:8">
      <c r="B33" s="154"/>
      <c r="C33" s="107" t="s">
        <v>916</v>
      </c>
      <c r="D33" s="105" t="s">
        <v>677</v>
      </c>
      <c r="F33" s="100">
        <v>2</v>
      </c>
      <c r="G33" s="106" t="str">
        <f t="shared" si="4"/>
        <v>IRQ</v>
      </c>
      <c r="H33" s="103" t="str">
        <f t="shared" si="5"/>
        <v>IRQ32</v>
      </c>
    </row>
    <row r="34" spans="2:8">
      <c r="B34" s="154"/>
      <c r="C34" s="107" t="s">
        <v>916</v>
      </c>
      <c r="D34" s="105" t="s">
        <v>678</v>
      </c>
      <c r="F34" s="100">
        <v>2</v>
      </c>
      <c r="G34" s="106" t="str">
        <f t="shared" si="4"/>
        <v>IRQ</v>
      </c>
      <c r="H34" s="103" t="str">
        <f t="shared" si="5"/>
        <v>IRQ33</v>
      </c>
    </row>
    <row r="35" spans="2:8">
      <c r="B35" s="154"/>
      <c r="C35" s="107" t="s">
        <v>916</v>
      </c>
      <c r="D35" s="105" t="s">
        <v>679</v>
      </c>
      <c r="F35" s="100">
        <v>2</v>
      </c>
      <c r="G35" s="106" t="str">
        <f t="shared" si="4"/>
        <v>IRQ</v>
      </c>
      <c r="H35" s="103" t="str">
        <f t="shared" si="5"/>
        <v>IRQ34</v>
      </c>
    </row>
    <row r="36" spans="2:8">
      <c r="B36" s="154"/>
      <c r="C36" s="107" t="s">
        <v>916</v>
      </c>
      <c r="D36" s="105" t="s">
        <v>680</v>
      </c>
      <c r="F36" s="100">
        <v>2</v>
      </c>
      <c r="G36" s="106" t="str">
        <f t="shared" si="4"/>
        <v>IRQ</v>
      </c>
      <c r="H36" s="103" t="str">
        <f t="shared" si="5"/>
        <v>IRQ35</v>
      </c>
    </row>
    <row r="37" spans="2:8">
      <c r="B37" s="154"/>
      <c r="C37" s="107" t="s">
        <v>916</v>
      </c>
      <c r="D37" s="105" t="s">
        <v>681</v>
      </c>
      <c r="F37" s="100">
        <v>2</v>
      </c>
      <c r="G37" s="106" t="str">
        <f t="shared" si="4"/>
        <v>IRQ</v>
      </c>
      <c r="H37" s="103" t="str">
        <f t="shared" si="5"/>
        <v>IRQ36</v>
      </c>
    </row>
    <row r="38" spans="2:8">
      <c r="B38" s="154"/>
      <c r="C38" s="107" t="s">
        <v>916</v>
      </c>
      <c r="D38" s="105" t="s">
        <v>682</v>
      </c>
      <c r="F38" s="100">
        <v>2</v>
      </c>
      <c r="G38" s="106" t="str">
        <f t="shared" si="4"/>
        <v>IRQ</v>
      </c>
      <c r="H38" s="103" t="str">
        <f t="shared" si="5"/>
        <v>IRQ37</v>
      </c>
    </row>
    <row r="39" spans="2:8">
      <c r="B39" s="154" t="s">
        <v>917</v>
      </c>
      <c r="C39" s="107" t="s">
        <v>683</v>
      </c>
      <c r="D39" s="105" t="s">
        <v>684</v>
      </c>
      <c r="F39" s="100">
        <v>2</v>
      </c>
      <c r="G39" s="106" t="str">
        <f t="shared" si="0"/>
        <v>TM00</v>
      </c>
      <c r="H39" s="103" t="str">
        <f t="shared" si="1"/>
        <v>TM00A</v>
      </c>
    </row>
    <row r="40" spans="2:8">
      <c r="B40" s="154"/>
      <c r="C40" s="107" t="s">
        <v>683</v>
      </c>
      <c r="D40" s="105" t="s">
        <v>685</v>
      </c>
      <c r="F40" s="100">
        <v>2</v>
      </c>
      <c r="G40" s="106" t="str">
        <f t="shared" si="0"/>
        <v>TM00</v>
      </c>
      <c r="H40" s="103" t="str">
        <f t="shared" si="1"/>
        <v>TM00B</v>
      </c>
    </row>
    <row r="41" spans="2:8">
      <c r="B41" s="154"/>
      <c r="C41" s="107" t="s">
        <v>686</v>
      </c>
      <c r="D41" s="105" t="s">
        <v>687</v>
      </c>
      <c r="F41" s="100">
        <v>2</v>
      </c>
      <c r="G41" s="106" t="str">
        <f t="shared" si="0"/>
        <v>TM01</v>
      </c>
      <c r="H41" s="103" t="str">
        <f t="shared" si="1"/>
        <v>TM01A</v>
      </c>
    </row>
    <row r="42" spans="2:8">
      <c r="B42" s="154"/>
      <c r="C42" s="107" t="s">
        <v>686</v>
      </c>
      <c r="D42" s="105" t="s">
        <v>688</v>
      </c>
      <c r="F42" s="100">
        <v>2</v>
      </c>
      <c r="G42" s="106" t="str">
        <f t="shared" si="0"/>
        <v>TM01</v>
      </c>
      <c r="H42" s="103" t="str">
        <f t="shared" si="1"/>
        <v>TM01B</v>
      </c>
    </row>
    <row r="43" spans="2:8">
      <c r="B43" s="154"/>
      <c r="C43" s="107" t="s">
        <v>689</v>
      </c>
      <c r="D43" s="105" t="s">
        <v>690</v>
      </c>
      <c r="F43" s="100">
        <v>2</v>
      </c>
      <c r="G43" s="106" t="str">
        <f t="shared" si="0"/>
        <v>TM02</v>
      </c>
      <c r="H43" s="103" t="str">
        <f t="shared" si="1"/>
        <v>TM02A</v>
      </c>
    </row>
    <row r="44" spans="2:8">
      <c r="B44" s="154"/>
      <c r="C44" s="107" t="s">
        <v>689</v>
      </c>
      <c r="D44" s="105" t="s">
        <v>691</v>
      </c>
      <c r="F44" s="100">
        <v>2</v>
      </c>
      <c r="G44" s="106" t="str">
        <f t="shared" si="0"/>
        <v>TM02</v>
      </c>
      <c r="H44" s="103" t="str">
        <f t="shared" si="1"/>
        <v>TM02B</v>
      </c>
    </row>
    <row r="45" spans="2:8">
      <c r="B45" s="154"/>
      <c r="C45" s="107" t="s">
        <v>692</v>
      </c>
      <c r="D45" s="105" t="s">
        <v>693</v>
      </c>
      <c r="F45" s="100">
        <v>2</v>
      </c>
      <c r="G45" s="106" t="str">
        <f t="shared" si="0"/>
        <v>TM03</v>
      </c>
      <c r="H45" s="103" t="str">
        <f t="shared" si="1"/>
        <v>TM03A</v>
      </c>
    </row>
    <row r="46" spans="2:8">
      <c r="B46" s="154"/>
      <c r="C46" s="107" t="s">
        <v>692</v>
      </c>
      <c r="D46" s="105" t="s">
        <v>694</v>
      </c>
      <c r="F46" s="100">
        <v>2</v>
      </c>
      <c r="G46" s="106" t="str">
        <f t="shared" si="0"/>
        <v>TM03</v>
      </c>
      <c r="H46" s="103" t="str">
        <f t="shared" si="1"/>
        <v>TM03B</v>
      </c>
    </row>
    <row r="47" spans="2:8">
      <c r="B47" s="154"/>
      <c r="C47" s="107" t="s">
        <v>695</v>
      </c>
      <c r="D47" s="105" t="s">
        <v>696</v>
      </c>
      <c r="F47" s="100">
        <v>2</v>
      </c>
      <c r="G47" s="106" t="str">
        <f t="shared" si="0"/>
        <v>TM04</v>
      </c>
      <c r="H47" s="103" t="str">
        <f t="shared" si="1"/>
        <v>TM04A</v>
      </c>
    </row>
    <row r="48" spans="2:8">
      <c r="B48" s="154"/>
      <c r="C48" s="107" t="s">
        <v>695</v>
      </c>
      <c r="D48" s="105" t="s">
        <v>697</v>
      </c>
      <c r="F48" s="100">
        <v>2</v>
      </c>
      <c r="G48" s="106" t="str">
        <f t="shared" si="0"/>
        <v>TM04</v>
      </c>
      <c r="H48" s="103" t="str">
        <f t="shared" si="1"/>
        <v>TM04B</v>
      </c>
    </row>
    <row r="49" spans="2:8">
      <c r="B49" s="154"/>
      <c r="C49" s="107" t="s">
        <v>698</v>
      </c>
      <c r="D49" s="105" t="s">
        <v>699</v>
      </c>
      <c r="F49" s="100">
        <v>2</v>
      </c>
      <c r="G49" s="106" t="str">
        <f t="shared" si="0"/>
        <v>TM05</v>
      </c>
      <c r="H49" s="103" t="str">
        <f t="shared" si="1"/>
        <v>TM05A</v>
      </c>
    </row>
    <row r="50" spans="2:8">
      <c r="B50" s="154"/>
      <c r="C50" s="107" t="s">
        <v>698</v>
      </c>
      <c r="D50" s="105" t="s">
        <v>700</v>
      </c>
      <c r="F50" s="100">
        <v>2</v>
      </c>
      <c r="G50" s="106" t="str">
        <f t="shared" si="0"/>
        <v>TM05</v>
      </c>
      <c r="H50" s="103" t="str">
        <f t="shared" si="1"/>
        <v>TM05B</v>
      </c>
    </row>
    <row r="51" spans="2:8">
      <c r="B51" s="154"/>
      <c r="C51" s="107" t="s">
        <v>701</v>
      </c>
      <c r="D51" s="105" t="s">
        <v>702</v>
      </c>
      <c r="F51" s="100">
        <v>2</v>
      </c>
      <c r="G51" s="106" t="str">
        <f t="shared" si="0"/>
        <v>TM06</v>
      </c>
      <c r="H51" s="103" t="str">
        <f t="shared" si="1"/>
        <v>TM06A</v>
      </c>
    </row>
    <row r="52" spans="2:8">
      <c r="B52" s="154"/>
      <c r="C52" s="107" t="s">
        <v>701</v>
      </c>
      <c r="D52" s="105" t="s">
        <v>703</v>
      </c>
      <c r="F52" s="100">
        <v>2</v>
      </c>
      <c r="G52" s="106" t="str">
        <f t="shared" si="0"/>
        <v>TM06</v>
      </c>
      <c r="H52" s="103" t="str">
        <f t="shared" si="1"/>
        <v>TM06B</v>
      </c>
    </row>
    <row r="53" spans="2:8">
      <c r="B53" s="154"/>
      <c r="C53" s="107" t="s">
        <v>704</v>
      </c>
      <c r="D53" s="105" t="s">
        <v>705</v>
      </c>
      <c r="F53" s="100">
        <v>2</v>
      </c>
      <c r="G53" s="106" t="str">
        <f t="shared" si="0"/>
        <v>TM07</v>
      </c>
      <c r="H53" s="103" t="str">
        <f t="shared" si="1"/>
        <v>TM07A</v>
      </c>
    </row>
    <row r="54" spans="2:8">
      <c r="B54" s="154"/>
      <c r="C54" s="107" t="s">
        <v>704</v>
      </c>
      <c r="D54" s="105" t="s">
        <v>706</v>
      </c>
      <c r="F54" s="100">
        <v>2</v>
      </c>
      <c r="G54" s="106" t="str">
        <f t="shared" si="0"/>
        <v>TM07</v>
      </c>
      <c r="H54" s="103" t="str">
        <f t="shared" si="1"/>
        <v>TM07B</v>
      </c>
    </row>
    <row r="55" spans="2:8">
      <c r="B55" s="154"/>
      <c r="C55" s="107" t="s">
        <v>918</v>
      </c>
      <c r="D55" s="105" t="s">
        <v>708</v>
      </c>
      <c r="F55" s="100">
        <v>2</v>
      </c>
      <c r="G55" s="106" t="str">
        <f t="shared" si="0"/>
        <v>TM10</v>
      </c>
      <c r="H55" s="103" t="str">
        <f t="shared" si="1"/>
        <v>TM10A</v>
      </c>
    </row>
    <row r="56" spans="2:8">
      <c r="B56" s="154"/>
      <c r="C56" s="107" t="s">
        <v>918</v>
      </c>
      <c r="D56" s="105" t="s">
        <v>709</v>
      </c>
      <c r="F56" s="100">
        <v>2</v>
      </c>
      <c r="G56" s="106" t="str">
        <f t="shared" si="0"/>
        <v>TM10</v>
      </c>
      <c r="H56" s="103" t="str">
        <f t="shared" si="1"/>
        <v>TM10B</v>
      </c>
    </row>
    <row r="57" spans="2:8">
      <c r="B57" s="154"/>
      <c r="C57" s="107" t="s">
        <v>710</v>
      </c>
      <c r="D57" s="105" t="s">
        <v>711</v>
      </c>
      <c r="F57" s="100">
        <v>2</v>
      </c>
      <c r="G57" s="106" t="str">
        <f t="shared" si="0"/>
        <v>TM11</v>
      </c>
      <c r="H57" s="103" t="str">
        <f t="shared" si="1"/>
        <v>TM11A</v>
      </c>
    </row>
    <row r="58" spans="2:8">
      <c r="B58" s="154"/>
      <c r="C58" s="107" t="s">
        <v>710</v>
      </c>
      <c r="D58" s="105" t="s">
        <v>712</v>
      </c>
      <c r="F58" s="100">
        <v>2</v>
      </c>
      <c r="G58" s="106" t="str">
        <f t="shared" si="0"/>
        <v>TM11</v>
      </c>
      <c r="H58" s="103" t="str">
        <f t="shared" si="1"/>
        <v>TM11B</v>
      </c>
    </row>
    <row r="59" spans="2:8">
      <c r="B59" s="154"/>
      <c r="C59" s="107" t="s">
        <v>713</v>
      </c>
      <c r="D59" s="105" t="s">
        <v>714</v>
      </c>
      <c r="F59" s="100">
        <v>2</v>
      </c>
      <c r="G59" s="106" t="str">
        <f t="shared" si="0"/>
        <v>TM12</v>
      </c>
      <c r="H59" s="103" t="str">
        <f t="shared" si="1"/>
        <v>TM12A</v>
      </c>
    </row>
    <row r="60" spans="2:8">
      <c r="B60" s="154"/>
      <c r="C60" s="107" t="s">
        <v>713</v>
      </c>
      <c r="D60" s="105" t="s">
        <v>715</v>
      </c>
      <c r="F60" s="100">
        <v>2</v>
      </c>
      <c r="G60" s="106" t="str">
        <f t="shared" si="0"/>
        <v>TM12</v>
      </c>
      <c r="H60" s="103" t="str">
        <f t="shared" si="1"/>
        <v>TM12B</v>
      </c>
    </row>
    <row r="61" spans="2:8">
      <c r="B61" s="154"/>
      <c r="C61" s="107" t="s">
        <v>716</v>
      </c>
      <c r="D61" s="105" t="s">
        <v>717</v>
      </c>
      <c r="F61" s="100">
        <v>2</v>
      </c>
      <c r="G61" s="106" t="str">
        <f t="shared" si="0"/>
        <v>TM13</v>
      </c>
      <c r="H61" s="103" t="str">
        <f t="shared" si="1"/>
        <v>TM13A</v>
      </c>
    </row>
    <row r="62" spans="2:8">
      <c r="B62" s="154"/>
      <c r="C62" s="107" t="s">
        <v>716</v>
      </c>
      <c r="D62" s="105" t="s">
        <v>718</v>
      </c>
      <c r="F62" s="100">
        <v>2</v>
      </c>
      <c r="G62" s="106" t="str">
        <f t="shared" ref="G62:G66" si="6">C62</f>
        <v>TM13</v>
      </c>
      <c r="H62" s="103" t="str">
        <f t="shared" ref="H62:H66" si="7">IF(F62=1,C62&amp;"_"&amp;D62,D62)</f>
        <v>TM13B</v>
      </c>
    </row>
    <row r="63" spans="2:8">
      <c r="B63" s="154"/>
      <c r="C63" s="107" t="s">
        <v>719</v>
      </c>
      <c r="D63" s="105" t="s">
        <v>720</v>
      </c>
      <c r="F63" s="100">
        <v>2</v>
      </c>
      <c r="G63" s="106" t="str">
        <f t="shared" si="6"/>
        <v>TM14</v>
      </c>
      <c r="H63" s="103" t="str">
        <f t="shared" si="7"/>
        <v>TM14A</v>
      </c>
    </row>
    <row r="64" spans="2:8">
      <c r="B64" s="154"/>
      <c r="C64" s="107" t="s">
        <v>719</v>
      </c>
      <c r="D64" s="105" t="s">
        <v>721</v>
      </c>
      <c r="F64" s="100">
        <v>2</v>
      </c>
      <c r="G64" s="106" t="str">
        <f t="shared" si="6"/>
        <v>TM14</v>
      </c>
      <c r="H64" s="103" t="str">
        <f t="shared" si="7"/>
        <v>TM14B</v>
      </c>
    </row>
    <row r="65" spans="2:8">
      <c r="B65" s="154"/>
      <c r="C65" s="107" t="s">
        <v>722</v>
      </c>
      <c r="D65" s="105" t="s">
        <v>723</v>
      </c>
      <c r="F65" s="100">
        <v>2</v>
      </c>
      <c r="G65" s="106" t="str">
        <f t="shared" si="6"/>
        <v>TM15</v>
      </c>
      <c r="H65" s="103" t="str">
        <f t="shared" si="7"/>
        <v>TM15A</v>
      </c>
    </row>
    <row r="66" spans="2:8">
      <c r="B66" s="154"/>
      <c r="C66" s="107" t="s">
        <v>722</v>
      </c>
      <c r="D66" s="105" t="s">
        <v>724</v>
      </c>
      <c r="F66" s="100">
        <v>2</v>
      </c>
      <c r="G66" s="106" t="str">
        <f t="shared" si="6"/>
        <v>TM15</v>
      </c>
      <c r="H66" s="103" t="str">
        <f t="shared" si="7"/>
        <v>TM15B</v>
      </c>
    </row>
    <row r="67" spans="2:8">
      <c r="B67" s="136" t="s">
        <v>919</v>
      </c>
      <c r="C67" s="107" t="s">
        <v>920</v>
      </c>
      <c r="D67" s="105" t="s">
        <v>844</v>
      </c>
      <c r="F67" s="100">
        <v>1</v>
      </c>
      <c r="G67" s="106" t="str">
        <f t="shared" si="0"/>
        <v>GPWM0</v>
      </c>
      <c r="H67" s="103" t="str">
        <f t="shared" si="1"/>
        <v>GPWM0_GPWM00</v>
      </c>
    </row>
    <row r="68" spans="2:8">
      <c r="B68" s="137"/>
      <c r="C68" s="107" t="s">
        <v>920</v>
      </c>
      <c r="D68" s="105" t="s">
        <v>841</v>
      </c>
      <c r="F68" s="100">
        <v>1</v>
      </c>
      <c r="G68" s="106" t="str">
        <f t="shared" ref="G68:G82" si="8">C68</f>
        <v>GPWM0</v>
      </c>
      <c r="H68" s="103" t="str">
        <f t="shared" ref="H68:H82" si="9">IF(F68=1,C68&amp;"_"&amp;D68,D68)</f>
        <v>GPWM0_GPWM01</v>
      </c>
    </row>
    <row r="69" spans="2:8">
      <c r="B69" s="137"/>
      <c r="C69" s="107" t="s">
        <v>921</v>
      </c>
      <c r="D69" s="105" t="s">
        <v>843</v>
      </c>
      <c r="F69" s="100">
        <v>1</v>
      </c>
      <c r="G69" s="106" t="str">
        <f t="shared" si="8"/>
        <v>GPWM1</v>
      </c>
      <c r="H69" s="103" t="str">
        <f t="shared" si="9"/>
        <v>GPWM1_GPWM10</v>
      </c>
    </row>
    <row r="70" spans="2:8">
      <c r="B70" s="137"/>
      <c r="C70" s="107" t="s">
        <v>921</v>
      </c>
      <c r="D70" s="105" t="s">
        <v>840</v>
      </c>
      <c r="F70" s="100">
        <v>1</v>
      </c>
      <c r="G70" s="106" t="str">
        <f t="shared" si="8"/>
        <v>GPWM1</v>
      </c>
      <c r="H70" s="103" t="str">
        <f t="shared" si="9"/>
        <v>GPWM1_GPWM11</v>
      </c>
    </row>
    <row r="71" spans="2:8">
      <c r="B71" s="137"/>
      <c r="C71" s="107" t="s">
        <v>922</v>
      </c>
      <c r="D71" s="105" t="s">
        <v>842</v>
      </c>
      <c r="F71" s="100">
        <v>1</v>
      </c>
      <c r="G71" s="106" t="str">
        <f t="shared" si="8"/>
        <v>GPWM2</v>
      </c>
      <c r="H71" s="103" t="str">
        <f t="shared" si="9"/>
        <v>GPWM2_GPWM20</v>
      </c>
    </row>
    <row r="72" spans="2:8">
      <c r="B72" s="137"/>
      <c r="C72" s="107" t="s">
        <v>922</v>
      </c>
      <c r="D72" s="105" t="s">
        <v>839</v>
      </c>
      <c r="F72" s="100">
        <v>1</v>
      </c>
      <c r="G72" s="106" t="str">
        <f t="shared" si="8"/>
        <v>GPWM2</v>
      </c>
      <c r="H72" s="103" t="str">
        <f t="shared" si="9"/>
        <v>GPWM2_GPWM21</v>
      </c>
    </row>
    <row r="73" spans="2:8">
      <c r="B73" s="137"/>
      <c r="C73" s="107" t="s">
        <v>923</v>
      </c>
      <c r="D73" s="105" t="s">
        <v>825</v>
      </c>
      <c r="F73" s="100">
        <v>1</v>
      </c>
      <c r="G73" s="106" t="str">
        <f t="shared" si="8"/>
        <v>GPWM3</v>
      </c>
      <c r="H73" s="103" t="str">
        <f t="shared" si="9"/>
        <v>GPWM3_GPWM30</v>
      </c>
    </row>
    <row r="74" spans="2:8">
      <c r="B74" s="137"/>
      <c r="C74" s="107" t="s">
        <v>923</v>
      </c>
      <c r="D74" s="105" t="s">
        <v>833</v>
      </c>
      <c r="F74" s="100">
        <v>1</v>
      </c>
      <c r="G74" s="106" t="str">
        <f t="shared" si="8"/>
        <v>GPWM3</v>
      </c>
      <c r="H74" s="103" t="str">
        <f t="shared" si="9"/>
        <v>GPWM3_GPWM31</v>
      </c>
    </row>
    <row r="75" spans="2:8">
      <c r="B75" s="137"/>
      <c r="C75" s="107" t="s">
        <v>924</v>
      </c>
      <c r="D75" s="105" t="s">
        <v>826</v>
      </c>
      <c r="F75" s="100">
        <v>1</v>
      </c>
      <c r="G75" s="106" t="str">
        <f t="shared" si="8"/>
        <v>GPWM4</v>
      </c>
      <c r="H75" s="103" t="str">
        <f t="shared" si="9"/>
        <v>GPWM4_GPWM40</v>
      </c>
    </row>
    <row r="76" spans="2:8">
      <c r="B76" s="137"/>
      <c r="C76" s="107" t="s">
        <v>924</v>
      </c>
      <c r="D76" s="105" t="s">
        <v>835</v>
      </c>
      <c r="F76" s="100">
        <v>1</v>
      </c>
      <c r="G76" s="106" t="str">
        <f t="shared" si="8"/>
        <v>GPWM4</v>
      </c>
      <c r="H76" s="103" t="str">
        <f t="shared" si="9"/>
        <v>GPWM4_GPWM41</v>
      </c>
    </row>
    <row r="77" spans="2:8">
      <c r="B77" s="137"/>
      <c r="C77" s="107" t="s">
        <v>925</v>
      </c>
      <c r="D77" s="105" t="s">
        <v>831</v>
      </c>
      <c r="F77" s="100">
        <v>1</v>
      </c>
      <c r="G77" s="106" t="str">
        <f t="shared" si="8"/>
        <v>GPWM5</v>
      </c>
      <c r="H77" s="103" t="str">
        <f t="shared" si="9"/>
        <v>GPWM5_GPWM50</v>
      </c>
    </row>
    <row r="78" spans="2:8">
      <c r="B78" s="137"/>
      <c r="C78" s="107" t="s">
        <v>925</v>
      </c>
      <c r="D78" s="105" t="s">
        <v>838</v>
      </c>
      <c r="F78" s="100">
        <v>1</v>
      </c>
      <c r="G78" s="106" t="str">
        <f t="shared" si="8"/>
        <v>GPWM5</v>
      </c>
      <c r="H78" s="103" t="str">
        <f t="shared" si="9"/>
        <v>GPWM5_GPWM51</v>
      </c>
    </row>
    <row r="79" spans="2:8">
      <c r="B79" s="137"/>
      <c r="C79" s="107" t="s">
        <v>926</v>
      </c>
      <c r="D79" s="105" t="s">
        <v>819</v>
      </c>
      <c r="F79" s="100">
        <v>1</v>
      </c>
      <c r="G79" s="106" t="str">
        <f t="shared" si="8"/>
        <v>GPWM6</v>
      </c>
      <c r="H79" s="103" t="str">
        <f t="shared" si="9"/>
        <v>GPWM6_GPWM60</v>
      </c>
    </row>
    <row r="80" spans="2:8">
      <c r="B80" s="137"/>
      <c r="C80" s="107" t="s">
        <v>926</v>
      </c>
      <c r="D80" s="105" t="s">
        <v>818</v>
      </c>
      <c r="F80" s="100">
        <v>1</v>
      </c>
      <c r="G80" s="106" t="str">
        <f t="shared" si="8"/>
        <v>GPWM6</v>
      </c>
      <c r="H80" s="103" t="str">
        <f t="shared" si="9"/>
        <v>GPWM6_GPWM61</v>
      </c>
    </row>
    <row r="81" spans="2:8">
      <c r="B81" s="137"/>
      <c r="C81" s="107" t="s">
        <v>927</v>
      </c>
      <c r="D81" s="105" t="s">
        <v>804</v>
      </c>
      <c r="F81" s="100">
        <v>1</v>
      </c>
      <c r="G81" s="106" t="str">
        <f t="shared" si="8"/>
        <v>GPWM7</v>
      </c>
      <c r="H81" s="103" t="str">
        <f t="shared" si="9"/>
        <v>GPWM7_GPWM70</v>
      </c>
    </row>
    <row r="82" spans="2:8">
      <c r="B82" s="137"/>
      <c r="C82" s="107" t="s">
        <v>927</v>
      </c>
      <c r="D82" s="105" t="s">
        <v>806</v>
      </c>
      <c r="F82" s="100">
        <v>1</v>
      </c>
      <c r="G82" s="106" t="str">
        <f t="shared" si="8"/>
        <v>GPWM7</v>
      </c>
      <c r="H82" s="103" t="str">
        <f t="shared" si="9"/>
        <v>GPWM7_GPWM71</v>
      </c>
    </row>
    <row r="83" spans="2:8">
      <c r="B83" s="138" t="s">
        <v>928</v>
      </c>
      <c r="C83" s="107" t="s">
        <v>929</v>
      </c>
      <c r="D83" s="109" t="s">
        <v>846</v>
      </c>
      <c r="F83" s="100">
        <v>1</v>
      </c>
      <c r="G83" s="106" t="str">
        <f t="shared" ref="G83:G90" si="10">C83</f>
        <v>GPWM0</v>
      </c>
      <c r="H83" s="103" t="str">
        <f t="shared" ref="H83:H90" si="11">IF(F83=1,C83&amp;"_"&amp;D83,D83)</f>
        <v>GPWM0_GPWMST0</v>
      </c>
    </row>
    <row r="84" spans="2:8">
      <c r="B84" s="138"/>
      <c r="C84" s="107" t="s">
        <v>921</v>
      </c>
      <c r="D84" s="109" t="s">
        <v>851</v>
      </c>
      <c r="F84" s="100">
        <v>1</v>
      </c>
      <c r="G84" s="106" t="str">
        <f t="shared" si="10"/>
        <v>GPWM1</v>
      </c>
      <c r="H84" s="103" t="str">
        <f t="shared" si="11"/>
        <v>GPWM1_GPWMST1</v>
      </c>
    </row>
    <row r="85" spans="2:8">
      <c r="B85" s="138"/>
      <c r="C85" s="107" t="s">
        <v>922</v>
      </c>
      <c r="D85" s="109" t="s">
        <v>857</v>
      </c>
      <c r="F85" s="100">
        <v>1</v>
      </c>
      <c r="G85" s="106" t="str">
        <f t="shared" si="10"/>
        <v>GPWM2</v>
      </c>
      <c r="H85" s="103" t="str">
        <f t="shared" si="11"/>
        <v>GPWM2_GPWMST2</v>
      </c>
    </row>
    <row r="86" spans="2:8">
      <c r="B86" s="138"/>
      <c r="C86" s="107" t="s">
        <v>923</v>
      </c>
      <c r="D86" s="109" t="s">
        <v>847</v>
      </c>
      <c r="F86" s="100">
        <v>1</v>
      </c>
      <c r="G86" s="106" t="str">
        <f t="shared" si="10"/>
        <v>GPWM3</v>
      </c>
      <c r="H86" s="103" t="str">
        <f t="shared" si="11"/>
        <v>GPWM3_GPWMST3</v>
      </c>
    </row>
    <row r="87" spans="2:8">
      <c r="B87" s="138"/>
      <c r="C87" s="107" t="s">
        <v>924</v>
      </c>
      <c r="D87" s="109" t="s">
        <v>852</v>
      </c>
      <c r="F87" s="100">
        <v>1</v>
      </c>
      <c r="G87" s="106" t="str">
        <f t="shared" si="10"/>
        <v>GPWM4</v>
      </c>
      <c r="H87" s="103" t="str">
        <f t="shared" si="11"/>
        <v>GPWM4_GPWMST4</v>
      </c>
    </row>
    <row r="88" spans="2:8">
      <c r="B88" s="138"/>
      <c r="C88" s="107" t="s">
        <v>925</v>
      </c>
      <c r="D88" s="109" t="s">
        <v>858</v>
      </c>
      <c r="F88" s="100">
        <v>1</v>
      </c>
      <c r="G88" s="106" t="str">
        <f t="shared" si="10"/>
        <v>GPWM5</v>
      </c>
      <c r="H88" s="103" t="str">
        <f t="shared" si="11"/>
        <v>GPWM5_GPWMST5</v>
      </c>
    </row>
    <row r="89" spans="2:8">
      <c r="B89" s="138"/>
      <c r="C89" s="107" t="s">
        <v>926</v>
      </c>
      <c r="D89" s="109" t="s">
        <v>800</v>
      </c>
      <c r="F89" s="100">
        <v>1</v>
      </c>
      <c r="G89" s="106" t="str">
        <f t="shared" si="10"/>
        <v>GPWM6</v>
      </c>
      <c r="H89" s="103" t="str">
        <f t="shared" si="11"/>
        <v>GPWM6_GPWMST6</v>
      </c>
    </row>
    <row r="90" spans="2:8">
      <c r="B90" s="138"/>
      <c r="C90" s="107" t="s">
        <v>927</v>
      </c>
      <c r="D90" s="109" t="s">
        <v>828</v>
      </c>
      <c r="F90" s="100">
        <v>1</v>
      </c>
      <c r="G90" s="106" t="str">
        <f t="shared" si="10"/>
        <v>GPWM7</v>
      </c>
      <c r="H90" s="103" t="str">
        <f t="shared" si="11"/>
        <v>GPWM7_GPWMST7</v>
      </c>
    </row>
    <row r="91" spans="2:8">
      <c r="B91" s="139" t="s">
        <v>930</v>
      </c>
      <c r="C91" s="107" t="s">
        <v>649</v>
      </c>
      <c r="D91" s="105" t="s">
        <v>803</v>
      </c>
      <c r="F91" s="100">
        <v>1</v>
      </c>
      <c r="G91" s="106" t="str">
        <f t="shared" ref="G91:G114" si="12">C91</f>
        <v>SIF0</v>
      </c>
      <c r="H91" s="103" t="str">
        <f t="shared" ref="H91:H114" si="13">IF(F91=1,C91&amp;"_"&amp;D91,D91)</f>
        <v>SIF0_SBCS0</v>
      </c>
    </row>
    <row r="92" spans="2:8">
      <c r="B92" s="139"/>
      <c r="C92" s="107" t="s">
        <v>649</v>
      </c>
      <c r="D92" s="109" t="s">
        <v>816</v>
      </c>
      <c r="F92" s="100">
        <v>1</v>
      </c>
      <c r="G92" s="106" t="str">
        <f t="shared" si="12"/>
        <v>SIF0</v>
      </c>
      <c r="H92" s="103" t="str">
        <f t="shared" si="13"/>
        <v>SIF0_SBI0</v>
      </c>
    </row>
    <row r="93" spans="2:8">
      <c r="B93" s="139"/>
      <c r="C93" s="107" t="s">
        <v>649</v>
      </c>
      <c r="D93" s="109" t="s">
        <v>817</v>
      </c>
      <c r="F93" s="100">
        <v>1</v>
      </c>
      <c r="G93" s="106" t="str">
        <f t="shared" si="12"/>
        <v>SIF0</v>
      </c>
      <c r="H93" s="103" t="str">
        <f t="shared" si="13"/>
        <v>SIF0_SBO0</v>
      </c>
    </row>
    <row r="94" spans="2:8">
      <c r="B94" s="139"/>
      <c r="C94" s="107" t="s">
        <v>649</v>
      </c>
      <c r="D94" s="109" t="s">
        <v>814</v>
      </c>
      <c r="F94" s="100">
        <v>1</v>
      </c>
      <c r="G94" s="106" t="str">
        <f t="shared" si="12"/>
        <v>SIF0</v>
      </c>
      <c r="H94" s="103" t="str">
        <f t="shared" si="13"/>
        <v>SIF0_SBT0</v>
      </c>
    </row>
    <row r="95" spans="2:8">
      <c r="B95" s="139"/>
      <c r="C95" s="107" t="s">
        <v>931</v>
      </c>
      <c r="D95" s="109" t="s">
        <v>797</v>
      </c>
      <c r="F95" s="100">
        <v>1</v>
      </c>
      <c r="G95" s="106" t="str">
        <f t="shared" si="12"/>
        <v>SIF1</v>
      </c>
      <c r="H95" s="103" t="str">
        <f t="shared" si="13"/>
        <v>SIF1_SBCS1</v>
      </c>
    </row>
    <row r="96" spans="2:8">
      <c r="B96" s="139"/>
      <c r="C96" s="107" t="s">
        <v>931</v>
      </c>
      <c r="D96" s="109" t="s">
        <v>808</v>
      </c>
      <c r="F96" s="100">
        <v>1</v>
      </c>
      <c r="G96" s="106" t="str">
        <f t="shared" si="12"/>
        <v>SIF1</v>
      </c>
      <c r="H96" s="103" t="str">
        <f t="shared" si="13"/>
        <v>SIF1_SBI1</v>
      </c>
    </row>
    <row r="97" spans="2:8">
      <c r="B97" s="139"/>
      <c r="C97" s="107" t="s">
        <v>931</v>
      </c>
      <c r="D97" s="109" t="s">
        <v>809</v>
      </c>
      <c r="F97" s="100">
        <v>1</v>
      </c>
      <c r="G97" s="106" t="str">
        <f t="shared" si="12"/>
        <v>SIF1</v>
      </c>
      <c r="H97" s="103" t="str">
        <f t="shared" si="13"/>
        <v>SIF1_SBO1</v>
      </c>
    </row>
    <row r="98" spans="2:8">
      <c r="B98" s="139"/>
      <c r="C98" s="107" t="s">
        <v>931</v>
      </c>
      <c r="D98" s="109" t="s">
        <v>810</v>
      </c>
      <c r="F98" s="100">
        <v>1</v>
      </c>
      <c r="G98" s="106" t="str">
        <f t="shared" si="12"/>
        <v>SIF1</v>
      </c>
      <c r="H98" s="103" t="str">
        <f t="shared" si="13"/>
        <v>SIF1_SBT1</v>
      </c>
    </row>
    <row r="99" spans="2:8">
      <c r="B99" s="139"/>
      <c r="C99" s="107" t="s">
        <v>932</v>
      </c>
      <c r="D99" s="109" t="s">
        <v>824</v>
      </c>
      <c r="F99" s="100">
        <v>1</v>
      </c>
      <c r="G99" s="106" t="str">
        <f t="shared" si="12"/>
        <v>SIF2</v>
      </c>
      <c r="H99" s="103" t="str">
        <f t="shared" si="13"/>
        <v>SIF2_SBCS2</v>
      </c>
    </row>
    <row r="100" spans="2:8">
      <c r="B100" s="139"/>
      <c r="C100" s="107" t="s">
        <v>932</v>
      </c>
      <c r="D100" s="109" t="s">
        <v>821</v>
      </c>
      <c r="F100" s="100">
        <v>1</v>
      </c>
      <c r="G100" s="106" t="str">
        <f t="shared" si="12"/>
        <v>SIF2</v>
      </c>
      <c r="H100" s="103" t="str">
        <f t="shared" si="13"/>
        <v>SIF2_SBI2</v>
      </c>
    </row>
    <row r="101" spans="2:8">
      <c r="B101" s="139"/>
      <c r="C101" s="107" t="s">
        <v>932</v>
      </c>
      <c r="D101" s="109" t="s">
        <v>822</v>
      </c>
      <c r="F101" s="100">
        <v>1</v>
      </c>
      <c r="G101" s="106" t="str">
        <f t="shared" si="12"/>
        <v>SIF2</v>
      </c>
      <c r="H101" s="103" t="str">
        <f t="shared" si="13"/>
        <v>SIF2_SBO2</v>
      </c>
    </row>
    <row r="102" spans="2:8">
      <c r="B102" s="139"/>
      <c r="C102" s="107" t="s">
        <v>932</v>
      </c>
      <c r="D102" s="109" t="s">
        <v>820</v>
      </c>
      <c r="F102" s="100">
        <v>1</v>
      </c>
      <c r="G102" s="106" t="str">
        <f t="shared" si="12"/>
        <v>SIF2</v>
      </c>
      <c r="H102" s="103" t="str">
        <f t="shared" si="13"/>
        <v>SIF2_SBT2</v>
      </c>
    </row>
    <row r="103" spans="2:8">
      <c r="B103" s="139"/>
      <c r="C103" s="107" t="s">
        <v>933</v>
      </c>
      <c r="D103" s="109" t="s">
        <v>805</v>
      </c>
      <c r="F103" s="100">
        <v>1</v>
      </c>
      <c r="G103" s="106" t="str">
        <f t="shared" si="12"/>
        <v>SIF3</v>
      </c>
      <c r="H103" s="103" t="str">
        <f t="shared" si="13"/>
        <v>SIF3_SBCS3</v>
      </c>
    </row>
    <row r="104" spans="2:8">
      <c r="B104" s="139"/>
      <c r="C104" s="107" t="s">
        <v>933</v>
      </c>
      <c r="D104" s="109" t="s">
        <v>934</v>
      </c>
      <c r="F104" s="100">
        <v>1</v>
      </c>
      <c r="G104" s="106" t="str">
        <f t="shared" si="12"/>
        <v>SIF3</v>
      </c>
      <c r="H104" s="103" t="str">
        <f t="shared" si="13"/>
        <v>SIF3_SBI3</v>
      </c>
    </row>
    <row r="105" spans="2:8">
      <c r="B105" s="139"/>
      <c r="C105" s="107" t="s">
        <v>933</v>
      </c>
      <c r="D105" s="109" t="s">
        <v>813</v>
      </c>
      <c r="F105" s="100">
        <v>1</v>
      </c>
      <c r="G105" s="106" t="str">
        <f t="shared" si="12"/>
        <v>SIF3</v>
      </c>
      <c r="H105" s="103" t="str">
        <f t="shared" si="13"/>
        <v>SIF3_SBO3</v>
      </c>
    </row>
    <row r="106" spans="2:8">
      <c r="B106" s="139"/>
      <c r="C106" s="107" t="s">
        <v>933</v>
      </c>
      <c r="D106" s="109" t="s">
        <v>815</v>
      </c>
      <c r="F106" s="100">
        <v>1</v>
      </c>
      <c r="G106" s="106" t="str">
        <f t="shared" si="12"/>
        <v>SIF3</v>
      </c>
      <c r="H106" s="103" t="str">
        <f t="shared" si="13"/>
        <v>SIF3_SBT3</v>
      </c>
    </row>
    <row r="107" spans="2:8">
      <c r="B107" s="139"/>
      <c r="C107" s="107" t="s">
        <v>650</v>
      </c>
      <c r="D107" s="109" t="s">
        <v>802</v>
      </c>
      <c r="F107" s="100">
        <v>1</v>
      </c>
      <c r="G107" s="106" t="str">
        <f t="shared" si="12"/>
        <v>SIF4</v>
      </c>
      <c r="H107" s="103" t="str">
        <f t="shared" si="13"/>
        <v>SIF4_SBCS4</v>
      </c>
    </row>
    <row r="108" spans="2:8">
      <c r="B108" s="139"/>
      <c r="C108" s="107" t="s">
        <v>650</v>
      </c>
      <c r="D108" s="109" t="s">
        <v>798</v>
      </c>
      <c r="F108" s="100">
        <v>1</v>
      </c>
      <c r="G108" s="106" t="str">
        <f t="shared" si="12"/>
        <v>SIF4</v>
      </c>
      <c r="H108" s="103" t="str">
        <f t="shared" si="13"/>
        <v>SIF4_SBI4</v>
      </c>
    </row>
    <row r="109" spans="2:8">
      <c r="B109" s="139"/>
      <c r="C109" s="107" t="s">
        <v>650</v>
      </c>
      <c r="D109" s="109" t="s">
        <v>799</v>
      </c>
      <c r="F109" s="100">
        <v>1</v>
      </c>
      <c r="G109" s="106" t="str">
        <f t="shared" si="12"/>
        <v>SIF4</v>
      </c>
      <c r="H109" s="103" t="str">
        <f t="shared" si="13"/>
        <v>SIF4_SBO4</v>
      </c>
    </row>
    <row r="110" spans="2:8">
      <c r="B110" s="139"/>
      <c r="C110" s="107" t="s">
        <v>650</v>
      </c>
      <c r="D110" s="109" t="s">
        <v>801</v>
      </c>
      <c r="F110" s="100">
        <v>1</v>
      </c>
      <c r="G110" s="106" t="str">
        <f t="shared" si="12"/>
        <v>SIF4</v>
      </c>
      <c r="H110" s="103" t="str">
        <f t="shared" si="13"/>
        <v>SIF4_SBT4</v>
      </c>
    </row>
    <row r="111" spans="2:8">
      <c r="B111" s="139"/>
      <c r="C111" s="107" t="s">
        <v>651</v>
      </c>
      <c r="D111" s="109" t="s">
        <v>823</v>
      </c>
      <c r="F111" s="100">
        <v>1</v>
      </c>
      <c r="G111" s="106" t="str">
        <f t="shared" si="12"/>
        <v>SIF5</v>
      </c>
      <c r="H111" s="103" t="str">
        <f t="shared" si="13"/>
        <v>SIF5_SBCS5</v>
      </c>
    </row>
    <row r="112" spans="2:8">
      <c r="B112" s="139"/>
      <c r="C112" s="107" t="s">
        <v>651</v>
      </c>
      <c r="D112" s="109" t="s">
        <v>829</v>
      </c>
      <c r="F112" s="100">
        <v>1</v>
      </c>
      <c r="G112" s="106" t="str">
        <f t="shared" si="12"/>
        <v>SIF5</v>
      </c>
      <c r="H112" s="103" t="str">
        <f t="shared" si="13"/>
        <v>SIF5_SBI5</v>
      </c>
    </row>
    <row r="113" spans="2:8">
      <c r="B113" s="139"/>
      <c r="C113" s="107" t="s">
        <v>651</v>
      </c>
      <c r="D113" s="109" t="s">
        <v>830</v>
      </c>
      <c r="F113" s="100">
        <v>1</v>
      </c>
      <c r="G113" s="106" t="str">
        <f t="shared" si="12"/>
        <v>SIF5</v>
      </c>
      <c r="H113" s="103" t="str">
        <f t="shared" si="13"/>
        <v>SIF5_SBO5</v>
      </c>
    </row>
    <row r="114" spans="2:8">
      <c r="B114" s="139"/>
      <c r="C114" s="107" t="s">
        <v>651</v>
      </c>
      <c r="D114" s="109" t="s">
        <v>827</v>
      </c>
      <c r="F114" s="100">
        <v>1</v>
      </c>
      <c r="G114" s="106" t="str">
        <f t="shared" si="12"/>
        <v>SIF5</v>
      </c>
      <c r="H114" s="103" t="str">
        <f t="shared" si="13"/>
        <v>SIF5_SBT5</v>
      </c>
    </row>
    <row r="115" spans="2:8">
      <c r="B115" s="139"/>
      <c r="C115" s="107" t="s">
        <v>935</v>
      </c>
      <c r="D115" s="109" t="s">
        <v>832</v>
      </c>
      <c r="F115" s="100">
        <v>1</v>
      </c>
      <c r="G115" s="106" t="str">
        <f t="shared" ref="G115:G116" si="14">C115</f>
        <v>SIF6</v>
      </c>
      <c r="H115" s="103" t="str">
        <f t="shared" ref="H115:H116" si="15">IF(F115=1,C115&amp;"_"&amp;D115,D115)</f>
        <v>SIF6_SBCS6</v>
      </c>
    </row>
    <row r="116" spans="2:8">
      <c r="B116" s="139"/>
      <c r="C116" s="107" t="s">
        <v>935</v>
      </c>
      <c r="D116" s="109" t="s">
        <v>836</v>
      </c>
      <c r="F116" s="100">
        <v>1</v>
      </c>
      <c r="G116" s="106" t="str">
        <f t="shared" si="14"/>
        <v>SIF6</v>
      </c>
      <c r="H116" s="103" t="str">
        <f t="shared" si="15"/>
        <v>SIF6_SBI6</v>
      </c>
    </row>
    <row r="117" spans="2:8">
      <c r="B117" s="139"/>
      <c r="C117" s="107" t="s">
        <v>935</v>
      </c>
      <c r="D117" s="109" t="s">
        <v>837</v>
      </c>
      <c r="F117" s="100">
        <v>1</v>
      </c>
      <c r="G117" s="106" t="str">
        <f t="shared" ref="G117:G118" si="16">C117</f>
        <v>SIF6</v>
      </c>
      <c r="H117" s="103" t="str">
        <f t="shared" ref="H117:H118" si="17">IF(F117=1,C117&amp;"_"&amp;D117,D117)</f>
        <v>SIF6_SBO6</v>
      </c>
    </row>
    <row r="118" spans="2:8">
      <c r="B118" s="139"/>
      <c r="C118" s="107" t="s">
        <v>935</v>
      </c>
      <c r="D118" s="109" t="s">
        <v>834</v>
      </c>
      <c r="F118" s="100">
        <v>1</v>
      </c>
      <c r="G118" s="106" t="str">
        <f t="shared" si="16"/>
        <v>SIF6</v>
      </c>
      <c r="H118" s="103" t="str">
        <f t="shared" si="17"/>
        <v>SIF6_SBT6</v>
      </c>
    </row>
    <row r="119" spans="2:8">
      <c r="B119" s="154" t="s">
        <v>936</v>
      </c>
      <c r="C119" s="107" t="s">
        <v>937</v>
      </c>
      <c r="D119" s="105" t="s">
        <v>725</v>
      </c>
      <c r="F119" s="100">
        <v>2</v>
      </c>
      <c r="G119" s="106" t="str">
        <f t="shared" si="0"/>
        <v>AD</v>
      </c>
      <c r="H119" s="103" t="str">
        <f t="shared" si="1"/>
        <v>ADIN00</v>
      </c>
    </row>
    <row r="120" spans="2:8">
      <c r="B120" s="154"/>
      <c r="C120" s="107" t="s">
        <v>937</v>
      </c>
      <c r="D120" s="105" t="s">
        <v>726</v>
      </c>
      <c r="F120" s="100">
        <v>2</v>
      </c>
      <c r="G120" s="106" t="str">
        <f t="shared" si="0"/>
        <v>AD</v>
      </c>
      <c r="H120" s="103" t="str">
        <f t="shared" si="1"/>
        <v>ADIN01</v>
      </c>
    </row>
    <row r="121" spans="2:8">
      <c r="B121" s="154"/>
      <c r="C121" s="107" t="s">
        <v>937</v>
      </c>
      <c r="D121" s="105" t="s">
        <v>727</v>
      </c>
      <c r="F121" s="100">
        <v>2</v>
      </c>
      <c r="G121" s="106" t="str">
        <f t="shared" si="0"/>
        <v>AD</v>
      </c>
      <c r="H121" s="103" t="str">
        <f t="shared" si="1"/>
        <v>ADIN02</v>
      </c>
    </row>
    <row r="122" spans="2:8">
      <c r="B122" s="154"/>
      <c r="C122" s="107" t="s">
        <v>937</v>
      </c>
      <c r="D122" s="105" t="s">
        <v>728</v>
      </c>
      <c r="F122" s="100">
        <v>2</v>
      </c>
      <c r="G122" s="106" t="str">
        <f t="shared" si="0"/>
        <v>AD</v>
      </c>
      <c r="H122" s="103" t="str">
        <f t="shared" si="1"/>
        <v>ADIN03</v>
      </c>
    </row>
    <row r="123" spans="2:8">
      <c r="B123" s="154"/>
      <c r="C123" s="107" t="s">
        <v>937</v>
      </c>
      <c r="D123" s="105" t="s">
        <v>729</v>
      </c>
      <c r="F123" s="100">
        <v>2</v>
      </c>
      <c r="G123" s="106" t="str">
        <f t="shared" si="0"/>
        <v>AD</v>
      </c>
      <c r="H123" s="103" t="str">
        <f t="shared" si="1"/>
        <v>ADIN04</v>
      </c>
    </row>
    <row r="124" spans="2:8">
      <c r="B124" s="154"/>
      <c r="C124" s="107" t="s">
        <v>937</v>
      </c>
      <c r="D124" s="105" t="s">
        <v>730</v>
      </c>
      <c r="F124" s="100">
        <v>2</v>
      </c>
      <c r="G124" s="106" t="str">
        <f t="shared" si="0"/>
        <v>AD</v>
      </c>
      <c r="H124" s="103" t="str">
        <f t="shared" si="1"/>
        <v>ADIN05</v>
      </c>
    </row>
    <row r="125" spans="2:8">
      <c r="B125" s="154"/>
      <c r="C125" s="107" t="s">
        <v>937</v>
      </c>
      <c r="D125" s="105" t="s">
        <v>731</v>
      </c>
      <c r="F125" s="100">
        <v>2</v>
      </c>
      <c r="G125" s="106" t="str">
        <f t="shared" si="0"/>
        <v>AD</v>
      </c>
      <c r="H125" s="103" t="str">
        <f t="shared" si="1"/>
        <v>ADIN06</v>
      </c>
    </row>
    <row r="126" spans="2:8">
      <c r="B126" s="154"/>
      <c r="C126" s="107" t="s">
        <v>937</v>
      </c>
      <c r="D126" s="105" t="s">
        <v>732</v>
      </c>
      <c r="F126" s="100">
        <v>2</v>
      </c>
      <c r="G126" s="106" t="str">
        <f t="shared" si="0"/>
        <v>AD</v>
      </c>
      <c r="H126" s="103" t="str">
        <f t="shared" si="1"/>
        <v>ADIN07</v>
      </c>
    </row>
    <row r="127" spans="2:8">
      <c r="B127" s="154"/>
      <c r="C127" s="107" t="s">
        <v>937</v>
      </c>
      <c r="D127" s="105" t="s">
        <v>733</v>
      </c>
      <c r="F127" s="100">
        <v>2</v>
      </c>
      <c r="G127" s="106" t="str">
        <f t="shared" si="0"/>
        <v>AD</v>
      </c>
      <c r="H127" s="103" t="str">
        <f t="shared" si="1"/>
        <v>ADIN08</v>
      </c>
    </row>
    <row r="128" spans="2:8">
      <c r="B128" s="154"/>
      <c r="C128" s="107" t="s">
        <v>937</v>
      </c>
      <c r="D128" s="105" t="s">
        <v>734</v>
      </c>
      <c r="F128" s="100">
        <v>2</v>
      </c>
      <c r="G128" s="106" t="str">
        <f t="shared" si="0"/>
        <v>AD</v>
      </c>
      <c r="H128" s="103" t="str">
        <f t="shared" si="1"/>
        <v>ADIN09</v>
      </c>
    </row>
    <row r="129" spans="2:8">
      <c r="B129" s="154"/>
      <c r="C129" s="107" t="s">
        <v>937</v>
      </c>
      <c r="D129" s="105" t="s">
        <v>735</v>
      </c>
      <c r="F129" s="100">
        <v>2</v>
      </c>
      <c r="G129" s="106" t="str">
        <f t="shared" si="0"/>
        <v>AD</v>
      </c>
      <c r="H129" s="103" t="str">
        <f t="shared" si="1"/>
        <v>ADIN10</v>
      </c>
    </row>
    <row r="130" spans="2:8">
      <c r="B130" s="154"/>
      <c r="C130" s="107" t="s">
        <v>937</v>
      </c>
      <c r="D130" s="105" t="s">
        <v>736</v>
      </c>
      <c r="F130" s="100">
        <v>2</v>
      </c>
      <c r="G130" s="106" t="str">
        <f t="shared" si="0"/>
        <v>AD</v>
      </c>
      <c r="H130" s="103" t="str">
        <f t="shared" si="1"/>
        <v>ADIN11</v>
      </c>
    </row>
    <row r="131" spans="2:8">
      <c r="B131" s="154"/>
      <c r="C131" s="107" t="s">
        <v>937</v>
      </c>
      <c r="D131" s="105" t="s">
        <v>737</v>
      </c>
      <c r="F131" s="100">
        <v>2</v>
      </c>
      <c r="G131" s="106" t="str">
        <f t="shared" si="0"/>
        <v>AD</v>
      </c>
      <c r="H131" s="103" t="str">
        <f t="shared" si="1"/>
        <v>ADIN12</v>
      </c>
    </row>
    <row r="132" spans="2:8">
      <c r="B132" s="154"/>
      <c r="C132" s="107" t="s">
        <v>937</v>
      </c>
      <c r="D132" s="105" t="s">
        <v>738</v>
      </c>
      <c r="F132" s="100">
        <v>2</v>
      </c>
      <c r="G132" s="106" t="str">
        <f t="shared" ref="G132:G170" si="18">C132</f>
        <v>AD</v>
      </c>
      <c r="H132" s="103" t="str">
        <f t="shared" ref="H132:H170" si="19">IF(F132=1,C132&amp;"_"&amp;D132,D132)</f>
        <v>ADIN13</v>
      </c>
    </row>
    <row r="133" spans="2:8">
      <c r="B133" s="154"/>
      <c r="C133" s="107" t="s">
        <v>937</v>
      </c>
      <c r="D133" s="105" t="s">
        <v>739</v>
      </c>
      <c r="F133" s="100">
        <v>2</v>
      </c>
      <c r="G133" s="106" t="str">
        <f t="shared" si="18"/>
        <v>AD</v>
      </c>
      <c r="H133" s="103" t="str">
        <f t="shared" si="19"/>
        <v>ADIN14</v>
      </c>
    </row>
    <row r="134" spans="2:8">
      <c r="B134" s="154"/>
      <c r="C134" s="107" t="s">
        <v>937</v>
      </c>
      <c r="D134" s="105" t="s">
        <v>740</v>
      </c>
      <c r="F134" s="100">
        <v>2</v>
      </c>
      <c r="G134" s="106" t="str">
        <f t="shared" si="18"/>
        <v>AD</v>
      </c>
      <c r="H134" s="103" t="str">
        <f t="shared" si="19"/>
        <v>ADIN15</v>
      </c>
    </row>
    <row r="135" spans="2:8">
      <c r="B135" s="154"/>
      <c r="C135" s="107" t="s">
        <v>937</v>
      </c>
      <c r="D135" s="105" t="s">
        <v>741</v>
      </c>
      <c r="F135" s="100">
        <v>2</v>
      </c>
      <c r="G135" s="106" t="str">
        <f t="shared" si="18"/>
        <v>AD</v>
      </c>
      <c r="H135" s="103" t="str">
        <f t="shared" si="19"/>
        <v>ADIN16</v>
      </c>
    </row>
    <row r="136" spans="2:8">
      <c r="B136" s="154"/>
      <c r="C136" s="107" t="s">
        <v>937</v>
      </c>
      <c r="D136" s="105" t="s">
        <v>742</v>
      </c>
      <c r="F136" s="100">
        <v>2</v>
      </c>
      <c r="G136" s="106" t="str">
        <f t="shared" si="18"/>
        <v>AD</v>
      </c>
      <c r="H136" s="103" t="str">
        <f t="shared" si="19"/>
        <v>ADIN17</v>
      </c>
    </row>
    <row r="137" spans="2:8">
      <c r="B137" s="154"/>
      <c r="C137" s="107" t="s">
        <v>937</v>
      </c>
      <c r="D137" s="105" t="s">
        <v>743</v>
      </c>
      <c r="F137" s="100">
        <v>2</v>
      </c>
      <c r="G137" s="106" t="str">
        <f t="shared" si="18"/>
        <v>AD</v>
      </c>
      <c r="H137" s="103" t="str">
        <f t="shared" si="19"/>
        <v>ADIN18</v>
      </c>
    </row>
    <row r="138" spans="2:8">
      <c r="B138" s="154"/>
      <c r="C138" s="107" t="s">
        <v>937</v>
      </c>
      <c r="D138" s="105" t="s">
        <v>744</v>
      </c>
      <c r="F138" s="100">
        <v>2</v>
      </c>
      <c r="G138" s="106" t="str">
        <f t="shared" si="18"/>
        <v>AD</v>
      </c>
      <c r="H138" s="103" t="str">
        <f t="shared" si="19"/>
        <v>ADIN19</v>
      </c>
    </row>
    <row r="139" spans="2:8">
      <c r="B139" s="154"/>
      <c r="C139" s="107" t="s">
        <v>937</v>
      </c>
      <c r="D139" s="105" t="s">
        <v>745</v>
      </c>
      <c r="F139" s="100">
        <v>2</v>
      </c>
      <c r="G139" s="106" t="str">
        <f t="shared" si="18"/>
        <v>AD</v>
      </c>
      <c r="H139" s="103" t="str">
        <f t="shared" si="19"/>
        <v>ADIN20</v>
      </c>
    </row>
    <row r="140" spans="2:8">
      <c r="B140" s="154"/>
      <c r="C140" s="107" t="s">
        <v>937</v>
      </c>
      <c r="D140" s="105" t="s">
        <v>746</v>
      </c>
      <c r="F140" s="100">
        <v>2</v>
      </c>
      <c r="G140" s="106" t="str">
        <f t="shared" si="18"/>
        <v>AD</v>
      </c>
      <c r="H140" s="103" t="str">
        <f t="shared" si="19"/>
        <v>ADIN21</v>
      </c>
    </row>
    <row r="141" spans="2:8">
      <c r="B141" s="154"/>
      <c r="C141" s="107" t="s">
        <v>937</v>
      </c>
      <c r="D141" s="105" t="s">
        <v>747</v>
      </c>
      <c r="F141" s="100">
        <v>2</v>
      </c>
      <c r="G141" s="106" t="str">
        <f t="shared" si="18"/>
        <v>AD</v>
      </c>
      <c r="H141" s="103" t="str">
        <f t="shared" si="19"/>
        <v>ADIN22</v>
      </c>
    </row>
    <row r="142" spans="2:8">
      <c r="B142" s="138" t="s">
        <v>938</v>
      </c>
      <c r="C142" s="107" t="s">
        <v>937</v>
      </c>
      <c r="D142" s="109" t="s">
        <v>748</v>
      </c>
      <c r="F142" s="100">
        <v>2</v>
      </c>
      <c r="G142" s="106" t="str">
        <f>C142</f>
        <v>AD</v>
      </c>
      <c r="H142" s="103" t="str">
        <f>IF(F142=1,C142&amp;"_"&amp;D142,D142)</f>
        <v>ADST0</v>
      </c>
    </row>
    <row r="143" spans="2:8">
      <c r="B143" s="138"/>
      <c r="C143" s="107" t="s">
        <v>937</v>
      </c>
      <c r="D143" s="109" t="s">
        <v>749</v>
      </c>
      <c r="F143" s="100">
        <v>2</v>
      </c>
      <c r="G143" s="106" t="str">
        <f>C143</f>
        <v>AD</v>
      </c>
      <c r="H143" s="103" t="str">
        <f>IF(F143=1,C143&amp;"_"&amp;D143,D143)</f>
        <v>ADST1</v>
      </c>
    </row>
    <row r="144" spans="2:8">
      <c r="B144" s="138"/>
      <c r="C144" s="107" t="s">
        <v>937</v>
      </c>
      <c r="D144" s="109" t="s">
        <v>750</v>
      </c>
      <c r="F144" s="100">
        <v>2</v>
      </c>
      <c r="G144" s="106" t="str">
        <f>C144</f>
        <v>AD</v>
      </c>
      <c r="H144" s="103" t="str">
        <f>IF(F144=1,C144&amp;"_"&amp;D144,D144)</f>
        <v>ADST2</v>
      </c>
    </row>
    <row r="145" spans="2:8">
      <c r="B145" s="139" t="s">
        <v>939</v>
      </c>
      <c r="C145" s="107" t="s">
        <v>940</v>
      </c>
      <c r="D145" s="105" t="s">
        <v>898</v>
      </c>
      <c r="F145" s="100">
        <v>1</v>
      </c>
      <c r="G145" s="106" t="str">
        <f t="shared" ref="G145:G152" si="20">C145</f>
        <v>VGA0</v>
      </c>
      <c r="H145" s="103" t="str">
        <f t="shared" ref="H145:H152" si="21">IF(F145=1,C145&amp;"_"&amp;D145,D145)</f>
        <v>VGA0_VGAP00</v>
      </c>
    </row>
    <row r="146" spans="2:8">
      <c r="B146" s="154"/>
      <c r="C146" s="107" t="s">
        <v>940</v>
      </c>
      <c r="D146" s="105" t="s">
        <v>896</v>
      </c>
      <c r="F146" s="100">
        <v>1</v>
      </c>
      <c r="G146" s="106" t="str">
        <f t="shared" si="20"/>
        <v>VGA0</v>
      </c>
      <c r="H146" s="103" t="str">
        <f t="shared" si="21"/>
        <v>VGA0_VGAP01</v>
      </c>
    </row>
    <row r="147" spans="2:8">
      <c r="B147" s="154"/>
      <c r="C147" s="107" t="s">
        <v>940</v>
      </c>
      <c r="D147" s="105" t="s">
        <v>894</v>
      </c>
      <c r="F147" s="100">
        <v>1</v>
      </c>
      <c r="G147" s="106" t="str">
        <f t="shared" si="20"/>
        <v>VGA0</v>
      </c>
      <c r="H147" s="103" t="str">
        <f t="shared" si="21"/>
        <v>VGA0_VGAP02</v>
      </c>
    </row>
    <row r="148" spans="2:8">
      <c r="B148" s="154"/>
      <c r="C148" s="107" t="s">
        <v>940</v>
      </c>
      <c r="D148" s="105" t="s">
        <v>900</v>
      </c>
      <c r="F148" s="100">
        <v>1</v>
      </c>
      <c r="G148" s="106" t="str">
        <f t="shared" si="20"/>
        <v>VGA0</v>
      </c>
      <c r="H148" s="103" t="str">
        <f t="shared" si="21"/>
        <v>VGA0_VGAN0</v>
      </c>
    </row>
    <row r="149" spans="2:8">
      <c r="B149" s="154"/>
      <c r="C149" s="107" t="s">
        <v>941</v>
      </c>
      <c r="D149" s="105" t="s">
        <v>884</v>
      </c>
      <c r="F149" s="100">
        <v>1</v>
      </c>
      <c r="G149" s="106" t="str">
        <f t="shared" si="20"/>
        <v>VGA1</v>
      </c>
      <c r="H149" s="103" t="str">
        <f t="shared" si="21"/>
        <v>VGA1_VGAP10</v>
      </c>
    </row>
    <row r="150" spans="2:8">
      <c r="B150" s="154"/>
      <c r="C150" s="107" t="s">
        <v>941</v>
      </c>
      <c r="D150" s="105" t="s">
        <v>887</v>
      </c>
      <c r="F150" s="100">
        <v>1</v>
      </c>
      <c r="G150" s="106" t="str">
        <f t="shared" si="20"/>
        <v>VGA1</v>
      </c>
      <c r="H150" s="103" t="str">
        <f t="shared" si="21"/>
        <v>VGA1_VGAP11</v>
      </c>
    </row>
    <row r="151" spans="2:8">
      <c r="B151" s="154"/>
      <c r="C151" s="107" t="s">
        <v>941</v>
      </c>
      <c r="D151" s="105" t="s">
        <v>891</v>
      </c>
      <c r="F151" s="100">
        <v>1</v>
      </c>
      <c r="G151" s="106" t="str">
        <f t="shared" si="20"/>
        <v>VGA1</v>
      </c>
      <c r="H151" s="103" t="str">
        <f t="shared" si="21"/>
        <v>VGA1_VGAP12</v>
      </c>
    </row>
    <row r="152" spans="2:8">
      <c r="B152" s="154"/>
      <c r="C152" s="107" t="s">
        <v>941</v>
      </c>
      <c r="D152" s="105" t="s">
        <v>879</v>
      </c>
      <c r="F152" s="100">
        <v>1</v>
      </c>
      <c r="G152" s="106" t="str">
        <f t="shared" si="20"/>
        <v>VGA1</v>
      </c>
      <c r="H152" s="103" t="str">
        <f t="shared" si="21"/>
        <v>VGA1_VGAN1</v>
      </c>
    </row>
    <row r="153" spans="2:8">
      <c r="B153" s="140" t="s">
        <v>942</v>
      </c>
      <c r="C153" s="107" t="s">
        <v>943</v>
      </c>
      <c r="D153" s="105" t="s">
        <v>888</v>
      </c>
      <c r="F153" s="100">
        <v>1</v>
      </c>
      <c r="G153" s="106" t="str">
        <f t="shared" si="18"/>
        <v>CMP0</v>
      </c>
      <c r="H153" s="103" t="str">
        <f t="shared" si="19"/>
        <v>CMP0_CMPIN00</v>
      </c>
    </row>
    <row r="154" spans="2:8">
      <c r="B154" s="141"/>
      <c r="C154" s="107" t="s">
        <v>943</v>
      </c>
      <c r="D154" s="105" t="s">
        <v>889</v>
      </c>
      <c r="F154" s="100">
        <v>1</v>
      </c>
      <c r="G154" s="106" t="str">
        <f t="shared" si="18"/>
        <v>CMP0</v>
      </c>
      <c r="H154" s="103" t="str">
        <f t="shared" si="19"/>
        <v>CMP0_CMPIN01</v>
      </c>
    </row>
    <row r="155" spans="2:8">
      <c r="B155" s="141"/>
      <c r="C155" s="107" t="s">
        <v>943</v>
      </c>
      <c r="D155" s="105" t="s">
        <v>901</v>
      </c>
      <c r="F155" s="100">
        <v>1</v>
      </c>
      <c r="G155" s="106" t="str">
        <f t="shared" si="18"/>
        <v>CMP0</v>
      </c>
      <c r="H155" s="103" t="str">
        <f t="shared" si="19"/>
        <v>CMP0_CMPREF00</v>
      </c>
    </row>
    <row r="156" spans="2:8">
      <c r="B156" s="141"/>
      <c r="C156" s="107" t="s">
        <v>943</v>
      </c>
      <c r="D156" s="105" t="s">
        <v>866</v>
      </c>
      <c r="F156" s="100">
        <v>1</v>
      </c>
      <c r="G156" s="106" t="str">
        <f t="shared" si="18"/>
        <v>CMP0</v>
      </c>
      <c r="H156" s="103" t="str">
        <f t="shared" si="19"/>
        <v>CMP0_CMPREF01</v>
      </c>
    </row>
    <row r="157" spans="2:8">
      <c r="B157" s="141"/>
      <c r="C157" s="107" t="s">
        <v>944</v>
      </c>
      <c r="D157" s="105" t="s">
        <v>880</v>
      </c>
      <c r="F157" s="100">
        <v>1</v>
      </c>
      <c r="G157" s="106" t="str">
        <f t="shared" si="18"/>
        <v>CMP1</v>
      </c>
      <c r="H157" s="103" t="str">
        <f t="shared" si="19"/>
        <v>CMP1_CMPIN10</v>
      </c>
    </row>
    <row r="158" spans="2:8">
      <c r="B158" s="141"/>
      <c r="C158" s="107" t="s">
        <v>944</v>
      </c>
      <c r="D158" s="105" t="s">
        <v>885</v>
      </c>
      <c r="F158" s="100">
        <v>1</v>
      </c>
      <c r="G158" s="106" t="str">
        <f t="shared" si="18"/>
        <v>CMP1</v>
      </c>
      <c r="H158" s="103" t="str">
        <f t="shared" si="19"/>
        <v>CMP1_CMPIN11</v>
      </c>
    </row>
    <row r="159" spans="2:8">
      <c r="B159" s="141"/>
      <c r="C159" s="107" t="s">
        <v>944</v>
      </c>
      <c r="D159" s="105" t="s">
        <v>881</v>
      </c>
      <c r="F159" s="100">
        <v>1</v>
      </c>
      <c r="G159" s="106" t="str">
        <f t="shared" si="18"/>
        <v>CMP1</v>
      </c>
      <c r="H159" s="103" t="str">
        <f t="shared" si="19"/>
        <v>CMP1_CMPREF10</v>
      </c>
    </row>
    <row r="160" spans="2:8">
      <c r="B160" s="142"/>
      <c r="C160" s="107" t="s">
        <v>944</v>
      </c>
      <c r="D160" s="105" t="s">
        <v>864</v>
      </c>
      <c r="F160" s="100">
        <v>1</v>
      </c>
      <c r="G160" s="106" t="str">
        <f t="shared" si="18"/>
        <v>CMP1</v>
      </c>
      <c r="H160" s="103" t="str">
        <f t="shared" si="19"/>
        <v>CMP1_CMPREF11</v>
      </c>
    </row>
    <row r="161" spans="2:8">
      <c r="B161" s="155" t="s">
        <v>945</v>
      </c>
      <c r="C161" s="107" t="s">
        <v>943</v>
      </c>
      <c r="D161" s="105" t="s">
        <v>853</v>
      </c>
      <c r="F161" s="100">
        <v>1</v>
      </c>
      <c r="G161" s="106" t="str">
        <f t="shared" si="18"/>
        <v>CMP0</v>
      </c>
      <c r="H161" s="103" t="str">
        <f t="shared" si="19"/>
        <v>CMP0_CMPOT00</v>
      </c>
    </row>
    <row r="162" spans="2:8">
      <c r="B162" s="156"/>
      <c r="C162" s="107" t="s">
        <v>943</v>
      </c>
      <c r="D162" s="105" t="s">
        <v>854</v>
      </c>
      <c r="F162" s="100">
        <v>1</v>
      </c>
      <c r="G162" s="106" t="str">
        <f t="shared" si="18"/>
        <v>CMP0</v>
      </c>
      <c r="H162" s="103" t="str">
        <f t="shared" si="19"/>
        <v>CMP0_CMPOT01</v>
      </c>
    </row>
    <row r="163" spans="2:8">
      <c r="B163" s="156"/>
      <c r="C163" s="107" t="s">
        <v>944</v>
      </c>
      <c r="D163" s="105" t="s">
        <v>848</v>
      </c>
      <c r="F163" s="100">
        <v>1</v>
      </c>
      <c r="G163" s="106" t="str">
        <f t="shared" si="18"/>
        <v>CMP1</v>
      </c>
      <c r="H163" s="103" t="str">
        <f t="shared" si="19"/>
        <v>CMP1_CMPOT10</v>
      </c>
    </row>
    <row r="164" spans="2:8">
      <c r="B164" s="153"/>
      <c r="C164" s="107" t="s">
        <v>944</v>
      </c>
      <c r="D164" s="105" t="s">
        <v>849</v>
      </c>
      <c r="F164" s="100">
        <v>1</v>
      </c>
      <c r="G164" s="106" t="str">
        <f t="shared" si="18"/>
        <v>CMP1</v>
      </c>
      <c r="H164" s="103" t="str">
        <f t="shared" si="19"/>
        <v>CMP1_CMPOT11</v>
      </c>
    </row>
    <row r="165" spans="2:8">
      <c r="B165" s="106" t="s">
        <v>946</v>
      </c>
      <c r="C165" s="107" t="s">
        <v>947</v>
      </c>
      <c r="D165" s="105" t="s">
        <v>855</v>
      </c>
      <c r="F165" s="100">
        <v>1</v>
      </c>
      <c r="G165" s="106" t="str">
        <f t="shared" si="18"/>
        <v>DAC</v>
      </c>
      <c r="H165" s="103" t="str">
        <f t="shared" si="19"/>
        <v>DAC_DAOT0</v>
      </c>
    </row>
    <row r="166" spans="2:8" ht="15.75" customHeight="1">
      <c r="B166" s="155" t="s">
        <v>948</v>
      </c>
      <c r="C166" s="107" t="s">
        <v>949</v>
      </c>
      <c r="D166" s="105" t="s">
        <v>484</v>
      </c>
      <c r="F166" s="100">
        <v>2</v>
      </c>
      <c r="G166" s="106" t="str">
        <f t="shared" si="18"/>
        <v>P0</v>
      </c>
      <c r="H166" s="103" t="str">
        <f t="shared" si="19"/>
        <v>P0.0</v>
      </c>
    </row>
    <row r="167" spans="2:8">
      <c r="B167" s="156"/>
      <c r="C167" s="107" t="s">
        <v>949</v>
      </c>
      <c r="D167" s="105" t="s">
        <v>488</v>
      </c>
      <c r="F167" s="100">
        <v>2</v>
      </c>
      <c r="G167" s="106" t="str">
        <f t="shared" si="18"/>
        <v>P0</v>
      </c>
      <c r="H167" s="103" t="str">
        <f t="shared" si="19"/>
        <v>P0.1</v>
      </c>
    </row>
    <row r="168" spans="2:8">
      <c r="B168" s="156"/>
      <c r="C168" s="107" t="s">
        <v>949</v>
      </c>
      <c r="D168" s="105" t="s">
        <v>482</v>
      </c>
      <c r="F168" s="100">
        <v>2</v>
      </c>
      <c r="G168" s="106" t="str">
        <f t="shared" si="18"/>
        <v>P0</v>
      </c>
      <c r="H168" s="103" t="str">
        <f t="shared" si="19"/>
        <v>P0.2</v>
      </c>
    </row>
    <row r="169" spans="2:8">
      <c r="B169" s="156"/>
      <c r="C169" s="107" t="s">
        <v>950</v>
      </c>
      <c r="D169" s="105" t="s">
        <v>603</v>
      </c>
      <c r="F169" s="100">
        <v>2</v>
      </c>
      <c r="G169" s="106" t="str">
        <f t="shared" si="18"/>
        <v>P1</v>
      </c>
      <c r="H169" s="103" t="str">
        <f t="shared" si="19"/>
        <v>P1.0</v>
      </c>
    </row>
    <row r="170" spans="2:8">
      <c r="B170" s="156"/>
      <c r="C170" s="107" t="s">
        <v>950</v>
      </c>
      <c r="D170" s="105" t="s">
        <v>601</v>
      </c>
      <c r="F170" s="100">
        <v>2</v>
      </c>
      <c r="G170" s="106" t="str">
        <f t="shared" si="18"/>
        <v>P1</v>
      </c>
      <c r="H170" s="103" t="str">
        <f t="shared" si="19"/>
        <v>P1.1</v>
      </c>
    </row>
    <row r="171" spans="2:8">
      <c r="B171" s="156"/>
      <c r="C171" s="107" t="s">
        <v>951</v>
      </c>
      <c r="D171" s="105" t="s">
        <v>551</v>
      </c>
      <c r="F171" s="100">
        <v>2</v>
      </c>
      <c r="G171" s="106" t="str">
        <f t="shared" ref="G171:G233" si="22">C171</f>
        <v>P2</v>
      </c>
      <c r="H171" s="103" t="str">
        <f t="shared" ref="H171:H233" si="23">IF(F171=1,C171&amp;"_"&amp;D171,D171)</f>
        <v>P2.0</v>
      </c>
    </row>
    <row r="172" spans="2:8">
      <c r="B172" s="156"/>
      <c r="C172" s="107" t="s">
        <v>951</v>
      </c>
      <c r="D172" s="105" t="s">
        <v>549</v>
      </c>
      <c r="F172" s="100">
        <v>2</v>
      </c>
      <c r="G172" s="106" t="str">
        <f t="shared" si="22"/>
        <v>P2</v>
      </c>
      <c r="H172" s="103" t="str">
        <f t="shared" si="23"/>
        <v>P2.1</v>
      </c>
    </row>
    <row r="173" spans="2:8">
      <c r="B173" s="156"/>
      <c r="C173" s="107" t="s">
        <v>951</v>
      </c>
      <c r="D173" s="105" t="s">
        <v>546</v>
      </c>
      <c r="F173" s="100">
        <v>2</v>
      </c>
      <c r="G173" s="106" t="str">
        <f t="shared" si="22"/>
        <v>P2</v>
      </c>
      <c r="H173" s="103" t="str">
        <f t="shared" si="23"/>
        <v>P2.2</v>
      </c>
    </row>
    <row r="174" spans="2:8">
      <c r="B174" s="156"/>
      <c r="C174" s="107" t="s">
        <v>951</v>
      </c>
      <c r="D174" s="105" t="s">
        <v>543</v>
      </c>
      <c r="F174" s="100">
        <v>2</v>
      </c>
      <c r="G174" s="106" t="str">
        <f t="shared" si="22"/>
        <v>P2</v>
      </c>
      <c r="H174" s="103" t="str">
        <f t="shared" si="23"/>
        <v>P2.3</v>
      </c>
    </row>
    <row r="175" spans="2:8">
      <c r="B175" s="156"/>
      <c r="C175" s="107" t="s">
        <v>951</v>
      </c>
      <c r="D175" s="105" t="s">
        <v>540</v>
      </c>
      <c r="F175" s="100">
        <v>2</v>
      </c>
      <c r="G175" s="106" t="str">
        <f t="shared" si="22"/>
        <v>P2</v>
      </c>
      <c r="H175" s="103" t="str">
        <f t="shared" si="23"/>
        <v>P2.4</v>
      </c>
    </row>
    <row r="176" spans="2:8">
      <c r="B176" s="156"/>
      <c r="C176" s="107" t="s">
        <v>952</v>
      </c>
      <c r="D176" s="105" t="s">
        <v>538</v>
      </c>
      <c r="F176" s="100">
        <v>2</v>
      </c>
      <c r="G176" s="106" t="str">
        <f t="shared" si="22"/>
        <v>P3</v>
      </c>
      <c r="H176" s="103" t="str">
        <f t="shared" si="23"/>
        <v>P3.0</v>
      </c>
    </row>
    <row r="177" spans="2:8">
      <c r="B177" s="156"/>
      <c r="C177" s="107" t="s">
        <v>952</v>
      </c>
      <c r="D177" s="105" t="s">
        <v>536</v>
      </c>
      <c r="F177" s="100">
        <v>2</v>
      </c>
      <c r="G177" s="106" t="str">
        <f t="shared" si="22"/>
        <v>P3</v>
      </c>
      <c r="H177" s="103" t="str">
        <f t="shared" si="23"/>
        <v>P3.1</v>
      </c>
    </row>
    <row r="178" spans="2:8">
      <c r="B178" s="156"/>
      <c r="C178" s="107" t="s">
        <v>952</v>
      </c>
      <c r="D178" s="105" t="s">
        <v>534</v>
      </c>
      <c r="F178" s="100">
        <v>2</v>
      </c>
      <c r="G178" s="106" t="str">
        <f t="shared" si="22"/>
        <v>P3</v>
      </c>
      <c r="H178" s="103" t="str">
        <f t="shared" si="23"/>
        <v>P3.2</v>
      </c>
    </row>
    <row r="179" spans="2:8">
      <c r="B179" s="156"/>
      <c r="C179" s="107" t="s">
        <v>952</v>
      </c>
      <c r="D179" s="105" t="s">
        <v>532</v>
      </c>
      <c r="F179" s="100">
        <v>2</v>
      </c>
      <c r="G179" s="106" t="str">
        <f t="shared" si="22"/>
        <v>P3</v>
      </c>
      <c r="H179" s="103" t="str">
        <f t="shared" si="23"/>
        <v>P3.3</v>
      </c>
    </row>
    <row r="180" spans="2:8">
      <c r="B180" s="156"/>
      <c r="C180" s="107" t="s">
        <v>953</v>
      </c>
      <c r="D180" s="105" t="s">
        <v>593</v>
      </c>
      <c r="F180" s="100">
        <v>2</v>
      </c>
      <c r="G180" s="106" t="str">
        <f t="shared" si="22"/>
        <v>P4</v>
      </c>
      <c r="H180" s="103" t="str">
        <f t="shared" si="23"/>
        <v>P4.0</v>
      </c>
    </row>
    <row r="181" spans="2:8">
      <c r="B181" s="156"/>
      <c r="C181" s="107" t="s">
        <v>953</v>
      </c>
      <c r="D181" s="105" t="s">
        <v>591</v>
      </c>
      <c r="F181" s="100">
        <v>2</v>
      </c>
      <c r="G181" s="106" t="str">
        <f t="shared" si="22"/>
        <v>P4</v>
      </c>
      <c r="H181" s="103" t="str">
        <f t="shared" si="23"/>
        <v>P4.1</v>
      </c>
    </row>
    <row r="182" spans="2:8">
      <c r="B182" s="156"/>
      <c r="C182" s="107" t="s">
        <v>953</v>
      </c>
      <c r="D182" s="105" t="s">
        <v>589</v>
      </c>
      <c r="F182" s="100">
        <v>2</v>
      </c>
      <c r="G182" s="106" t="str">
        <f t="shared" si="22"/>
        <v>P4</v>
      </c>
      <c r="H182" s="103" t="str">
        <f t="shared" si="23"/>
        <v>P4.2</v>
      </c>
    </row>
    <row r="183" spans="2:8">
      <c r="B183" s="156"/>
      <c r="C183" s="107" t="s">
        <v>953</v>
      </c>
      <c r="D183" s="105" t="s">
        <v>587</v>
      </c>
      <c r="F183" s="100">
        <v>2</v>
      </c>
      <c r="G183" s="106" t="str">
        <f t="shared" si="22"/>
        <v>P4</v>
      </c>
      <c r="H183" s="103" t="str">
        <f t="shared" si="23"/>
        <v>P4.3</v>
      </c>
    </row>
    <row r="184" spans="2:8">
      <c r="B184" s="156"/>
      <c r="C184" s="107" t="s">
        <v>953</v>
      </c>
      <c r="D184" s="105" t="s">
        <v>585</v>
      </c>
      <c r="F184" s="100">
        <v>2</v>
      </c>
      <c r="G184" s="106" t="str">
        <f t="shared" si="22"/>
        <v>P4</v>
      </c>
      <c r="H184" s="103" t="str">
        <f t="shared" si="23"/>
        <v>P4.4</v>
      </c>
    </row>
    <row r="185" spans="2:8">
      <c r="B185" s="156"/>
      <c r="C185" s="107" t="s">
        <v>953</v>
      </c>
      <c r="D185" s="105" t="s">
        <v>583</v>
      </c>
      <c r="F185" s="100">
        <v>2</v>
      </c>
      <c r="G185" s="106" t="str">
        <f t="shared" si="22"/>
        <v>P4</v>
      </c>
      <c r="H185" s="103" t="str">
        <f t="shared" si="23"/>
        <v>P4.5</v>
      </c>
    </row>
    <row r="186" spans="2:8">
      <c r="B186" s="156"/>
      <c r="C186" s="107" t="s">
        <v>953</v>
      </c>
      <c r="D186" s="105" t="s">
        <v>581</v>
      </c>
      <c r="F186" s="100">
        <v>2</v>
      </c>
      <c r="G186" s="106" t="str">
        <f t="shared" si="22"/>
        <v>P4</v>
      </c>
      <c r="H186" s="103" t="str">
        <f t="shared" si="23"/>
        <v>P4.6</v>
      </c>
    </row>
    <row r="187" spans="2:8">
      <c r="B187" s="156"/>
      <c r="C187" s="107" t="s">
        <v>953</v>
      </c>
      <c r="D187" s="105" t="s">
        <v>579</v>
      </c>
      <c r="F187" s="100">
        <v>2</v>
      </c>
      <c r="G187" s="106" t="str">
        <f t="shared" si="22"/>
        <v>P4</v>
      </c>
      <c r="H187" s="103" t="str">
        <f t="shared" si="23"/>
        <v>P4.7</v>
      </c>
    </row>
    <row r="188" spans="2:8">
      <c r="B188" s="156"/>
      <c r="C188" s="107" t="s">
        <v>954</v>
      </c>
      <c r="D188" s="105" t="s">
        <v>577</v>
      </c>
      <c r="F188" s="100">
        <v>2</v>
      </c>
      <c r="G188" s="106" t="str">
        <f t="shared" si="22"/>
        <v>P5</v>
      </c>
      <c r="H188" s="103" t="str">
        <f t="shared" si="23"/>
        <v>P5.0</v>
      </c>
    </row>
    <row r="189" spans="2:8">
      <c r="B189" s="156"/>
      <c r="C189" s="107" t="s">
        <v>954</v>
      </c>
      <c r="D189" s="105" t="s">
        <v>575</v>
      </c>
      <c r="F189" s="100">
        <v>2</v>
      </c>
      <c r="G189" s="106" t="str">
        <f t="shared" si="22"/>
        <v>P5</v>
      </c>
      <c r="H189" s="103" t="str">
        <f t="shared" si="23"/>
        <v>P5.1</v>
      </c>
    </row>
    <row r="190" spans="2:8">
      <c r="B190" s="156"/>
      <c r="C190" s="107" t="s">
        <v>954</v>
      </c>
      <c r="D190" s="105" t="s">
        <v>573</v>
      </c>
      <c r="F190" s="100">
        <v>2</v>
      </c>
      <c r="G190" s="106" t="str">
        <f t="shared" si="22"/>
        <v>P5</v>
      </c>
      <c r="H190" s="103" t="str">
        <f t="shared" si="23"/>
        <v>P5.2</v>
      </c>
    </row>
    <row r="191" spans="2:8">
      <c r="B191" s="156"/>
      <c r="C191" s="107" t="s">
        <v>954</v>
      </c>
      <c r="D191" s="105" t="s">
        <v>571</v>
      </c>
      <c r="F191" s="100">
        <v>2</v>
      </c>
      <c r="G191" s="106" t="str">
        <f t="shared" si="22"/>
        <v>P5</v>
      </c>
      <c r="H191" s="103" t="str">
        <f t="shared" si="23"/>
        <v>P5.3</v>
      </c>
    </row>
    <row r="192" spans="2:8">
      <c r="B192" s="156"/>
      <c r="C192" s="107" t="s">
        <v>954</v>
      </c>
      <c r="D192" s="105" t="s">
        <v>569</v>
      </c>
      <c r="F192" s="100">
        <v>2</v>
      </c>
      <c r="G192" s="106" t="str">
        <f t="shared" si="22"/>
        <v>P5</v>
      </c>
      <c r="H192" s="103" t="str">
        <f t="shared" si="23"/>
        <v>P5.4</v>
      </c>
    </row>
    <row r="193" spans="2:8">
      <c r="B193" s="156"/>
      <c r="C193" s="107" t="s">
        <v>954</v>
      </c>
      <c r="D193" s="105" t="s">
        <v>567</v>
      </c>
      <c r="F193" s="100">
        <v>2</v>
      </c>
      <c r="G193" s="106" t="str">
        <f t="shared" si="22"/>
        <v>P5</v>
      </c>
      <c r="H193" s="103" t="str">
        <f t="shared" si="23"/>
        <v>P5.5</v>
      </c>
    </row>
    <row r="194" spans="2:8">
      <c r="B194" s="156"/>
      <c r="C194" s="107" t="s">
        <v>955</v>
      </c>
      <c r="D194" s="105" t="s">
        <v>565</v>
      </c>
      <c r="F194" s="100">
        <v>2</v>
      </c>
      <c r="G194" s="106" t="str">
        <f t="shared" si="22"/>
        <v>P6</v>
      </c>
      <c r="H194" s="103" t="str">
        <f t="shared" si="23"/>
        <v>P6.0</v>
      </c>
    </row>
    <row r="195" spans="2:8">
      <c r="B195" s="156"/>
      <c r="C195" s="107" t="s">
        <v>955</v>
      </c>
      <c r="D195" s="105" t="s">
        <v>563</v>
      </c>
      <c r="F195" s="100">
        <v>2</v>
      </c>
      <c r="G195" s="106" t="str">
        <f t="shared" si="22"/>
        <v>P6</v>
      </c>
      <c r="H195" s="103" t="str">
        <f t="shared" si="23"/>
        <v>P6.1</v>
      </c>
    </row>
    <row r="196" spans="2:8">
      <c r="B196" s="156"/>
      <c r="C196" s="107" t="s">
        <v>955</v>
      </c>
      <c r="D196" s="105" t="s">
        <v>561</v>
      </c>
      <c r="F196" s="100">
        <v>2</v>
      </c>
      <c r="G196" s="106" t="str">
        <f t="shared" si="22"/>
        <v>P6</v>
      </c>
      <c r="H196" s="103" t="str">
        <f t="shared" si="23"/>
        <v>P6.2</v>
      </c>
    </row>
    <row r="197" spans="2:8">
      <c r="B197" s="156"/>
      <c r="C197" s="107" t="s">
        <v>955</v>
      </c>
      <c r="D197" s="105" t="s">
        <v>559</v>
      </c>
      <c r="F197" s="100">
        <v>2</v>
      </c>
      <c r="G197" s="106" t="str">
        <f t="shared" si="22"/>
        <v>P6</v>
      </c>
      <c r="H197" s="103" t="str">
        <f t="shared" si="23"/>
        <v>P6.3</v>
      </c>
    </row>
    <row r="198" spans="2:8">
      <c r="B198" s="156"/>
      <c r="C198" s="107" t="s">
        <v>955</v>
      </c>
      <c r="D198" s="105" t="s">
        <v>555</v>
      </c>
      <c r="F198" s="100">
        <v>2</v>
      </c>
      <c r="G198" s="106" t="str">
        <f t="shared" si="22"/>
        <v>P6</v>
      </c>
      <c r="H198" s="103" t="str">
        <f t="shared" si="23"/>
        <v>P6.4</v>
      </c>
    </row>
    <row r="199" spans="2:8">
      <c r="B199" s="156"/>
      <c r="C199" s="107" t="s">
        <v>955</v>
      </c>
      <c r="D199" s="105" t="s">
        <v>553</v>
      </c>
      <c r="F199" s="100">
        <v>2</v>
      </c>
      <c r="G199" s="106" t="str">
        <f t="shared" si="22"/>
        <v>P6</v>
      </c>
      <c r="H199" s="103" t="str">
        <f t="shared" si="23"/>
        <v>P6.5</v>
      </c>
    </row>
    <row r="200" spans="2:8">
      <c r="B200" s="156"/>
      <c r="C200" s="107" t="s">
        <v>956</v>
      </c>
      <c r="D200" s="105" t="s">
        <v>530</v>
      </c>
      <c r="F200" s="100">
        <v>2</v>
      </c>
      <c r="G200" s="106" t="str">
        <f t="shared" si="22"/>
        <v>P7</v>
      </c>
      <c r="H200" s="103" t="str">
        <f t="shared" si="23"/>
        <v>P7.0</v>
      </c>
    </row>
    <row r="201" spans="2:8">
      <c r="B201" s="156"/>
      <c r="C201" s="107" t="s">
        <v>956</v>
      </c>
      <c r="D201" s="105" t="s">
        <v>528</v>
      </c>
      <c r="F201" s="100">
        <v>2</v>
      </c>
      <c r="G201" s="106" t="str">
        <f t="shared" si="22"/>
        <v>P7</v>
      </c>
      <c r="H201" s="103" t="str">
        <f t="shared" si="23"/>
        <v>P7.1</v>
      </c>
    </row>
    <row r="202" spans="2:8">
      <c r="B202" s="156"/>
      <c r="C202" s="107" t="s">
        <v>956</v>
      </c>
      <c r="D202" s="105" t="s">
        <v>526</v>
      </c>
      <c r="F202" s="100">
        <v>2</v>
      </c>
      <c r="G202" s="106" t="str">
        <f t="shared" si="22"/>
        <v>P7</v>
      </c>
      <c r="H202" s="103" t="str">
        <f t="shared" si="23"/>
        <v>P7.2</v>
      </c>
    </row>
    <row r="203" spans="2:8">
      <c r="B203" s="156"/>
      <c r="C203" s="107" t="s">
        <v>956</v>
      </c>
      <c r="D203" s="105" t="s">
        <v>524</v>
      </c>
      <c r="F203" s="100">
        <v>2</v>
      </c>
      <c r="G203" s="106" t="str">
        <f t="shared" si="22"/>
        <v>P7</v>
      </c>
      <c r="H203" s="103" t="str">
        <f t="shared" si="23"/>
        <v>P7.3</v>
      </c>
    </row>
    <row r="204" spans="2:8">
      <c r="B204" s="156"/>
      <c r="C204" s="107" t="s">
        <v>956</v>
      </c>
      <c r="D204" s="105" t="s">
        <v>522</v>
      </c>
      <c r="F204" s="100">
        <v>2</v>
      </c>
      <c r="G204" s="106" t="str">
        <f t="shared" si="22"/>
        <v>P7</v>
      </c>
      <c r="H204" s="103" t="str">
        <f t="shared" si="23"/>
        <v>P7.4</v>
      </c>
    </row>
    <row r="205" spans="2:8">
      <c r="B205" s="156"/>
      <c r="C205" s="107" t="s">
        <v>956</v>
      </c>
      <c r="D205" s="105" t="s">
        <v>520</v>
      </c>
      <c r="F205" s="100">
        <v>2</v>
      </c>
      <c r="G205" s="106" t="str">
        <f t="shared" si="22"/>
        <v>P7</v>
      </c>
      <c r="H205" s="103" t="str">
        <f t="shared" si="23"/>
        <v>P7.5</v>
      </c>
    </row>
    <row r="206" spans="2:8">
      <c r="B206" s="156"/>
      <c r="C206" s="107" t="s">
        <v>956</v>
      </c>
      <c r="D206" s="105" t="s">
        <v>518</v>
      </c>
      <c r="F206" s="100">
        <v>2</v>
      </c>
      <c r="G206" s="106" t="str">
        <f t="shared" si="22"/>
        <v>P7</v>
      </c>
      <c r="H206" s="103" t="str">
        <f t="shared" si="23"/>
        <v>P7.6</v>
      </c>
    </row>
    <row r="207" spans="2:8">
      <c r="B207" s="156"/>
      <c r="C207" s="107" t="s">
        <v>957</v>
      </c>
      <c r="D207" s="105" t="s">
        <v>599</v>
      </c>
      <c r="F207" s="100">
        <v>2</v>
      </c>
      <c r="G207" s="106" t="str">
        <f t="shared" si="22"/>
        <v>P8</v>
      </c>
      <c r="H207" s="103" t="str">
        <f t="shared" si="23"/>
        <v>P8.0</v>
      </c>
    </row>
    <row r="208" spans="2:8">
      <c r="B208" s="156"/>
      <c r="C208" s="107" t="s">
        <v>957</v>
      </c>
      <c r="D208" s="105" t="s">
        <v>597</v>
      </c>
      <c r="F208" s="100">
        <v>2</v>
      </c>
      <c r="G208" s="106" t="str">
        <f t="shared" si="22"/>
        <v>P8</v>
      </c>
      <c r="H208" s="103" t="str">
        <f t="shared" si="23"/>
        <v>P8.1</v>
      </c>
    </row>
    <row r="209" spans="2:8">
      <c r="B209" s="156"/>
      <c r="C209" s="107" t="s">
        <v>957</v>
      </c>
      <c r="D209" s="105" t="s">
        <v>595</v>
      </c>
      <c r="F209" s="100">
        <v>2</v>
      </c>
      <c r="G209" s="106" t="str">
        <f t="shared" si="22"/>
        <v>P8</v>
      </c>
      <c r="H209" s="103" t="str">
        <f t="shared" si="23"/>
        <v>P8.2</v>
      </c>
    </row>
    <row r="210" spans="2:8">
      <c r="B210" s="156"/>
      <c r="C210" s="107" t="s">
        <v>958</v>
      </c>
      <c r="D210" s="105" t="s">
        <v>516</v>
      </c>
      <c r="F210" s="100">
        <v>2</v>
      </c>
      <c r="G210" s="106" t="str">
        <f t="shared" si="22"/>
        <v>P9</v>
      </c>
      <c r="H210" s="103" t="str">
        <f t="shared" si="23"/>
        <v>P9.0</v>
      </c>
    </row>
    <row r="211" spans="2:8">
      <c r="B211" s="156"/>
      <c r="C211" s="107" t="s">
        <v>958</v>
      </c>
      <c r="D211" s="105" t="s">
        <v>514</v>
      </c>
      <c r="F211" s="100">
        <v>2</v>
      </c>
      <c r="G211" s="106" t="str">
        <f t="shared" si="22"/>
        <v>P9</v>
      </c>
      <c r="H211" s="103" t="str">
        <f t="shared" si="23"/>
        <v>P9.1</v>
      </c>
    </row>
    <row r="212" spans="2:8">
      <c r="B212" s="156"/>
      <c r="C212" s="107" t="s">
        <v>958</v>
      </c>
      <c r="D212" s="105" t="s">
        <v>512</v>
      </c>
      <c r="F212" s="100">
        <v>2</v>
      </c>
      <c r="G212" s="106" t="str">
        <f t="shared" si="22"/>
        <v>P9</v>
      </c>
      <c r="H212" s="103" t="str">
        <f t="shared" si="23"/>
        <v>P9.2</v>
      </c>
    </row>
    <row r="213" spans="2:8">
      <c r="B213" s="156"/>
      <c r="C213" s="107" t="s">
        <v>958</v>
      </c>
      <c r="D213" s="105" t="s">
        <v>510</v>
      </c>
      <c r="F213" s="100">
        <v>2</v>
      </c>
      <c r="G213" s="106" t="str">
        <f t="shared" si="22"/>
        <v>P9</v>
      </c>
      <c r="H213" s="103" t="str">
        <f t="shared" si="23"/>
        <v>P9.3</v>
      </c>
    </row>
    <row r="214" spans="2:8">
      <c r="B214" s="156"/>
      <c r="C214" s="107" t="s">
        <v>958</v>
      </c>
      <c r="D214" s="105" t="s">
        <v>508</v>
      </c>
      <c r="F214" s="100">
        <v>2</v>
      </c>
      <c r="G214" s="106" t="str">
        <f t="shared" si="22"/>
        <v>P9</v>
      </c>
      <c r="H214" s="103" t="str">
        <f t="shared" si="23"/>
        <v>P9.4</v>
      </c>
    </row>
    <row r="215" spans="2:8">
      <c r="B215" s="156"/>
      <c r="C215" s="107" t="s">
        <v>958</v>
      </c>
      <c r="D215" s="105" t="s">
        <v>506</v>
      </c>
      <c r="F215" s="100">
        <v>2</v>
      </c>
      <c r="G215" s="106" t="str">
        <f t="shared" si="22"/>
        <v>P9</v>
      </c>
      <c r="H215" s="103" t="str">
        <f t="shared" si="23"/>
        <v>P9.5</v>
      </c>
    </row>
    <row r="216" spans="2:8">
      <c r="B216" s="156"/>
      <c r="C216" s="107" t="s">
        <v>958</v>
      </c>
      <c r="D216" s="105" t="s">
        <v>504</v>
      </c>
      <c r="F216" s="100">
        <v>2</v>
      </c>
      <c r="G216" s="106" t="str">
        <f t="shared" si="22"/>
        <v>P9</v>
      </c>
      <c r="H216" s="103" t="str">
        <f t="shared" si="23"/>
        <v>P9.6</v>
      </c>
    </row>
    <row r="217" spans="2:8">
      <c r="B217" s="156"/>
      <c r="C217" s="107" t="s">
        <v>959</v>
      </c>
      <c r="D217" s="105" t="s">
        <v>309</v>
      </c>
      <c r="F217" s="100">
        <v>2</v>
      </c>
      <c r="G217" s="106" t="str">
        <f t="shared" si="22"/>
        <v>PA</v>
      </c>
      <c r="H217" s="103" t="str">
        <f t="shared" si="23"/>
        <v>PA.0</v>
      </c>
    </row>
    <row r="218" spans="2:8">
      <c r="B218" s="156"/>
      <c r="C218" s="107" t="s">
        <v>959</v>
      </c>
      <c r="D218" s="105" t="s">
        <v>304</v>
      </c>
      <c r="F218" s="100">
        <v>2</v>
      </c>
      <c r="G218" s="106" t="str">
        <f t="shared" si="22"/>
        <v>PA</v>
      </c>
      <c r="H218" s="103" t="str">
        <f t="shared" si="23"/>
        <v>PA.1</v>
      </c>
    </row>
    <row r="219" spans="2:8">
      <c r="B219" s="156"/>
      <c r="C219" s="107" t="s">
        <v>959</v>
      </c>
      <c r="D219" s="105" t="s">
        <v>299</v>
      </c>
      <c r="F219" s="100">
        <v>2</v>
      </c>
      <c r="G219" s="106" t="str">
        <f t="shared" si="22"/>
        <v>PA</v>
      </c>
      <c r="H219" s="103" t="str">
        <f t="shared" si="23"/>
        <v>PA.2</v>
      </c>
    </row>
    <row r="220" spans="2:8">
      <c r="B220" s="156"/>
      <c r="C220" s="107" t="s">
        <v>959</v>
      </c>
      <c r="D220" s="105" t="s">
        <v>294</v>
      </c>
      <c r="F220" s="100">
        <v>2</v>
      </c>
      <c r="G220" s="106" t="str">
        <f t="shared" si="22"/>
        <v>PA</v>
      </c>
      <c r="H220" s="103" t="str">
        <f t="shared" si="23"/>
        <v>PA.3</v>
      </c>
    </row>
    <row r="221" spans="2:8">
      <c r="B221" s="156"/>
      <c r="C221" s="107" t="s">
        <v>959</v>
      </c>
      <c r="D221" s="105" t="s">
        <v>289</v>
      </c>
      <c r="F221" s="100">
        <v>2</v>
      </c>
      <c r="G221" s="106" t="str">
        <f t="shared" si="22"/>
        <v>PA</v>
      </c>
      <c r="H221" s="103" t="str">
        <f t="shared" si="23"/>
        <v>PA.4</v>
      </c>
    </row>
    <row r="222" spans="2:8">
      <c r="B222" s="156"/>
      <c r="C222" s="107" t="s">
        <v>959</v>
      </c>
      <c r="D222" s="105" t="s">
        <v>285</v>
      </c>
      <c r="F222" s="100">
        <v>2</v>
      </c>
      <c r="G222" s="106" t="str">
        <f t="shared" si="22"/>
        <v>PA</v>
      </c>
      <c r="H222" s="103" t="str">
        <f t="shared" si="23"/>
        <v>PA.5</v>
      </c>
    </row>
    <row r="223" spans="2:8">
      <c r="B223" s="156"/>
      <c r="C223" s="107" t="s">
        <v>960</v>
      </c>
      <c r="D223" s="105" t="s">
        <v>101</v>
      </c>
      <c r="F223" s="100">
        <v>2</v>
      </c>
      <c r="G223" s="106" t="str">
        <f t="shared" si="22"/>
        <v>PB</v>
      </c>
      <c r="H223" s="103" t="str">
        <f t="shared" si="23"/>
        <v>PB.0</v>
      </c>
    </row>
    <row r="224" spans="2:8">
      <c r="B224" s="156"/>
      <c r="C224" s="107" t="s">
        <v>960</v>
      </c>
      <c r="D224" s="105" t="s">
        <v>92</v>
      </c>
      <c r="F224" s="100">
        <v>2</v>
      </c>
      <c r="G224" s="106" t="str">
        <f t="shared" si="22"/>
        <v>PB</v>
      </c>
      <c r="H224" s="103" t="str">
        <f t="shared" si="23"/>
        <v>PB.1</v>
      </c>
    </row>
    <row r="225" spans="2:8">
      <c r="B225" s="156"/>
      <c r="C225" s="107" t="s">
        <v>960</v>
      </c>
      <c r="D225" s="105" t="s">
        <v>61</v>
      </c>
      <c r="F225" s="100">
        <v>2</v>
      </c>
      <c r="G225" s="106" t="str">
        <f t="shared" si="22"/>
        <v>PB</v>
      </c>
      <c r="H225" s="103" t="str">
        <f t="shared" si="23"/>
        <v>PB.2</v>
      </c>
    </row>
    <row r="226" spans="2:8">
      <c r="B226" s="156"/>
      <c r="C226" s="107" t="s">
        <v>960</v>
      </c>
      <c r="D226" s="105" t="s">
        <v>50</v>
      </c>
      <c r="F226" s="100">
        <v>2</v>
      </c>
      <c r="G226" s="106" t="str">
        <f t="shared" si="22"/>
        <v>PB</v>
      </c>
      <c r="H226" s="103" t="str">
        <f t="shared" si="23"/>
        <v>PB.3</v>
      </c>
    </row>
    <row r="227" spans="2:8">
      <c r="B227" s="156"/>
      <c r="C227" s="107" t="s">
        <v>960</v>
      </c>
      <c r="D227" s="105" t="s">
        <v>39</v>
      </c>
      <c r="F227" s="100">
        <v>2</v>
      </c>
      <c r="G227" s="106" t="str">
        <f t="shared" si="22"/>
        <v>PB</v>
      </c>
      <c r="H227" s="103" t="str">
        <f t="shared" si="23"/>
        <v>PB.4</v>
      </c>
    </row>
    <row r="228" spans="2:8">
      <c r="B228" s="156"/>
      <c r="C228" s="107" t="s">
        <v>960</v>
      </c>
      <c r="D228" s="105" t="s">
        <v>26</v>
      </c>
      <c r="F228" s="100">
        <v>2</v>
      </c>
      <c r="G228" s="106" t="str">
        <f t="shared" si="22"/>
        <v>PB</v>
      </c>
      <c r="H228" s="103" t="str">
        <f t="shared" si="23"/>
        <v>PB.5</v>
      </c>
    </row>
    <row r="229" spans="2:8">
      <c r="B229" s="156"/>
      <c r="C229" s="107" t="s">
        <v>960</v>
      </c>
      <c r="D229" s="105" t="s">
        <v>498</v>
      </c>
      <c r="F229" s="100">
        <v>2</v>
      </c>
      <c r="G229" s="106" t="str">
        <f t="shared" si="22"/>
        <v>PB</v>
      </c>
      <c r="H229" s="103" t="str">
        <f t="shared" si="23"/>
        <v>PB.6</v>
      </c>
    </row>
    <row r="230" spans="2:8">
      <c r="B230" s="156"/>
      <c r="C230" s="107" t="s">
        <v>960</v>
      </c>
      <c r="D230" s="105" t="s">
        <v>496</v>
      </c>
      <c r="F230" s="100">
        <v>2</v>
      </c>
      <c r="G230" s="106" t="str">
        <f t="shared" si="22"/>
        <v>PB</v>
      </c>
      <c r="H230" s="103" t="str">
        <f t="shared" si="23"/>
        <v>PB.7</v>
      </c>
    </row>
    <row r="231" spans="2:8">
      <c r="B231" s="156"/>
      <c r="C231" s="107" t="s">
        <v>961</v>
      </c>
      <c r="D231" s="105" t="s">
        <v>394</v>
      </c>
      <c r="F231" s="100">
        <v>2</v>
      </c>
      <c r="G231" s="106" t="str">
        <f t="shared" si="22"/>
        <v>PD</v>
      </c>
      <c r="H231" s="103" t="str">
        <f t="shared" si="23"/>
        <v>PD.0</v>
      </c>
    </row>
    <row r="232" spans="2:8">
      <c r="B232" s="156"/>
      <c r="C232" s="107" t="s">
        <v>961</v>
      </c>
      <c r="D232" s="105" t="s">
        <v>390</v>
      </c>
      <c r="F232" s="100">
        <v>2</v>
      </c>
      <c r="G232" s="106" t="str">
        <f t="shared" si="22"/>
        <v>PD</v>
      </c>
      <c r="H232" s="103" t="str">
        <f t="shared" si="23"/>
        <v>PD.1</v>
      </c>
    </row>
    <row r="233" spans="2:8">
      <c r="B233" s="156"/>
      <c r="C233" s="107" t="s">
        <v>961</v>
      </c>
      <c r="D233" s="105" t="s">
        <v>386</v>
      </c>
      <c r="F233" s="100">
        <v>2</v>
      </c>
      <c r="G233" s="106" t="str">
        <f t="shared" si="22"/>
        <v>PD</v>
      </c>
      <c r="H233" s="103" t="str">
        <f t="shared" si="23"/>
        <v>PD.2</v>
      </c>
    </row>
    <row r="234" spans="2:8">
      <c r="B234" s="156"/>
      <c r="C234" s="107" t="s">
        <v>961</v>
      </c>
      <c r="D234" s="109" t="s">
        <v>382</v>
      </c>
      <c r="F234" s="100">
        <v>2</v>
      </c>
      <c r="G234" s="106" t="str">
        <f t="shared" ref="G234:G238" si="24">C234</f>
        <v>PD</v>
      </c>
      <c r="H234" s="103" t="str">
        <f t="shared" ref="H234:H238" si="25">IF(F234=1,C234&amp;"_"&amp;D234,D234)</f>
        <v>PD.3</v>
      </c>
    </row>
    <row r="235" spans="2:8">
      <c r="B235" s="156"/>
      <c r="C235" s="107" t="s">
        <v>961</v>
      </c>
      <c r="D235" s="109" t="s">
        <v>379</v>
      </c>
      <c r="F235" s="100">
        <v>2</v>
      </c>
      <c r="G235" s="106" t="str">
        <f t="shared" si="24"/>
        <v>PD</v>
      </c>
      <c r="H235" s="103" t="str">
        <f t="shared" si="25"/>
        <v>PD.4</v>
      </c>
    </row>
    <row r="236" spans="2:8">
      <c r="B236" s="156"/>
      <c r="C236" s="107" t="s">
        <v>961</v>
      </c>
      <c r="D236" s="109" t="s">
        <v>377</v>
      </c>
      <c r="F236" s="100">
        <v>2</v>
      </c>
      <c r="G236" s="106" t="str">
        <f t="shared" si="24"/>
        <v>PD</v>
      </c>
      <c r="H236" s="103" t="str">
        <f t="shared" si="25"/>
        <v>PD.5</v>
      </c>
    </row>
    <row r="237" spans="2:8">
      <c r="B237" s="156"/>
      <c r="C237" s="107" t="s">
        <v>961</v>
      </c>
      <c r="D237" s="109" t="s">
        <v>375</v>
      </c>
      <c r="F237" s="100">
        <v>2</v>
      </c>
      <c r="G237" s="106" t="str">
        <f t="shared" si="24"/>
        <v>PD</v>
      </c>
      <c r="H237" s="103" t="str">
        <f t="shared" si="25"/>
        <v>PD.6</v>
      </c>
    </row>
    <row r="238" spans="2:8">
      <c r="B238" s="156"/>
      <c r="C238" s="107" t="s">
        <v>961</v>
      </c>
      <c r="D238" s="109" t="s">
        <v>373</v>
      </c>
      <c r="F238" s="100">
        <v>2</v>
      </c>
      <c r="G238" s="106" t="str">
        <f t="shared" si="24"/>
        <v>PD</v>
      </c>
      <c r="H238" s="103" t="str">
        <f t="shared" si="25"/>
        <v>PD.7</v>
      </c>
    </row>
    <row r="239" spans="2:8">
      <c r="B239" s="156"/>
      <c r="C239" s="107" t="s">
        <v>962</v>
      </c>
      <c r="D239" s="109" t="s">
        <v>436</v>
      </c>
      <c r="F239" s="100">
        <v>2</v>
      </c>
      <c r="G239" s="106" t="str">
        <f t="shared" ref="G239:G250" si="26">C239</f>
        <v>PE</v>
      </c>
      <c r="H239" s="103" t="str">
        <f t="shared" ref="H239:H250" si="27">IF(F239=1,C239&amp;"_"&amp;D239,D239)</f>
        <v>PE.0</v>
      </c>
    </row>
    <row r="240" spans="2:8">
      <c r="B240" s="156"/>
      <c r="C240" s="107" t="s">
        <v>962</v>
      </c>
      <c r="D240" s="109" t="s">
        <v>434</v>
      </c>
      <c r="F240" s="100">
        <v>2</v>
      </c>
      <c r="G240" s="106" t="str">
        <f t="shared" si="26"/>
        <v>PE</v>
      </c>
      <c r="H240" s="103" t="str">
        <f t="shared" si="27"/>
        <v>PE.1</v>
      </c>
    </row>
    <row r="241" spans="2:8">
      <c r="B241" s="156"/>
      <c r="C241" s="107" t="s">
        <v>962</v>
      </c>
      <c r="D241" s="109" t="s">
        <v>430</v>
      </c>
      <c r="F241" s="100">
        <v>2</v>
      </c>
      <c r="G241" s="106" t="str">
        <f t="shared" si="26"/>
        <v>PE</v>
      </c>
      <c r="H241" s="103" t="str">
        <f t="shared" si="27"/>
        <v>PE.2</v>
      </c>
    </row>
    <row r="242" spans="2:8">
      <c r="B242" s="156"/>
      <c r="C242" s="107" t="s">
        <v>962</v>
      </c>
      <c r="D242" s="109" t="s">
        <v>428</v>
      </c>
      <c r="F242" s="100">
        <v>2</v>
      </c>
      <c r="G242" s="106" t="str">
        <f t="shared" si="26"/>
        <v>PE</v>
      </c>
      <c r="H242" s="103" t="str">
        <f t="shared" si="27"/>
        <v>PE.3</v>
      </c>
    </row>
    <row r="243" spans="2:8">
      <c r="B243" s="156"/>
      <c r="C243" s="107" t="s">
        <v>962</v>
      </c>
      <c r="D243" s="109" t="s">
        <v>426</v>
      </c>
      <c r="F243" s="100">
        <v>2</v>
      </c>
      <c r="G243" s="106" t="str">
        <f t="shared" si="26"/>
        <v>PE</v>
      </c>
      <c r="H243" s="103" t="str">
        <f t="shared" si="27"/>
        <v>PE.4</v>
      </c>
    </row>
    <row r="244" spans="2:8">
      <c r="B244" s="156"/>
      <c r="C244" s="107" t="s">
        <v>962</v>
      </c>
      <c r="D244" s="109" t="s">
        <v>423</v>
      </c>
      <c r="F244" s="100">
        <v>2</v>
      </c>
      <c r="G244" s="106" t="str">
        <f t="shared" si="26"/>
        <v>PE</v>
      </c>
      <c r="H244" s="103" t="str">
        <f t="shared" si="27"/>
        <v>PE.5</v>
      </c>
    </row>
    <row r="245" spans="2:8">
      <c r="B245" s="156"/>
      <c r="C245" s="107" t="s">
        <v>963</v>
      </c>
      <c r="D245" s="109" t="s">
        <v>321</v>
      </c>
      <c r="F245" s="100">
        <v>2</v>
      </c>
      <c r="G245" s="106" t="str">
        <f t="shared" si="26"/>
        <v>PF</v>
      </c>
      <c r="H245" s="103" t="str">
        <f t="shared" si="27"/>
        <v>PF.0</v>
      </c>
    </row>
    <row r="246" spans="2:8">
      <c r="B246" s="156"/>
      <c r="C246" s="107" t="s">
        <v>963</v>
      </c>
      <c r="D246" s="109" t="s">
        <v>502</v>
      </c>
      <c r="F246" s="100">
        <v>2</v>
      </c>
      <c r="G246" s="106" t="str">
        <f t="shared" si="26"/>
        <v>PF</v>
      </c>
      <c r="H246" s="103" t="str">
        <f t="shared" si="27"/>
        <v>PF.1</v>
      </c>
    </row>
    <row r="247" spans="2:8">
      <c r="B247" s="156"/>
      <c r="C247" s="107" t="s">
        <v>963</v>
      </c>
      <c r="D247" s="109" t="s">
        <v>248</v>
      </c>
      <c r="F247" s="100">
        <v>2</v>
      </c>
      <c r="G247" s="106" t="str">
        <f t="shared" si="26"/>
        <v>PF</v>
      </c>
      <c r="H247" s="103" t="str">
        <f t="shared" si="27"/>
        <v>PF.2</v>
      </c>
    </row>
    <row r="248" spans="2:8">
      <c r="B248" s="156"/>
      <c r="C248" s="107" t="s">
        <v>963</v>
      </c>
      <c r="D248" s="109" t="s">
        <v>246</v>
      </c>
      <c r="F248" s="100">
        <v>2</v>
      </c>
      <c r="G248" s="106" t="str">
        <f t="shared" si="26"/>
        <v>PF</v>
      </c>
      <c r="H248" s="103" t="str">
        <f t="shared" si="27"/>
        <v>PF.3</v>
      </c>
    </row>
    <row r="249" spans="2:8">
      <c r="B249" s="156"/>
      <c r="C249" s="107" t="s">
        <v>963</v>
      </c>
      <c r="D249" s="109" t="s">
        <v>217</v>
      </c>
      <c r="F249" s="100">
        <v>2</v>
      </c>
      <c r="G249" s="106" t="str">
        <f t="shared" si="26"/>
        <v>PF</v>
      </c>
      <c r="H249" s="105" t="str">
        <f t="shared" si="27"/>
        <v>PF.4</v>
      </c>
    </row>
    <row r="250" spans="2:8" ht="13.9" thickBot="1">
      <c r="B250" s="157"/>
      <c r="C250" s="108" t="s">
        <v>963</v>
      </c>
      <c r="D250" s="110" t="s">
        <v>213</v>
      </c>
      <c r="F250" s="100">
        <v>2</v>
      </c>
      <c r="G250" s="119" t="str">
        <f t="shared" si="26"/>
        <v>PF</v>
      </c>
      <c r="H250" s="120" t="str">
        <f t="shared" si="27"/>
        <v>PF.5</v>
      </c>
    </row>
  </sheetData>
  <autoFilter ref="A3:W250" xr:uid="{00000000-0009-0000-0000-000007000000}"/>
  <mergeCells count="17">
    <mergeCell ref="B166:B250"/>
    <mergeCell ref="B161:B164"/>
    <mergeCell ref="B83:B90"/>
    <mergeCell ref="B142:B144"/>
    <mergeCell ref="B91:B118"/>
    <mergeCell ref="B119:B141"/>
    <mergeCell ref="B145:B152"/>
    <mergeCell ref="B153:B160"/>
    <mergeCell ref="C2:C3"/>
    <mergeCell ref="D2:D3"/>
    <mergeCell ref="G2:G3"/>
    <mergeCell ref="H2:H3"/>
    <mergeCell ref="B67:B82"/>
    <mergeCell ref="B13:B38"/>
    <mergeCell ref="B2:B3"/>
    <mergeCell ref="B4:B11"/>
    <mergeCell ref="B39:B66"/>
  </mergeCells>
  <phoneticPr fontId="47"/>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B1:J250"/>
  <sheetViews>
    <sheetView zoomScale="85" zoomScaleNormal="85" workbookViewId="0">
      <pane xSplit="3" ySplit="3" topLeftCell="D4" activePane="bottomRight" state="frozen"/>
      <selection pane="bottomRight" activeCell="E43" sqref="E43"/>
      <selection pane="bottomLeft" activeCell="H40" sqref="H40"/>
      <selection pane="topRight" activeCell="H40" sqref="H40"/>
    </sheetView>
  </sheetViews>
  <sheetFormatPr defaultRowHeight="15"/>
  <cols>
    <col min="1" max="1" width="2.7109375" customWidth="1"/>
    <col min="2" max="2" width="19.140625" style="74" customWidth="1"/>
    <col min="3" max="3" width="25.7109375" style="74" bestFit="1" customWidth="1"/>
    <col min="4" max="4" width="39.7109375" style="74" bestFit="1" customWidth="1"/>
    <col min="5" max="5" width="76.7109375" style="74" bestFit="1" customWidth="1"/>
    <col min="6" max="6" width="8.140625" style="74" bestFit="1" customWidth="1"/>
    <col min="7" max="7" width="61.85546875" style="74" bestFit="1" customWidth="1"/>
    <col min="8" max="8" width="25.7109375" style="74" bestFit="1" customWidth="1"/>
    <col min="9" max="9" width="58.140625" style="74" bestFit="1" customWidth="1"/>
    <col min="10" max="10" width="10" style="74" bestFit="1" customWidth="1"/>
  </cols>
  <sheetData>
    <row r="1" spans="2:10" ht="15.6" thickBot="1"/>
    <row r="2" spans="2:10" ht="15.6" thickBot="1">
      <c r="B2" s="158" t="s">
        <v>964</v>
      </c>
      <c r="C2" s="158"/>
      <c r="D2" s="159" t="s">
        <v>965</v>
      </c>
      <c r="E2" s="160"/>
      <c r="F2" s="161"/>
      <c r="G2" s="162"/>
      <c r="H2" s="159" t="s">
        <v>966</v>
      </c>
      <c r="I2" s="160"/>
      <c r="J2" s="162"/>
    </row>
    <row r="3" spans="2:10" ht="15.6" thickBot="1">
      <c r="B3" s="163" t="s">
        <v>967</v>
      </c>
      <c r="C3" s="163" t="s">
        <v>968</v>
      </c>
      <c r="D3" s="163" t="s">
        <v>969</v>
      </c>
      <c r="E3" s="163" t="s">
        <v>970</v>
      </c>
      <c r="F3" s="163" t="s">
        <v>971</v>
      </c>
      <c r="G3" s="163" t="s">
        <v>972</v>
      </c>
      <c r="H3" s="163" t="s">
        <v>973</v>
      </c>
      <c r="I3" s="163" t="s">
        <v>974</v>
      </c>
      <c r="J3" s="163" t="s">
        <v>975</v>
      </c>
    </row>
    <row r="4" spans="2:10" ht="15.75" customHeight="1">
      <c r="B4" s="76" t="str">
        <f>'＠グループ、表示名'!G4</f>
        <v>DBG</v>
      </c>
      <c r="C4" s="76" t="str">
        <f>'＠グループ、表示名'!H4</f>
        <v>DBG_SWDCLK</v>
      </c>
      <c r="D4" s="164" t="s">
        <v>976</v>
      </c>
      <c r="E4" s="165" t="s">
        <v>977</v>
      </c>
      <c r="F4" s="166" t="s">
        <v>978</v>
      </c>
      <c r="G4" s="96" t="s">
        <v>979</v>
      </c>
      <c r="H4" s="164" t="s">
        <v>980</v>
      </c>
      <c r="I4" s="166" t="s">
        <v>979</v>
      </c>
      <c r="J4" s="167" t="str">
        <f>F4</f>
        <v>I</v>
      </c>
    </row>
    <row r="5" spans="2:10" ht="15.75" customHeight="1">
      <c r="B5" s="76" t="str">
        <f>'＠グループ、表示名'!G5</f>
        <v>DBG</v>
      </c>
      <c r="C5" s="76" t="str">
        <f>'＠グループ、表示名'!H5</f>
        <v>DBG_SWDD</v>
      </c>
      <c r="D5" s="76" t="s">
        <v>981</v>
      </c>
      <c r="E5" s="168" t="s">
        <v>977</v>
      </c>
      <c r="F5" s="125" t="s">
        <v>982</v>
      </c>
      <c r="G5" s="113" t="s">
        <v>983</v>
      </c>
      <c r="H5" s="76" t="s">
        <v>984</v>
      </c>
      <c r="I5" s="75" t="s">
        <v>983</v>
      </c>
      <c r="J5" s="169" t="str">
        <f t="shared" ref="J5:J21" si="0">F5</f>
        <v>I/O</v>
      </c>
    </row>
    <row r="6" spans="2:10" ht="15.75" customHeight="1">
      <c r="B6" s="76" t="str">
        <f>'＠グループ、表示名'!G6</f>
        <v>DBG</v>
      </c>
      <c r="C6" s="76" t="str">
        <f>'＠グループ、表示名'!H6</f>
        <v>DBG_TRCCLK</v>
      </c>
      <c r="D6" s="127" t="s">
        <v>985</v>
      </c>
      <c r="E6" s="168" t="s">
        <v>977</v>
      </c>
      <c r="F6" s="125" t="s">
        <v>986</v>
      </c>
      <c r="G6" s="113" t="s">
        <v>987</v>
      </c>
      <c r="H6" s="127" t="s">
        <v>988</v>
      </c>
      <c r="I6" s="125" t="s">
        <v>987</v>
      </c>
      <c r="J6" s="169" t="str">
        <f t="shared" si="0"/>
        <v>O</v>
      </c>
    </row>
    <row r="7" spans="2:10" ht="15.75" customHeight="1">
      <c r="B7" s="76" t="str">
        <f>'＠グループ、表示名'!G7</f>
        <v>DBG</v>
      </c>
      <c r="C7" s="76" t="str">
        <f>'＠グループ、表示名'!H7</f>
        <v>DBG_TRCSWO</v>
      </c>
      <c r="D7" s="127" t="s">
        <v>989</v>
      </c>
      <c r="E7" s="168" t="s">
        <v>977</v>
      </c>
      <c r="F7" s="125" t="s">
        <v>986</v>
      </c>
      <c r="G7" s="113" t="s">
        <v>989</v>
      </c>
      <c r="H7" s="127" t="s">
        <v>990</v>
      </c>
      <c r="I7" s="125" t="s">
        <v>989</v>
      </c>
      <c r="J7" s="169" t="str">
        <f t="shared" si="0"/>
        <v>O</v>
      </c>
    </row>
    <row r="8" spans="2:10" ht="15.75" customHeight="1">
      <c r="B8" s="76" t="str">
        <f>'＠グループ、表示名'!G8</f>
        <v>DBG</v>
      </c>
      <c r="C8" s="76" t="str">
        <f>'＠グループ、表示名'!H8</f>
        <v>DBG_TRCD0</v>
      </c>
      <c r="D8" s="127" t="s">
        <v>991</v>
      </c>
      <c r="E8" s="168" t="s">
        <v>977</v>
      </c>
      <c r="F8" s="125" t="s">
        <v>986</v>
      </c>
      <c r="G8" s="113" t="s">
        <v>992</v>
      </c>
      <c r="H8" s="127" t="s">
        <v>993</v>
      </c>
      <c r="I8" s="125" t="s">
        <v>994</v>
      </c>
      <c r="J8" s="169" t="str">
        <f t="shared" si="0"/>
        <v>O</v>
      </c>
    </row>
    <row r="9" spans="2:10" ht="15.75" customHeight="1">
      <c r="B9" s="76" t="str">
        <f>'＠グループ、表示名'!G9</f>
        <v>DBG</v>
      </c>
      <c r="C9" s="76" t="str">
        <f>'＠グループ、表示名'!H9</f>
        <v>DBG_TRCD1</v>
      </c>
      <c r="D9" s="127" t="s">
        <v>995</v>
      </c>
      <c r="E9" s="170" t="s">
        <v>977</v>
      </c>
      <c r="F9" s="170" t="s">
        <v>986</v>
      </c>
      <c r="G9" s="113" t="s">
        <v>996</v>
      </c>
      <c r="H9" s="127" t="s">
        <v>993</v>
      </c>
      <c r="I9" s="125" t="s">
        <v>994</v>
      </c>
      <c r="J9" s="169" t="str">
        <f t="shared" si="0"/>
        <v>O</v>
      </c>
    </row>
    <row r="10" spans="2:10" ht="15.75" customHeight="1">
      <c r="B10" s="76" t="str">
        <f>'＠グループ、表示名'!G10</f>
        <v>DBG</v>
      </c>
      <c r="C10" s="76" t="str">
        <f>'＠グループ、表示名'!H10</f>
        <v>DBG_TRCD2</v>
      </c>
      <c r="D10" s="127" t="s">
        <v>997</v>
      </c>
      <c r="E10" s="125" t="s">
        <v>977</v>
      </c>
      <c r="F10" s="125" t="s">
        <v>986</v>
      </c>
      <c r="G10" s="169" t="s">
        <v>998</v>
      </c>
      <c r="H10" s="76" t="s">
        <v>993</v>
      </c>
      <c r="I10" s="125" t="s">
        <v>994</v>
      </c>
      <c r="J10" s="169" t="str">
        <f t="shared" si="0"/>
        <v>O</v>
      </c>
    </row>
    <row r="11" spans="2:10" ht="15.75" customHeight="1">
      <c r="B11" s="76" t="str">
        <f>'＠グループ、表示名'!G11</f>
        <v>DBG</v>
      </c>
      <c r="C11" s="76" t="str">
        <f>'＠グループ、表示名'!H11</f>
        <v>DBG_TRCD3</v>
      </c>
      <c r="D11" s="127" t="s">
        <v>999</v>
      </c>
      <c r="E11" s="125" t="s">
        <v>977</v>
      </c>
      <c r="F11" s="125" t="s">
        <v>986</v>
      </c>
      <c r="G11" s="169" t="s">
        <v>1000</v>
      </c>
      <c r="H11" s="127" t="s">
        <v>993</v>
      </c>
      <c r="I11" s="125" t="s">
        <v>994</v>
      </c>
      <c r="J11" s="169" t="str">
        <f t="shared" si="0"/>
        <v>O</v>
      </c>
    </row>
    <row r="12" spans="2:10" ht="15.75" customHeight="1">
      <c r="B12" s="76" t="str">
        <f>'＠グループ、表示名'!G12</f>
        <v>CKM</v>
      </c>
      <c r="C12" s="76" t="str">
        <f>'＠グループ、表示名'!H12</f>
        <v>CKMREF</v>
      </c>
      <c r="D12" s="127" t="s">
        <v>1001</v>
      </c>
      <c r="E12" s="125" t="s">
        <v>1002</v>
      </c>
      <c r="F12" s="125" t="s">
        <v>978</v>
      </c>
      <c r="G12" s="169" t="s">
        <v>1003</v>
      </c>
      <c r="H12" s="76" t="s">
        <v>655</v>
      </c>
      <c r="I12" s="75" t="s">
        <v>1004</v>
      </c>
      <c r="J12" s="169" t="str">
        <f t="shared" si="0"/>
        <v>I</v>
      </c>
    </row>
    <row r="13" spans="2:10" ht="15.75" customHeight="1">
      <c r="B13" s="76" t="str">
        <f>'＠グループ、表示名'!G13</f>
        <v>NMI</v>
      </c>
      <c r="C13" s="76" t="str">
        <f>'＠グループ、表示名'!H13</f>
        <v>NMI</v>
      </c>
      <c r="D13" s="127" t="s">
        <v>1005</v>
      </c>
      <c r="E13" s="125" t="s">
        <v>1006</v>
      </c>
      <c r="F13" s="125" t="s">
        <v>978</v>
      </c>
      <c r="G13" s="169" t="s">
        <v>1005</v>
      </c>
      <c r="H13" s="127" t="s">
        <v>915</v>
      </c>
      <c r="I13" s="75" t="s">
        <v>1005</v>
      </c>
      <c r="J13" s="169" t="str">
        <f t="shared" si="0"/>
        <v>I</v>
      </c>
    </row>
    <row r="14" spans="2:10" ht="15.75" customHeight="1">
      <c r="B14" s="76" t="str">
        <f>'＠グループ、表示名'!G14</f>
        <v>IRQ</v>
      </c>
      <c r="C14" s="76" t="str">
        <f>'＠グループ、表示名'!H14</f>
        <v>IRQ00</v>
      </c>
      <c r="D14" s="127" t="s">
        <v>1007</v>
      </c>
      <c r="E14" s="125" t="s">
        <v>1006</v>
      </c>
      <c r="F14" s="125" t="s">
        <v>978</v>
      </c>
      <c r="G14" s="169" t="s">
        <v>1007</v>
      </c>
      <c r="H14" s="127" t="s">
        <v>1008</v>
      </c>
      <c r="I14" s="75" t="s">
        <v>1009</v>
      </c>
      <c r="J14" s="169" t="str">
        <f t="shared" si="0"/>
        <v>I</v>
      </c>
    </row>
    <row r="15" spans="2:10" ht="15.75" customHeight="1">
      <c r="B15" s="76" t="str">
        <f>'＠グループ、表示名'!G15</f>
        <v>IRQ</v>
      </c>
      <c r="C15" s="76" t="str">
        <f>'＠グループ、表示名'!H15</f>
        <v>IRQ01</v>
      </c>
      <c r="D15" s="127" t="s">
        <v>1010</v>
      </c>
      <c r="E15" s="125" t="s">
        <v>1006</v>
      </c>
      <c r="F15" s="125" t="s">
        <v>978</v>
      </c>
      <c r="G15" s="169" t="s">
        <v>1010</v>
      </c>
      <c r="H15" s="127" t="s">
        <v>659</v>
      </c>
      <c r="I15" s="75" t="s">
        <v>1010</v>
      </c>
      <c r="J15" s="169" t="str">
        <f t="shared" si="0"/>
        <v>I</v>
      </c>
    </row>
    <row r="16" spans="2:10" ht="15.75" customHeight="1">
      <c r="B16" s="76" t="str">
        <f>'＠グループ、表示名'!G16</f>
        <v>IRQ</v>
      </c>
      <c r="C16" s="76" t="str">
        <f>'＠グループ、表示名'!H16</f>
        <v>IRQ02</v>
      </c>
      <c r="D16" s="127" t="s">
        <v>1011</v>
      </c>
      <c r="E16" s="125" t="s">
        <v>1006</v>
      </c>
      <c r="F16" s="125" t="s">
        <v>978</v>
      </c>
      <c r="G16" s="169" t="s">
        <v>1011</v>
      </c>
      <c r="H16" s="76" t="s">
        <v>660</v>
      </c>
      <c r="I16" s="75" t="s">
        <v>1011</v>
      </c>
      <c r="J16" s="169" t="str">
        <f t="shared" si="0"/>
        <v>I</v>
      </c>
    </row>
    <row r="17" spans="2:10" ht="15.75" customHeight="1">
      <c r="B17" s="76" t="str">
        <f>'＠グループ、表示名'!G17</f>
        <v>IRQ</v>
      </c>
      <c r="C17" s="76" t="str">
        <f>'＠グループ、表示名'!H17</f>
        <v>IRQ03</v>
      </c>
      <c r="D17" s="127" t="s">
        <v>1012</v>
      </c>
      <c r="E17" s="125" t="s">
        <v>1006</v>
      </c>
      <c r="F17" s="125" t="s">
        <v>978</v>
      </c>
      <c r="G17" s="169" t="s">
        <v>1012</v>
      </c>
      <c r="H17" s="76" t="s">
        <v>661</v>
      </c>
      <c r="I17" s="75" t="s">
        <v>1012</v>
      </c>
      <c r="J17" s="169" t="str">
        <f t="shared" si="0"/>
        <v>I</v>
      </c>
    </row>
    <row r="18" spans="2:10" ht="15.75" customHeight="1">
      <c r="B18" s="76" t="str">
        <f>'＠グループ、表示名'!G18</f>
        <v>IRQ</v>
      </c>
      <c r="C18" s="76" t="str">
        <f>'＠グループ、表示名'!H18</f>
        <v>IRQ04</v>
      </c>
      <c r="D18" s="127" t="s">
        <v>1013</v>
      </c>
      <c r="E18" s="125" t="s">
        <v>1006</v>
      </c>
      <c r="F18" s="125" t="s">
        <v>978</v>
      </c>
      <c r="G18" s="169" t="s">
        <v>1013</v>
      </c>
      <c r="H18" s="76" t="s">
        <v>662</v>
      </c>
      <c r="I18" s="75" t="s">
        <v>1013</v>
      </c>
      <c r="J18" s="169" t="str">
        <f t="shared" si="0"/>
        <v>I</v>
      </c>
    </row>
    <row r="19" spans="2:10" ht="15.75" customHeight="1">
      <c r="B19" s="76" t="str">
        <f>'＠グループ、表示名'!G19</f>
        <v>IRQ</v>
      </c>
      <c r="C19" s="76" t="str">
        <f>'＠グループ、表示名'!H19</f>
        <v>IRQ05</v>
      </c>
      <c r="D19" s="127" t="s">
        <v>1014</v>
      </c>
      <c r="E19" s="125" t="s">
        <v>1006</v>
      </c>
      <c r="F19" s="125" t="s">
        <v>978</v>
      </c>
      <c r="G19" s="169" t="s">
        <v>1014</v>
      </c>
      <c r="H19" s="76" t="s">
        <v>663</v>
      </c>
      <c r="I19" s="75" t="s">
        <v>1014</v>
      </c>
      <c r="J19" s="169" t="str">
        <f t="shared" si="0"/>
        <v>I</v>
      </c>
    </row>
    <row r="20" spans="2:10" ht="15.75" customHeight="1">
      <c r="B20" s="76" t="str">
        <f>'＠グループ、表示名'!G20</f>
        <v>IRQ</v>
      </c>
      <c r="C20" s="76" t="str">
        <f>'＠グループ、表示名'!H20</f>
        <v>IRQ06</v>
      </c>
      <c r="D20" s="127" t="s">
        <v>1015</v>
      </c>
      <c r="E20" s="125" t="s">
        <v>1006</v>
      </c>
      <c r="F20" s="125" t="s">
        <v>978</v>
      </c>
      <c r="G20" s="169" t="s">
        <v>1015</v>
      </c>
      <c r="H20" s="76" t="s">
        <v>664</v>
      </c>
      <c r="I20" s="75" t="s">
        <v>1015</v>
      </c>
      <c r="J20" s="169" t="str">
        <f t="shared" si="0"/>
        <v>I</v>
      </c>
    </row>
    <row r="21" spans="2:10" ht="15.75" customHeight="1">
      <c r="B21" s="76" t="str">
        <f>'＠グループ、表示名'!G21</f>
        <v>IRQ</v>
      </c>
      <c r="C21" s="76" t="str">
        <f>'＠グループ、表示名'!H21</f>
        <v>IRQ07</v>
      </c>
      <c r="D21" s="127" t="s">
        <v>1016</v>
      </c>
      <c r="E21" s="125" t="s">
        <v>1006</v>
      </c>
      <c r="F21" s="125" t="s">
        <v>978</v>
      </c>
      <c r="G21" s="169" t="s">
        <v>1016</v>
      </c>
      <c r="H21" s="76" t="s">
        <v>665</v>
      </c>
      <c r="I21" s="75" t="s">
        <v>1016</v>
      </c>
      <c r="J21" s="169" t="str">
        <f t="shared" si="0"/>
        <v>I</v>
      </c>
    </row>
    <row r="22" spans="2:10" ht="15.75" customHeight="1">
      <c r="B22" s="76" t="str">
        <f>'＠グループ、表示名'!G22</f>
        <v>IRQ</v>
      </c>
      <c r="C22" s="76" t="str">
        <f>'＠グループ、表示名'!H22</f>
        <v>IRQ10</v>
      </c>
      <c r="D22" s="127" t="s">
        <v>1017</v>
      </c>
      <c r="E22" s="125" t="s">
        <v>1006</v>
      </c>
      <c r="F22" s="170" t="s">
        <v>978</v>
      </c>
      <c r="G22" s="171" t="s">
        <v>1017</v>
      </c>
      <c r="H22" s="76" t="s">
        <v>666</v>
      </c>
      <c r="I22" s="75" t="s">
        <v>1018</v>
      </c>
      <c r="J22" s="169" t="str">
        <f>F22</f>
        <v>I</v>
      </c>
    </row>
    <row r="23" spans="2:10" ht="15.75" customHeight="1">
      <c r="B23" s="76" t="str">
        <f>'＠グループ、表示名'!G23</f>
        <v>IRQ</v>
      </c>
      <c r="C23" s="76" t="str">
        <f>'＠グループ、表示名'!H23</f>
        <v>IRQ11</v>
      </c>
      <c r="D23" s="127" t="s">
        <v>1019</v>
      </c>
      <c r="E23" s="125" t="s">
        <v>1006</v>
      </c>
      <c r="F23" s="170" t="s">
        <v>978</v>
      </c>
      <c r="G23" s="171" t="s">
        <v>1019</v>
      </c>
      <c r="H23" s="76" t="s">
        <v>667</v>
      </c>
      <c r="I23" s="75" t="s">
        <v>1019</v>
      </c>
      <c r="J23" s="169" t="str">
        <f t="shared" ref="J23:J86" si="1">F23</f>
        <v>I</v>
      </c>
    </row>
    <row r="24" spans="2:10" ht="15.75" customHeight="1">
      <c r="B24" s="76" t="str">
        <f>'＠グループ、表示名'!G24</f>
        <v>IRQ</v>
      </c>
      <c r="C24" s="76" t="str">
        <f>'＠グループ、表示名'!H24</f>
        <v>IRQ12</v>
      </c>
      <c r="D24" s="127" t="s">
        <v>1020</v>
      </c>
      <c r="E24" s="125" t="s">
        <v>1006</v>
      </c>
      <c r="F24" s="170" t="s">
        <v>978</v>
      </c>
      <c r="G24" s="171" t="s">
        <v>1020</v>
      </c>
      <c r="H24" s="76" t="s">
        <v>668</v>
      </c>
      <c r="I24" s="75" t="s">
        <v>1020</v>
      </c>
      <c r="J24" s="169" t="str">
        <f t="shared" si="1"/>
        <v>I</v>
      </c>
    </row>
    <row r="25" spans="2:10" ht="15.75" customHeight="1">
      <c r="B25" s="76" t="str">
        <f>'＠グループ、表示名'!G25</f>
        <v>IRQ</v>
      </c>
      <c r="C25" s="76" t="str">
        <f>'＠グループ、表示名'!H25</f>
        <v>IRQ13</v>
      </c>
      <c r="D25" s="127" t="s">
        <v>1021</v>
      </c>
      <c r="E25" s="125" t="s">
        <v>1006</v>
      </c>
      <c r="F25" s="170" t="s">
        <v>978</v>
      </c>
      <c r="G25" s="171" t="s">
        <v>1021</v>
      </c>
      <c r="H25" s="76" t="s">
        <v>669</v>
      </c>
      <c r="I25" s="75" t="s">
        <v>1021</v>
      </c>
      <c r="J25" s="169" t="str">
        <f t="shared" si="1"/>
        <v>I</v>
      </c>
    </row>
    <row r="26" spans="2:10" ht="15.75" customHeight="1">
      <c r="B26" s="76" t="str">
        <f>'＠グループ、表示名'!G26</f>
        <v>IRQ</v>
      </c>
      <c r="C26" s="76" t="str">
        <f>'＠グループ、表示名'!H26</f>
        <v>IRQ14</v>
      </c>
      <c r="D26" s="127" t="s">
        <v>1022</v>
      </c>
      <c r="E26" s="125" t="s">
        <v>1006</v>
      </c>
      <c r="F26" s="170" t="s">
        <v>978</v>
      </c>
      <c r="G26" s="171" t="s">
        <v>1022</v>
      </c>
      <c r="H26" s="76" t="s">
        <v>670</v>
      </c>
      <c r="I26" s="75" t="s">
        <v>1022</v>
      </c>
      <c r="J26" s="169" t="str">
        <f t="shared" si="1"/>
        <v>I</v>
      </c>
    </row>
    <row r="27" spans="2:10" ht="15.75" customHeight="1">
      <c r="B27" s="76" t="str">
        <f>'＠グループ、表示名'!G27</f>
        <v>IRQ</v>
      </c>
      <c r="C27" s="76" t="str">
        <f>'＠グループ、表示名'!H27</f>
        <v>IRQ15</v>
      </c>
      <c r="D27" s="127" t="s">
        <v>1023</v>
      </c>
      <c r="E27" s="168" t="s">
        <v>1006</v>
      </c>
      <c r="F27" s="170" t="s">
        <v>978</v>
      </c>
      <c r="G27" s="171" t="s">
        <v>1023</v>
      </c>
      <c r="H27" s="76" t="s">
        <v>671</v>
      </c>
      <c r="I27" s="75" t="s">
        <v>1023</v>
      </c>
      <c r="J27" s="169" t="str">
        <f t="shared" si="1"/>
        <v>I</v>
      </c>
    </row>
    <row r="28" spans="2:10" ht="15.75" customHeight="1">
      <c r="B28" s="76" t="str">
        <f>'＠グループ、表示名'!G28</f>
        <v>IRQ</v>
      </c>
      <c r="C28" s="76" t="str">
        <f>'＠グループ、表示名'!H28</f>
        <v>IRQ20</v>
      </c>
      <c r="D28" s="127" t="s">
        <v>1024</v>
      </c>
      <c r="E28" s="168" t="s">
        <v>1006</v>
      </c>
      <c r="F28" s="170" t="s">
        <v>978</v>
      </c>
      <c r="G28" s="171" t="s">
        <v>1024</v>
      </c>
      <c r="H28" s="76" t="s">
        <v>672</v>
      </c>
      <c r="I28" s="75" t="s">
        <v>1025</v>
      </c>
      <c r="J28" s="169" t="str">
        <f t="shared" si="1"/>
        <v>I</v>
      </c>
    </row>
    <row r="29" spans="2:10" ht="15.75" customHeight="1">
      <c r="B29" s="76" t="str">
        <f>'＠グループ、表示名'!G29</f>
        <v>IRQ</v>
      </c>
      <c r="C29" s="76" t="str">
        <f>'＠グループ、表示名'!H29</f>
        <v>IRQ21</v>
      </c>
      <c r="D29" s="127" t="s">
        <v>1026</v>
      </c>
      <c r="E29" s="168" t="s">
        <v>1006</v>
      </c>
      <c r="F29" s="170" t="s">
        <v>978</v>
      </c>
      <c r="G29" s="171" t="s">
        <v>1026</v>
      </c>
      <c r="H29" s="76" t="s">
        <v>673</v>
      </c>
      <c r="I29" s="75" t="s">
        <v>1026</v>
      </c>
      <c r="J29" s="169" t="str">
        <f t="shared" si="1"/>
        <v>I</v>
      </c>
    </row>
    <row r="30" spans="2:10" ht="15.75" customHeight="1">
      <c r="B30" s="76" t="str">
        <f>'＠グループ、表示名'!G30</f>
        <v>IRQ</v>
      </c>
      <c r="C30" s="76" t="str">
        <f>'＠グループ、表示名'!H30</f>
        <v>IRQ22</v>
      </c>
      <c r="D30" s="127" t="s">
        <v>1027</v>
      </c>
      <c r="E30" s="168" t="s">
        <v>1006</v>
      </c>
      <c r="F30" s="170" t="s">
        <v>978</v>
      </c>
      <c r="G30" s="171" t="s">
        <v>1027</v>
      </c>
      <c r="H30" s="76" t="s">
        <v>674</v>
      </c>
      <c r="I30" s="75" t="s">
        <v>1027</v>
      </c>
      <c r="J30" s="169" t="str">
        <f t="shared" si="1"/>
        <v>I</v>
      </c>
    </row>
    <row r="31" spans="2:10" ht="15.75" customHeight="1">
      <c r="B31" s="76" t="str">
        <f>'＠グループ、表示名'!G31</f>
        <v>IRQ</v>
      </c>
      <c r="C31" s="76" t="str">
        <f>'＠グループ、表示名'!H31</f>
        <v>IRQ30</v>
      </c>
      <c r="D31" s="127" t="s">
        <v>1028</v>
      </c>
      <c r="E31" s="168" t="s">
        <v>1006</v>
      </c>
      <c r="F31" s="170" t="s">
        <v>978</v>
      </c>
      <c r="G31" s="171" t="s">
        <v>1028</v>
      </c>
      <c r="H31" s="76" t="s">
        <v>675</v>
      </c>
      <c r="I31" s="75" t="s">
        <v>1029</v>
      </c>
      <c r="J31" s="169" t="str">
        <f t="shared" si="1"/>
        <v>I</v>
      </c>
    </row>
    <row r="32" spans="2:10" ht="15.75" customHeight="1">
      <c r="B32" s="76" t="str">
        <f>'＠グループ、表示名'!G32</f>
        <v>IRQ</v>
      </c>
      <c r="C32" s="76" t="str">
        <f>'＠グループ、表示名'!H32</f>
        <v>IRQ31</v>
      </c>
      <c r="D32" s="127" t="s">
        <v>1030</v>
      </c>
      <c r="E32" s="168" t="s">
        <v>1006</v>
      </c>
      <c r="F32" s="170" t="s">
        <v>978</v>
      </c>
      <c r="G32" s="171" t="s">
        <v>1030</v>
      </c>
      <c r="H32" s="76" t="s">
        <v>676</v>
      </c>
      <c r="I32" s="75" t="s">
        <v>1030</v>
      </c>
      <c r="J32" s="169" t="str">
        <f t="shared" si="1"/>
        <v>I</v>
      </c>
    </row>
    <row r="33" spans="2:10" ht="15.75" customHeight="1">
      <c r="B33" s="76" t="str">
        <f>'＠グループ、表示名'!G33</f>
        <v>IRQ</v>
      </c>
      <c r="C33" s="76" t="str">
        <f>'＠グループ、表示名'!H33</f>
        <v>IRQ32</v>
      </c>
      <c r="D33" s="127" t="s">
        <v>1031</v>
      </c>
      <c r="E33" s="168" t="s">
        <v>1006</v>
      </c>
      <c r="F33" s="170" t="s">
        <v>978</v>
      </c>
      <c r="G33" s="171" t="s">
        <v>1031</v>
      </c>
      <c r="H33" s="76" t="s">
        <v>677</v>
      </c>
      <c r="I33" s="75" t="s">
        <v>1031</v>
      </c>
      <c r="J33" s="169" t="str">
        <f t="shared" si="1"/>
        <v>I</v>
      </c>
    </row>
    <row r="34" spans="2:10" ht="15.75" customHeight="1">
      <c r="B34" s="76" t="str">
        <f>'＠グループ、表示名'!G34</f>
        <v>IRQ</v>
      </c>
      <c r="C34" s="76" t="str">
        <f>'＠グループ、表示名'!H34</f>
        <v>IRQ33</v>
      </c>
      <c r="D34" s="127" t="s">
        <v>1032</v>
      </c>
      <c r="E34" s="168" t="s">
        <v>1006</v>
      </c>
      <c r="F34" s="170" t="s">
        <v>978</v>
      </c>
      <c r="G34" s="171" t="s">
        <v>1032</v>
      </c>
      <c r="H34" s="76" t="s">
        <v>678</v>
      </c>
      <c r="I34" s="75" t="s">
        <v>1032</v>
      </c>
      <c r="J34" s="169" t="str">
        <f t="shared" si="1"/>
        <v>I</v>
      </c>
    </row>
    <row r="35" spans="2:10" ht="15.75" customHeight="1">
      <c r="B35" s="76" t="str">
        <f>'＠グループ、表示名'!G35</f>
        <v>IRQ</v>
      </c>
      <c r="C35" s="76" t="str">
        <f>'＠グループ、表示名'!H35</f>
        <v>IRQ34</v>
      </c>
      <c r="D35" s="127" t="s">
        <v>1033</v>
      </c>
      <c r="E35" s="168" t="s">
        <v>1006</v>
      </c>
      <c r="F35" s="170" t="s">
        <v>978</v>
      </c>
      <c r="G35" s="171" t="s">
        <v>1033</v>
      </c>
      <c r="H35" s="76" t="s">
        <v>679</v>
      </c>
      <c r="I35" s="75" t="s">
        <v>1033</v>
      </c>
      <c r="J35" s="169" t="str">
        <f t="shared" si="1"/>
        <v>I</v>
      </c>
    </row>
    <row r="36" spans="2:10" ht="15.75" customHeight="1">
      <c r="B36" s="76" t="str">
        <f>'＠グループ、表示名'!G36</f>
        <v>IRQ</v>
      </c>
      <c r="C36" s="76" t="str">
        <f>'＠グループ、表示名'!H36</f>
        <v>IRQ35</v>
      </c>
      <c r="D36" s="127" t="s">
        <v>1034</v>
      </c>
      <c r="E36" s="168" t="s">
        <v>1006</v>
      </c>
      <c r="F36" s="170" t="s">
        <v>978</v>
      </c>
      <c r="G36" s="171" t="s">
        <v>1034</v>
      </c>
      <c r="H36" s="76" t="s">
        <v>680</v>
      </c>
      <c r="I36" s="75" t="s">
        <v>1034</v>
      </c>
      <c r="J36" s="169" t="str">
        <f t="shared" si="1"/>
        <v>I</v>
      </c>
    </row>
    <row r="37" spans="2:10" ht="15.75" customHeight="1">
      <c r="B37" s="76" t="str">
        <f>'＠グループ、表示名'!G37</f>
        <v>IRQ</v>
      </c>
      <c r="C37" s="76" t="str">
        <f>'＠グループ、表示名'!H37</f>
        <v>IRQ36</v>
      </c>
      <c r="D37" s="127" t="s">
        <v>1035</v>
      </c>
      <c r="E37" s="168" t="s">
        <v>1006</v>
      </c>
      <c r="F37" s="170" t="s">
        <v>978</v>
      </c>
      <c r="G37" s="171" t="s">
        <v>1035</v>
      </c>
      <c r="H37" s="127" t="s">
        <v>681</v>
      </c>
      <c r="I37" s="75" t="s">
        <v>1035</v>
      </c>
      <c r="J37" s="169" t="str">
        <f t="shared" si="1"/>
        <v>I</v>
      </c>
    </row>
    <row r="38" spans="2:10" ht="15.75" customHeight="1">
      <c r="B38" s="76" t="str">
        <f>'＠グループ、表示名'!G38</f>
        <v>IRQ</v>
      </c>
      <c r="C38" s="76" t="str">
        <f>'＠グループ、表示名'!H38</f>
        <v>IRQ37</v>
      </c>
      <c r="D38" s="127" t="s">
        <v>1036</v>
      </c>
      <c r="E38" s="168" t="s">
        <v>1006</v>
      </c>
      <c r="F38" s="170" t="s">
        <v>978</v>
      </c>
      <c r="G38" s="171" t="s">
        <v>1036</v>
      </c>
      <c r="H38" s="76" t="s">
        <v>682</v>
      </c>
      <c r="I38" s="75" t="s">
        <v>1036</v>
      </c>
      <c r="J38" s="169" t="str">
        <f t="shared" si="1"/>
        <v>I</v>
      </c>
    </row>
    <row r="39" spans="2:10" ht="15.75" customHeight="1">
      <c r="B39" s="76" t="str">
        <f>'＠グループ、表示名'!G39</f>
        <v>TM00</v>
      </c>
      <c r="C39" s="76" t="str">
        <f>'＠グループ、表示名'!H39</f>
        <v>TM00A</v>
      </c>
      <c r="D39" s="127" t="s">
        <v>1037</v>
      </c>
      <c r="E39" s="168" t="s">
        <v>1038</v>
      </c>
      <c r="F39" s="170" t="s">
        <v>982</v>
      </c>
      <c r="G39" s="171" t="s">
        <v>1039</v>
      </c>
      <c r="H39" s="76" t="s">
        <v>684</v>
      </c>
      <c r="I39" s="75" t="s">
        <v>1039</v>
      </c>
      <c r="J39" s="169" t="str">
        <f t="shared" si="1"/>
        <v>I/O</v>
      </c>
    </row>
    <row r="40" spans="2:10" ht="15.75" customHeight="1">
      <c r="B40" s="76" t="str">
        <f>'＠グループ、表示名'!G40</f>
        <v>TM00</v>
      </c>
      <c r="C40" s="76" t="str">
        <f>'＠グループ、表示名'!H40</f>
        <v>TM00B</v>
      </c>
      <c r="D40" s="127" t="s">
        <v>1040</v>
      </c>
      <c r="E40" s="168" t="s">
        <v>1038</v>
      </c>
      <c r="F40" s="170" t="s">
        <v>982</v>
      </c>
      <c r="G40" s="171" t="s">
        <v>1041</v>
      </c>
      <c r="H40" s="76" t="s">
        <v>685</v>
      </c>
      <c r="I40" s="125" t="s">
        <v>1041</v>
      </c>
      <c r="J40" s="169" t="str">
        <f t="shared" si="1"/>
        <v>I/O</v>
      </c>
    </row>
    <row r="41" spans="2:10" ht="15.75" customHeight="1">
      <c r="B41" s="76" t="str">
        <f>'＠グループ、表示名'!G41</f>
        <v>TM01</v>
      </c>
      <c r="C41" s="76" t="str">
        <f>'＠グループ、表示名'!H41</f>
        <v>TM01A</v>
      </c>
      <c r="D41" s="127" t="s">
        <v>1037</v>
      </c>
      <c r="E41" s="168" t="s">
        <v>1038</v>
      </c>
      <c r="F41" s="125" t="s">
        <v>982</v>
      </c>
      <c r="G41" s="169" t="s">
        <v>1042</v>
      </c>
      <c r="H41" s="76" t="s">
        <v>687</v>
      </c>
      <c r="I41" s="75" t="s">
        <v>1042</v>
      </c>
      <c r="J41" s="169" t="str">
        <f t="shared" si="1"/>
        <v>I/O</v>
      </c>
    </row>
    <row r="42" spans="2:10" ht="15.75" customHeight="1">
      <c r="B42" s="76" t="str">
        <f>'＠グループ、表示名'!G42</f>
        <v>TM01</v>
      </c>
      <c r="C42" s="76" t="str">
        <f>'＠グループ、表示名'!H42</f>
        <v>TM01B</v>
      </c>
      <c r="D42" s="127" t="s">
        <v>1040</v>
      </c>
      <c r="E42" s="168" t="s">
        <v>1038</v>
      </c>
      <c r="F42" s="125" t="s">
        <v>982</v>
      </c>
      <c r="G42" s="169" t="s">
        <v>1043</v>
      </c>
      <c r="H42" s="76" t="s">
        <v>688</v>
      </c>
      <c r="I42" s="125" t="s">
        <v>1043</v>
      </c>
      <c r="J42" s="169" t="str">
        <f t="shared" si="1"/>
        <v>I/O</v>
      </c>
    </row>
    <row r="43" spans="2:10" ht="15.75" customHeight="1">
      <c r="B43" s="76" t="str">
        <f>'＠グループ、表示名'!G43</f>
        <v>TM02</v>
      </c>
      <c r="C43" s="76" t="str">
        <f>'＠グループ、表示名'!H43</f>
        <v>TM02A</v>
      </c>
      <c r="D43" s="127" t="s">
        <v>1037</v>
      </c>
      <c r="E43" s="168" t="s">
        <v>1038</v>
      </c>
      <c r="F43" s="125" t="s">
        <v>982</v>
      </c>
      <c r="G43" s="169" t="s">
        <v>1044</v>
      </c>
      <c r="H43" s="76" t="s">
        <v>690</v>
      </c>
      <c r="I43" s="75" t="s">
        <v>1044</v>
      </c>
      <c r="J43" s="169" t="str">
        <f t="shared" si="1"/>
        <v>I/O</v>
      </c>
    </row>
    <row r="44" spans="2:10" ht="15.75" customHeight="1">
      <c r="B44" s="76" t="str">
        <f>'＠グループ、表示名'!G44</f>
        <v>TM02</v>
      </c>
      <c r="C44" s="76" t="str">
        <f>'＠グループ、表示名'!H44</f>
        <v>TM02B</v>
      </c>
      <c r="D44" s="127" t="s">
        <v>1040</v>
      </c>
      <c r="E44" s="168" t="s">
        <v>1038</v>
      </c>
      <c r="F44" s="125" t="s">
        <v>982</v>
      </c>
      <c r="G44" s="169" t="s">
        <v>1045</v>
      </c>
      <c r="H44" s="76" t="s">
        <v>691</v>
      </c>
      <c r="I44" s="125" t="s">
        <v>1045</v>
      </c>
      <c r="J44" s="169" t="str">
        <f t="shared" si="1"/>
        <v>I/O</v>
      </c>
    </row>
    <row r="45" spans="2:10" ht="15.75" customHeight="1">
      <c r="B45" s="76" t="str">
        <f>'＠グループ、表示名'!G45</f>
        <v>TM03</v>
      </c>
      <c r="C45" s="76" t="str">
        <f>'＠グループ、表示名'!H45</f>
        <v>TM03A</v>
      </c>
      <c r="D45" s="127" t="s">
        <v>1037</v>
      </c>
      <c r="E45" s="168" t="s">
        <v>1038</v>
      </c>
      <c r="F45" s="125" t="s">
        <v>982</v>
      </c>
      <c r="G45" s="169" t="s">
        <v>1046</v>
      </c>
      <c r="H45" s="76" t="s">
        <v>693</v>
      </c>
      <c r="I45" s="75" t="s">
        <v>1046</v>
      </c>
      <c r="J45" s="169" t="str">
        <f t="shared" si="1"/>
        <v>I/O</v>
      </c>
    </row>
    <row r="46" spans="2:10" ht="15.75" customHeight="1">
      <c r="B46" s="76" t="str">
        <f>'＠グループ、表示名'!G46</f>
        <v>TM03</v>
      </c>
      <c r="C46" s="76" t="str">
        <f>'＠グループ、表示名'!H46</f>
        <v>TM03B</v>
      </c>
      <c r="D46" s="127" t="s">
        <v>1040</v>
      </c>
      <c r="E46" s="168" t="s">
        <v>1038</v>
      </c>
      <c r="F46" s="125" t="s">
        <v>982</v>
      </c>
      <c r="G46" s="169" t="s">
        <v>1047</v>
      </c>
      <c r="H46" s="76" t="s">
        <v>694</v>
      </c>
      <c r="I46" s="75" t="s">
        <v>1047</v>
      </c>
      <c r="J46" s="169" t="str">
        <f t="shared" si="1"/>
        <v>I/O</v>
      </c>
    </row>
    <row r="47" spans="2:10" ht="15.75" customHeight="1">
      <c r="B47" s="76" t="str">
        <f>'＠グループ、表示名'!G47</f>
        <v>TM04</v>
      </c>
      <c r="C47" s="76" t="str">
        <f>'＠グループ、表示名'!H47</f>
        <v>TM04A</v>
      </c>
      <c r="D47" s="127" t="s">
        <v>1037</v>
      </c>
      <c r="E47" s="168" t="s">
        <v>1038</v>
      </c>
      <c r="F47" s="125" t="s">
        <v>982</v>
      </c>
      <c r="G47" s="169" t="s">
        <v>1048</v>
      </c>
      <c r="H47" s="76" t="s">
        <v>696</v>
      </c>
      <c r="I47" s="75" t="s">
        <v>1048</v>
      </c>
      <c r="J47" s="169" t="str">
        <f t="shared" si="1"/>
        <v>I/O</v>
      </c>
    </row>
    <row r="48" spans="2:10" ht="15.75" customHeight="1">
      <c r="B48" s="76" t="str">
        <f>'＠グループ、表示名'!G48</f>
        <v>TM04</v>
      </c>
      <c r="C48" s="76" t="str">
        <f>'＠グループ、表示名'!H48</f>
        <v>TM04B</v>
      </c>
      <c r="D48" s="127" t="s">
        <v>1040</v>
      </c>
      <c r="E48" s="168" t="s">
        <v>1038</v>
      </c>
      <c r="F48" s="125" t="s">
        <v>982</v>
      </c>
      <c r="G48" s="169" t="s">
        <v>1049</v>
      </c>
      <c r="H48" s="76" t="s">
        <v>697</v>
      </c>
      <c r="I48" s="125" t="s">
        <v>1049</v>
      </c>
      <c r="J48" s="169" t="str">
        <f t="shared" si="1"/>
        <v>I/O</v>
      </c>
    </row>
    <row r="49" spans="2:10" ht="15.75" customHeight="1">
      <c r="B49" s="76" t="str">
        <f>'＠グループ、表示名'!G49</f>
        <v>TM05</v>
      </c>
      <c r="C49" s="76" t="str">
        <f>'＠グループ、表示名'!H49</f>
        <v>TM05A</v>
      </c>
      <c r="D49" s="127" t="s">
        <v>1037</v>
      </c>
      <c r="E49" s="168" t="s">
        <v>1038</v>
      </c>
      <c r="F49" s="125" t="s">
        <v>982</v>
      </c>
      <c r="G49" s="169" t="s">
        <v>1050</v>
      </c>
      <c r="H49" s="76" t="s">
        <v>699</v>
      </c>
      <c r="I49" s="75" t="s">
        <v>1050</v>
      </c>
      <c r="J49" s="169" t="str">
        <f t="shared" si="1"/>
        <v>I/O</v>
      </c>
    </row>
    <row r="50" spans="2:10" ht="15.75" customHeight="1">
      <c r="B50" s="76" t="str">
        <f>'＠グループ、表示名'!G50</f>
        <v>TM05</v>
      </c>
      <c r="C50" s="76" t="str">
        <f>'＠グループ、表示名'!H50</f>
        <v>TM05B</v>
      </c>
      <c r="D50" s="127" t="s">
        <v>1040</v>
      </c>
      <c r="E50" s="168" t="s">
        <v>1038</v>
      </c>
      <c r="F50" s="125" t="s">
        <v>982</v>
      </c>
      <c r="G50" s="169" t="s">
        <v>1051</v>
      </c>
      <c r="H50" s="76" t="s">
        <v>700</v>
      </c>
      <c r="I50" s="75" t="s">
        <v>1051</v>
      </c>
      <c r="J50" s="169" t="str">
        <f t="shared" si="1"/>
        <v>I/O</v>
      </c>
    </row>
    <row r="51" spans="2:10" ht="15.75" customHeight="1">
      <c r="B51" s="76" t="str">
        <f>'＠グループ、表示名'!G51</f>
        <v>TM06</v>
      </c>
      <c r="C51" s="76" t="str">
        <f>'＠グループ、表示名'!H51</f>
        <v>TM06A</v>
      </c>
      <c r="D51" s="127" t="s">
        <v>1037</v>
      </c>
      <c r="E51" s="168" t="s">
        <v>1038</v>
      </c>
      <c r="F51" s="125" t="s">
        <v>982</v>
      </c>
      <c r="G51" s="169" t="s">
        <v>1052</v>
      </c>
      <c r="H51" s="76" t="s">
        <v>702</v>
      </c>
      <c r="I51" s="75" t="s">
        <v>1052</v>
      </c>
      <c r="J51" s="169" t="str">
        <f t="shared" si="1"/>
        <v>I/O</v>
      </c>
    </row>
    <row r="52" spans="2:10" ht="15.75" customHeight="1">
      <c r="B52" s="76" t="str">
        <f>'＠グループ、表示名'!G52</f>
        <v>TM06</v>
      </c>
      <c r="C52" s="76" t="str">
        <f>'＠グループ、表示名'!H52</f>
        <v>TM06B</v>
      </c>
      <c r="D52" s="127" t="s">
        <v>1040</v>
      </c>
      <c r="E52" s="168" t="s">
        <v>1038</v>
      </c>
      <c r="F52" s="125" t="s">
        <v>982</v>
      </c>
      <c r="G52" s="169" t="s">
        <v>1053</v>
      </c>
      <c r="H52" s="76" t="s">
        <v>703</v>
      </c>
      <c r="I52" s="125" t="s">
        <v>1053</v>
      </c>
      <c r="J52" s="169" t="str">
        <f t="shared" si="1"/>
        <v>I/O</v>
      </c>
    </row>
    <row r="53" spans="2:10" ht="15.75" customHeight="1">
      <c r="B53" s="76" t="str">
        <f>'＠グループ、表示名'!G53</f>
        <v>TM07</v>
      </c>
      <c r="C53" s="76" t="str">
        <f>'＠グループ、表示名'!H53</f>
        <v>TM07A</v>
      </c>
      <c r="D53" s="127" t="s">
        <v>1037</v>
      </c>
      <c r="E53" s="168" t="s">
        <v>1038</v>
      </c>
      <c r="F53" s="125" t="s">
        <v>982</v>
      </c>
      <c r="G53" s="169" t="s">
        <v>1054</v>
      </c>
      <c r="H53" s="76" t="s">
        <v>705</v>
      </c>
      <c r="I53" s="75" t="s">
        <v>1054</v>
      </c>
      <c r="J53" s="169" t="str">
        <f t="shared" si="1"/>
        <v>I/O</v>
      </c>
    </row>
    <row r="54" spans="2:10" ht="15.75" customHeight="1">
      <c r="B54" s="76" t="str">
        <f>'＠グループ、表示名'!G54</f>
        <v>TM07</v>
      </c>
      <c r="C54" s="76" t="str">
        <f>'＠グループ、表示名'!H54</f>
        <v>TM07B</v>
      </c>
      <c r="D54" s="127" t="s">
        <v>1040</v>
      </c>
      <c r="E54" s="168" t="s">
        <v>1038</v>
      </c>
      <c r="F54" s="125" t="s">
        <v>982</v>
      </c>
      <c r="G54" s="169" t="s">
        <v>1055</v>
      </c>
      <c r="H54" s="76" t="s">
        <v>706</v>
      </c>
      <c r="I54" s="115" t="s">
        <v>1055</v>
      </c>
      <c r="J54" s="171" t="str">
        <f t="shared" si="1"/>
        <v>I/O</v>
      </c>
    </row>
    <row r="55" spans="2:10" ht="15.75" customHeight="1">
      <c r="B55" s="76" t="str">
        <f>'＠グループ、表示名'!G55</f>
        <v>TM10</v>
      </c>
      <c r="C55" s="76" t="str">
        <f>'＠グループ、表示名'!H55</f>
        <v>TM10A</v>
      </c>
      <c r="D55" s="127" t="s">
        <v>1037</v>
      </c>
      <c r="E55" s="168" t="s">
        <v>1038</v>
      </c>
      <c r="F55" s="125" t="s">
        <v>982</v>
      </c>
      <c r="G55" s="169" t="s">
        <v>1056</v>
      </c>
      <c r="H55" s="76" t="s">
        <v>708</v>
      </c>
      <c r="I55" s="125" t="s">
        <v>1056</v>
      </c>
      <c r="J55" s="169" t="str">
        <f t="shared" si="1"/>
        <v>I/O</v>
      </c>
    </row>
    <row r="56" spans="2:10" ht="15.75" customHeight="1">
      <c r="B56" s="76" t="str">
        <f>'＠グループ、表示名'!G56</f>
        <v>TM10</v>
      </c>
      <c r="C56" s="76" t="str">
        <f>'＠グループ、表示名'!H56</f>
        <v>TM10B</v>
      </c>
      <c r="D56" s="127" t="s">
        <v>1040</v>
      </c>
      <c r="E56" s="168" t="s">
        <v>1038</v>
      </c>
      <c r="F56" s="125" t="s">
        <v>982</v>
      </c>
      <c r="G56" s="169" t="s">
        <v>1057</v>
      </c>
      <c r="H56" s="76" t="s">
        <v>709</v>
      </c>
      <c r="I56" s="125" t="s">
        <v>1057</v>
      </c>
      <c r="J56" s="169" t="str">
        <f t="shared" si="1"/>
        <v>I/O</v>
      </c>
    </row>
    <row r="57" spans="2:10" ht="15.75" customHeight="1">
      <c r="B57" s="76" t="str">
        <f>'＠グループ、表示名'!G57</f>
        <v>TM11</v>
      </c>
      <c r="C57" s="76" t="str">
        <f>'＠グループ、表示名'!H57</f>
        <v>TM11A</v>
      </c>
      <c r="D57" s="127" t="s">
        <v>1037</v>
      </c>
      <c r="E57" s="168" t="s">
        <v>1038</v>
      </c>
      <c r="F57" s="125" t="s">
        <v>982</v>
      </c>
      <c r="G57" s="169" t="s">
        <v>1058</v>
      </c>
      <c r="H57" s="76" t="s">
        <v>711</v>
      </c>
      <c r="I57" s="125" t="s">
        <v>1058</v>
      </c>
      <c r="J57" s="169" t="str">
        <f t="shared" si="1"/>
        <v>I/O</v>
      </c>
    </row>
    <row r="58" spans="2:10" ht="15.75" customHeight="1">
      <c r="B58" s="76" t="str">
        <f>'＠グループ、表示名'!G58</f>
        <v>TM11</v>
      </c>
      <c r="C58" s="76" t="str">
        <f>'＠グループ、表示名'!H58</f>
        <v>TM11B</v>
      </c>
      <c r="D58" s="127" t="s">
        <v>1040</v>
      </c>
      <c r="E58" s="168" t="s">
        <v>1038</v>
      </c>
      <c r="F58" s="125" t="s">
        <v>982</v>
      </c>
      <c r="G58" s="169" t="s">
        <v>1059</v>
      </c>
      <c r="H58" s="76" t="s">
        <v>712</v>
      </c>
      <c r="I58" s="125" t="s">
        <v>1059</v>
      </c>
      <c r="J58" s="169" t="str">
        <f t="shared" si="1"/>
        <v>I/O</v>
      </c>
    </row>
    <row r="59" spans="2:10" ht="15.75" customHeight="1">
      <c r="B59" s="76" t="str">
        <f>'＠グループ、表示名'!G59</f>
        <v>TM12</v>
      </c>
      <c r="C59" s="76" t="str">
        <f>'＠グループ、表示名'!H59</f>
        <v>TM12A</v>
      </c>
      <c r="D59" s="127" t="s">
        <v>1037</v>
      </c>
      <c r="E59" s="168" t="s">
        <v>1038</v>
      </c>
      <c r="F59" s="125" t="s">
        <v>982</v>
      </c>
      <c r="G59" s="169" t="s">
        <v>1060</v>
      </c>
      <c r="H59" s="76" t="s">
        <v>714</v>
      </c>
      <c r="I59" s="125" t="s">
        <v>1060</v>
      </c>
      <c r="J59" s="169" t="str">
        <f t="shared" si="1"/>
        <v>I/O</v>
      </c>
    </row>
    <row r="60" spans="2:10" ht="15.75" customHeight="1">
      <c r="B60" s="76" t="str">
        <f>'＠グループ、表示名'!G60</f>
        <v>TM12</v>
      </c>
      <c r="C60" s="76" t="str">
        <f>'＠グループ、表示名'!H60</f>
        <v>TM12B</v>
      </c>
      <c r="D60" s="127" t="s">
        <v>1040</v>
      </c>
      <c r="E60" s="168" t="s">
        <v>1038</v>
      </c>
      <c r="F60" s="125" t="s">
        <v>982</v>
      </c>
      <c r="G60" s="169" t="s">
        <v>1061</v>
      </c>
      <c r="H60" s="76" t="s">
        <v>715</v>
      </c>
      <c r="I60" s="125" t="s">
        <v>1061</v>
      </c>
      <c r="J60" s="169" t="str">
        <f t="shared" si="1"/>
        <v>I/O</v>
      </c>
    </row>
    <row r="61" spans="2:10" ht="15.75" customHeight="1">
      <c r="B61" s="76" t="str">
        <f>'＠グループ、表示名'!G61</f>
        <v>TM13</v>
      </c>
      <c r="C61" s="76" t="str">
        <f>'＠グループ、表示名'!H61</f>
        <v>TM13A</v>
      </c>
      <c r="D61" s="127" t="s">
        <v>1037</v>
      </c>
      <c r="E61" s="168" t="s">
        <v>1038</v>
      </c>
      <c r="F61" s="125" t="s">
        <v>982</v>
      </c>
      <c r="G61" s="169" t="s">
        <v>1062</v>
      </c>
      <c r="H61" s="76" t="s">
        <v>717</v>
      </c>
      <c r="I61" s="125" t="s">
        <v>1062</v>
      </c>
      <c r="J61" s="169" t="str">
        <f t="shared" si="1"/>
        <v>I/O</v>
      </c>
    </row>
    <row r="62" spans="2:10" ht="15.75" customHeight="1">
      <c r="B62" s="76" t="str">
        <f>'＠グループ、表示名'!G62</f>
        <v>TM13</v>
      </c>
      <c r="C62" s="76" t="str">
        <f>'＠グループ、表示名'!H62</f>
        <v>TM13B</v>
      </c>
      <c r="D62" s="127" t="s">
        <v>1040</v>
      </c>
      <c r="E62" s="168" t="s">
        <v>1038</v>
      </c>
      <c r="F62" s="125" t="s">
        <v>982</v>
      </c>
      <c r="G62" s="169" t="s">
        <v>1063</v>
      </c>
      <c r="H62" s="76" t="s">
        <v>718</v>
      </c>
      <c r="I62" s="125" t="s">
        <v>1063</v>
      </c>
      <c r="J62" s="169" t="str">
        <f t="shared" si="1"/>
        <v>I/O</v>
      </c>
    </row>
    <row r="63" spans="2:10" ht="15.75" customHeight="1">
      <c r="B63" s="76" t="str">
        <f>'＠グループ、表示名'!G63</f>
        <v>TM14</v>
      </c>
      <c r="C63" s="76" t="str">
        <f>'＠グループ、表示名'!H63</f>
        <v>TM14A</v>
      </c>
      <c r="D63" s="127" t="s">
        <v>1037</v>
      </c>
      <c r="E63" s="168" t="s">
        <v>1038</v>
      </c>
      <c r="F63" s="125" t="s">
        <v>982</v>
      </c>
      <c r="G63" s="169" t="s">
        <v>1064</v>
      </c>
      <c r="H63" s="76" t="s">
        <v>720</v>
      </c>
      <c r="I63" s="125" t="s">
        <v>1064</v>
      </c>
      <c r="J63" s="169" t="str">
        <f t="shared" si="1"/>
        <v>I/O</v>
      </c>
    </row>
    <row r="64" spans="2:10" ht="15.75" customHeight="1">
      <c r="B64" s="76" t="str">
        <f>'＠グループ、表示名'!G64</f>
        <v>TM14</v>
      </c>
      <c r="C64" s="76" t="str">
        <f>'＠グループ、表示名'!H64</f>
        <v>TM14B</v>
      </c>
      <c r="D64" s="127" t="s">
        <v>1040</v>
      </c>
      <c r="E64" s="168" t="s">
        <v>1038</v>
      </c>
      <c r="F64" s="125" t="s">
        <v>982</v>
      </c>
      <c r="G64" s="169" t="s">
        <v>1065</v>
      </c>
      <c r="H64" s="76" t="s">
        <v>721</v>
      </c>
      <c r="I64" s="125" t="s">
        <v>1065</v>
      </c>
      <c r="J64" s="169" t="str">
        <f t="shared" si="1"/>
        <v>I/O</v>
      </c>
    </row>
    <row r="65" spans="2:10" ht="15.75" customHeight="1">
      <c r="B65" s="76" t="str">
        <f>'＠グループ、表示名'!G65</f>
        <v>TM15</v>
      </c>
      <c r="C65" s="76" t="str">
        <f>'＠グループ、表示名'!H65</f>
        <v>TM15A</v>
      </c>
      <c r="D65" s="127" t="s">
        <v>1037</v>
      </c>
      <c r="E65" s="168" t="s">
        <v>1038</v>
      </c>
      <c r="F65" s="125" t="s">
        <v>982</v>
      </c>
      <c r="G65" s="169" t="s">
        <v>1066</v>
      </c>
      <c r="H65" s="76" t="s">
        <v>723</v>
      </c>
      <c r="I65" s="125" t="s">
        <v>1066</v>
      </c>
      <c r="J65" s="169" t="str">
        <f t="shared" si="1"/>
        <v>I/O</v>
      </c>
    </row>
    <row r="66" spans="2:10" ht="15.75" customHeight="1">
      <c r="B66" s="76" t="str">
        <f>'＠グループ、表示名'!G66</f>
        <v>TM15</v>
      </c>
      <c r="C66" s="76" t="str">
        <f>'＠グループ、表示名'!H66</f>
        <v>TM15B</v>
      </c>
      <c r="D66" s="127" t="s">
        <v>1040</v>
      </c>
      <c r="E66" s="168" t="s">
        <v>1038</v>
      </c>
      <c r="F66" s="125" t="s">
        <v>982</v>
      </c>
      <c r="G66" s="169" t="s">
        <v>1067</v>
      </c>
      <c r="H66" s="76" t="s">
        <v>724</v>
      </c>
      <c r="I66" s="125" t="s">
        <v>1067</v>
      </c>
      <c r="J66" s="169" t="str">
        <f t="shared" si="1"/>
        <v>I/O</v>
      </c>
    </row>
    <row r="67" spans="2:10" ht="15.75" customHeight="1">
      <c r="B67" s="76" t="str">
        <f>'＠グループ、表示名'!G67</f>
        <v>GPWM0</v>
      </c>
      <c r="C67" s="76" t="str">
        <f>'＠グループ、表示名'!H67</f>
        <v>GPWM0_GPWM00</v>
      </c>
      <c r="D67" s="127" t="s">
        <v>1068</v>
      </c>
      <c r="E67" s="168" t="s">
        <v>1069</v>
      </c>
      <c r="F67" s="125" t="s">
        <v>986</v>
      </c>
      <c r="G67" s="92" t="s">
        <v>1070</v>
      </c>
      <c r="H67" s="127" t="s">
        <v>1071</v>
      </c>
      <c r="I67" s="125" t="s">
        <v>1072</v>
      </c>
      <c r="J67" s="169" t="str">
        <f t="shared" si="1"/>
        <v>O</v>
      </c>
    </row>
    <row r="68" spans="2:10" ht="15.75" customHeight="1">
      <c r="B68" s="76" t="str">
        <f>'＠グループ、表示名'!G68</f>
        <v>GPWM0</v>
      </c>
      <c r="C68" s="76" t="str">
        <f>'＠グループ、表示名'!H68</f>
        <v>GPWM0_GPWM01</v>
      </c>
      <c r="D68" s="127" t="s">
        <v>1068</v>
      </c>
      <c r="E68" s="168" t="s">
        <v>1069</v>
      </c>
      <c r="F68" s="125" t="s">
        <v>986</v>
      </c>
      <c r="G68" s="92" t="s">
        <v>1073</v>
      </c>
      <c r="H68" s="76" t="s">
        <v>1074</v>
      </c>
      <c r="I68" s="75" t="s">
        <v>1075</v>
      </c>
      <c r="J68" s="169" t="str">
        <f t="shared" si="1"/>
        <v>O</v>
      </c>
    </row>
    <row r="69" spans="2:10" ht="15.75" customHeight="1">
      <c r="B69" s="76" t="str">
        <f>'＠グループ、表示名'!G69</f>
        <v>GPWM1</v>
      </c>
      <c r="C69" s="76" t="str">
        <f>'＠グループ、表示名'!H69</f>
        <v>GPWM1_GPWM10</v>
      </c>
      <c r="D69" s="127" t="s">
        <v>1068</v>
      </c>
      <c r="E69" s="168" t="s">
        <v>1069</v>
      </c>
      <c r="F69" s="125" t="s">
        <v>986</v>
      </c>
      <c r="G69" s="92" t="s">
        <v>1076</v>
      </c>
      <c r="H69" s="127" t="s">
        <v>1071</v>
      </c>
      <c r="I69" s="125" t="s">
        <v>1072</v>
      </c>
      <c r="J69" s="169" t="str">
        <f t="shared" si="1"/>
        <v>O</v>
      </c>
    </row>
    <row r="70" spans="2:10" ht="15.75" customHeight="1">
      <c r="B70" s="76" t="str">
        <f>'＠グループ、表示名'!G70</f>
        <v>GPWM1</v>
      </c>
      <c r="C70" s="76" t="str">
        <f>'＠グループ、表示名'!H70</f>
        <v>GPWM1_GPWM11</v>
      </c>
      <c r="D70" s="127" t="s">
        <v>1068</v>
      </c>
      <c r="E70" s="168" t="s">
        <v>1069</v>
      </c>
      <c r="F70" s="125" t="s">
        <v>986</v>
      </c>
      <c r="G70" s="92" t="s">
        <v>1077</v>
      </c>
      <c r="H70" s="76" t="s">
        <v>1074</v>
      </c>
      <c r="I70" s="75" t="s">
        <v>1075</v>
      </c>
      <c r="J70" s="169" t="str">
        <f t="shared" si="1"/>
        <v>O</v>
      </c>
    </row>
    <row r="71" spans="2:10" ht="15.75" customHeight="1">
      <c r="B71" s="76" t="str">
        <f>'＠グループ、表示名'!G71</f>
        <v>GPWM2</v>
      </c>
      <c r="C71" s="76" t="str">
        <f>'＠グループ、表示名'!H71</f>
        <v>GPWM2_GPWM20</v>
      </c>
      <c r="D71" s="127" t="s">
        <v>1068</v>
      </c>
      <c r="E71" s="168" t="s">
        <v>1069</v>
      </c>
      <c r="F71" s="125" t="s">
        <v>986</v>
      </c>
      <c r="G71" s="92" t="s">
        <v>1078</v>
      </c>
      <c r="H71" s="127" t="s">
        <v>1071</v>
      </c>
      <c r="I71" s="125" t="s">
        <v>1072</v>
      </c>
      <c r="J71" s="169" t="str">
        <f t="shared" si="1"/>
        <v>O</v>
      </c>
    </row>
    <row r="72" spans="2:10" ht="15.75" customHeight="1">
      <c r="B72" s="76" t="str">
        <f>'＠グループ、表示名'!G72</f>
        <v>GPWM2</v>
      </c>
      <c r="C72" s="76" t="str">
        <f>'＠グループ、表示名'!H72</f>
        <v>GPWM2_GPWM21</v>
      </c>
      <c r="D72" s="127" t="s">
        <v>1068</v>
      </c>
      <c r="E72" s="168" t="s">
        <v>1069</v>
      </c>
      <c r="F72" s="125" t="s">
        <v>986</v>
      </c>
      <c r="G72" s="92" t="s">
        <v>1079</v>
      </c>
      <c r="H72" s="76" t="s">
        <v>1074</v>
      </c>
      <c r="I72" s="75" t="s">
        <v>1075</v>
      </c>
      <c r="J72" s="169" t="str">
        <f t="shared" si="1"/>
        <v>O</v>
      </c>
    </row>
    <row r="73" spans="2:10" ht="15.75" customHeight="1">
      <c r="B73" s="76" t="str">
        <f>'＠グループ、表示名'!G73</f>
        <v>GPWM3</v>
      </c>
      <c r="C73" s="76" t="str">
        <f>'＠グループ、表示名'!H73</f>
        <v>GPWM3_GPWM30</v>
      </c>
      <c r="D73" s="127" t="s">
        <v>1068</v>
      </c>
      <c r="E73" s="168" t="s">
        <v>1069</v>
      </c>
      <c r="F73" s="125" t="s">
        <v>986</v>
      </c>
      <c r="G73" s="92" t="s">
        <v>1080</v>
      </c>
      <c r="H73" s="127" t="s">
        <v>1071</v>
      </c>
      <c r="I73" s="125" t="s">
        <v>1072</v>
      </c>
      <c r="J73" s="169" t="str">
        <f t="shared" si="1"/>
        <v>O</v>
      </c>
    </row>
    <row r="74" spans="2:10" ht="15.75" customHeight="1">
      <c r="B74" s="76" t="str">
        <f>'＠グループ、表示名'!G74</f>
        <v>GPWM3</v>
      </c>
      <c r="C74" s="76" t="str">
        <f>'＠グループ、表示名'!H74</f>
        <v>GPWM3_GPWM31</v>
      </c>
      <c r="D74" s="127" t="s">
        <v>1068</v>
      </c>
      <c r="E74" s="168" t="s">
        <v>1069</v>
      </c>
      <c r="F74" s="125" t="s">
        <v>986</v>
      </c>
      <c r="G74" s="92" t="s">
        <v>1081</v>
      </c>
      <c r="H74" s="76" t="s">
        <v>1074</v>
      </c>
      <c r="I74" s="75" t="s">
        <v>1075</v>
      </c>
      <c r="J74" s="169" t="str">
        <f t="shared" si="1"/>
        <v>O</v>
      </c>
    </row>
    <row r="75" spans="2:10" ht="15.75" customHeight="1">
      <c r="B75" s="76" t="str">
        <f>'＠グループ、表示名'!G75</f>
        <v>GPWM4</v>
      </c>
      <c r="C75" s="76" t="str">
        <f>'＠グループ、表示名'!H75</f>
        <v>GPWM4_GPWM40</v>
      </c>
      <c r="D75" s="127" t="s">
        <v>1068</v>
      </c>
      <c r="E75" s="168" t="s">
        <v>1069</v>
      </c>
      <c r="F75" s="125" t="s">
        <v>986</v>
      </c>
      <c r="G75" s="92" t="s">
        <v>1082</v>
      </c>
      <c r="H75" s="127" t="s">
        <v>1071</v>
      </c>
      <c r="I75" s="125" t="s">
        <v>1072</v>
      </c>
      <c r="J75" s="169" t="str">
        <f t="shared" si="1"/>
        <v>O</v>
      </c>
    </row>
    <row r="76" spans="2:10" ht="15.75" customHeight="1">
      <c r="B76" s="76" t="str">
        <f>'＠グループ、表示名'!G76</f>
        <v>GPWM4</v>
      </c>
      <c r="C76" s="76" t="str">
        <f>'＠グループ、表示名'!H76</f>
        <v>GPWM4_GPWM41</v>
      </c>
      <c r="D76" s="127" t="s">
        <v>1068</v>
      </c>
      <c r="E76" s="168" t="s">
        <v>1069</v>
      </c>
      <c r="F76" s="125" t="s">
        <v>986</v>
      </c>
      <c r="G76" s="92" t="s">
        <v>1083</v>
      </c>
      <c r="H76" s="76" t="s">
        <v>1074</v>
      </c>
      <c r="I76" s="75" t="s">
        <v>1075</v>
      </c>
      <c r="J76" s="169" t="str">
        <f t="shared" si="1"/>
        <v>O</v>
      </c>
    </row>
    <row r="77" spans="2:10" ht="15.75" customHeight="1">
      <c r="B77" s="76" t="str">
        <f>'＠グループ、表示名'!G77</f>
        <v>GPWM5</v>
      </c>
      <c r="C77" s="76" t="str">
        <f>'＠グループ、表示名'!H77</f>
        <v>GPWM5_GPWM50</v>
      </c>
      <c r="D77" s="127" t="s">
        <v>1068</v>
      </c>
      <c r="E77" s="168" t="s">
        <v>1069</v>
      </c>
      <c r="F77" s="125" t="s">
        <v>986</v>
      </c>
      <c r="G77" s="92" t="s">
        <v>1084</v>
      </c>
      <c r="H77" s="127" t="s">
        <v>1071</v>
      </c>
      <c r="I77" s="125" t="s">
        <v>1072</v>
      </c>
      <c r="J77" s="169" t="str">
        <f t="shared" si="1"/>
        <v>O</v>
      </c>
    </row>
    <row r="78" spans="2:10" ht="15.75" customHeight="1">
      <c r="B78" s="76" t="str">
        <f>'＠グループ、表示名'!G78</f>
        <v>GPWM5</v>
      </c>
      <c r="C78" s="76" t="str">
        <f>'＠グループ、表示名'!H78</f>
        <v>GPWM5_GPWM51</v>
      </c>
      <c r="D78" s="127" t="s">
        <v>1068</v>
      </c>
      <c r="E78" s="168" t="s">
        <v>1069</v>
      </c>
      <c r="F78" s="125" t="s">
        <v>986</v>
      </c>
      <c r="G78" s="92" t="s">
        <v>1085</v>
      </c>
      <c r="H78" s="76" t="s">
        <v>1074</v>
      </c>
      <c r="I78" s="75" t="s">
        <v>1075</v>
      </c>
      <c r="J78" s="169" t="str">
        <f t="shared" si="1"/>
        <v>O</v>
      </c>
    </row>
    <row r="79" spans="2:10" ht="15.75" customHeight="1">
      <c r="B79" s="76" t="str">
        <f>'＠グループ、表示名'!G79</f>
        <v>GPWM6</v>
      </c>
      <c r="C79" s="76" t="str">
        <f>'＠グループ、表示名'!H79</f>
        <v>GPWM6_GPWM60</v>
      </c>
      <c r="D79" s="127" t="s">
        <v>1068</v>
      </c>
      <c r="E79" s="168" t="s">
        <v>1069</v>
      </c>
      <c r="F79" s="125" t="s">
        <v>986</v>
      </c>
      <c r="G79" s="92" t="s">
        <v>1086</v>
      </c>
      <c r="H79" s="127" t="s">
        <v>1071</v>
      </c>
      <c r="I79" s="125" t="s">
        <v>1072</v>
      </c>
      <c r="J79" s="169" t="str">
        <f t="shared" si="1"/>
        <v>O</v>
      </c>
    </row>
    <row r="80" spans="2:10" ht="15.75" customHeight="1">
      <c r="B80" s="76" t="str">
        <f>'＠グループ、表示名'!G80</f>
        <v>GPWM6</v>
      </c>
      <c r="C80" s="76" t="str">
        <f>'＠グループ、表示名'!H80</f>
        <v>GPWM6_GPWM61</v>
      </c>
      <c r="D80" s="127" t="s">
        <v>1068</v>
      </c>
      <c r="E80" s="168" t="s">
        <v>1069</v>
      </c>
      <c r="F80" s="125" t="s">
        <v>986</v>
      </c>
      <c r="G80" s="92" t="s">
        <v>1087</v>
      </c>
      <c r="H80" s="76" t="s">
        <v>1074</v>
      </c>
      <c r="I80" s="75" t="s">
        <v>1075</v>
      </c>
      <c r="J80" s="169" t="str">
        <f t="shared" si="1"/>
        <v>O</v>
      </c>
    </row>
    <row r="81" spans="2:10" ht="15.75" customHeight="1">
      <c r="B81" s="76" t="str">
        <f>'＠グループ、表示名'!G81</f>
        <v>GPWM7</v>
      </c>
      <c r="C81" s="76" t="str">
        <f>'＠グループ、表示名'!H81</f>
        <v>GPWM7_GPWM70</v>
      </c>
      <c r="D81" s="127" t="s">
        <v>1068</v>
      </c>
      <c r="E81" s="168" t="s">
        <v>1069</v>
      </c>
      <c r="F81" s="125" t="s">
        <v>986</v>
      </c>
      <c r="G81" s="92" t="s">
        <v>1088</v>
      </c>
      <c r="H81" s="127" t="s">
        <v>1071</v>
      </c>
      <c r="I81" s="125" t="s">
        <v>1072</v>
      </c>
      <c r="J81" s="169" t="str">
        <f t="shared" si="1"/>
        <v>O</v>
      </c>
    </row>
    <row r="82" spans="2:10" ht="15.75" customHeight="1">
      <c r="B82" s="76" t="str">
        <f>'＠グループ、表示名'!G82</f>
        <v>GPWM7</v>
      </c>
      <c r="C82" s="76" t="str">
        <f>'＠グループ、表示名'!H82</f>
        <v>GPWM7_GPWM71</v>
      </c>
      <c r="D82" s="127" t="s">
        <v>1068</v>
      </c>
      <c r="E82" s="168" t="s">
        <v>1069</v>
      </c>
      <c r="F82" s="125" t="s">
        <v>986</v>
      </c>
      <c r="G82" s="92" t="s">
        <v>1089</v>
      </c>
      <c r="H82" s="76" t="s">
        <v>1074</v>
      </c>
      <c r="I82" s="75" t="s">
        <v>1075</v>
      </c>
      <c r="J82" s="169" t="str">
        <f t="shared" si="1"/>
        <v>O</v>
      </c>
    </row>
    <row r="83" spans="2:10" ht="15.75" customHeight="1">
      <c r="B83" s="76" t="str">
        <f>'＠グループ、表示名'!G83</f>
        <v>GPWM0</v>
      </c>
      <c r="C83" s="76" t="str">
        <f>'＠グループ、表示名'!H83</f>
        <v>GPWM0_GPWMST0</v>
      </c>
      <c r="D83" s="127" t="s">
        <v>1090</v>
      </c>
      <c r="E83" s="168" t="s">
        <v>1091</v>
      </c>
      <c r="F83" s="125" t="s">
        <v>986</v>
      </c>
      <c r="G83" s="92" t="s">
        <v>1092</v>
      </c>
      <c r="H83" s="127" t="s">
        <v>1093</v>
      </c>
      <c r="I83" s="125" t="s">
        <v>1094</v>
      </c>
      <c r="J83" s="169" t="str">
        <f t="shared" si="1"/>
        <v>O</v>
      </c>
    </row>
    <row r="84" spans="2:10" ht="15.75" customHeight="1">
      <c r="B84" s="76" t="str">
        <f>'＠グループ、表示名'!G84</f>
        <v>GPWM1</v>
      </c>
      <c r="C84" s="76" t="str">
        <f>'＠グループ、表示名'!H84</f>
        <v>GPWM1_GPWMST1</v>
      </c>
      <c r="D84" s="127" t="s">
        <v>1090</v>
      </c>
      <c r="E84" s="168" t="s">
        <v>1095</v>
      </c>
      <c r="F84" s="125" t="s">
        <v>986</v>
      </c>
      <c r="G84" s="169" t="s">
        <v>1096</v>
      </c>
      <c r="H84" s="127" t="s">
        <v>1093</v>
      </c>
      <c r="I84" s="125" t="s">
        <v>1094</v>
      </c>
      <c r="J84" s="169" t="str">
        <f t="shared" si="1"/>
        <v>O</v>
      </c>
    </row>
    <row r="85" spans="2:10" ht="15.75" customHeight="1">
      <c r="B85" s="76" t="str">
        <f>'＠グループ、表示名'!G85</f>
        <v>GPWM2</v>
      </c>
      <c r="C85" s="76" t="str">
        <f>'＠グループ、表示名'!H85</f>
        <v>GPWM2_GPWMST2</v>
      </c>
      <c r="D85" s="127" t="s">
        <v>1090</v>
      </c>
      <c r="E85" s="168" t="s">
        <v>1095</v>
      </c>
      <c r="F85" s="125" t="s">
        <v>986</v>
      </c>
      <c r="G85" s="169" t="s">
        <v>1097</v>
      </c>
      <c r="H85" s="127" t="s">
        <v>1093</v>
      </c>
      <c r="I85" s="125" t="s">
        <v>1094</v>
      </c>
      <c r="J85" s="169" t="str">
        <f t="shared" si="1"/>
        <v>O</v>
      </c>
    </row>
    <row r="86" spans="2:10" ht="15.75" customHeight="1">
      <c r="B86" s="76" t="str">
        <f>'＠グループ、表示名'!G86</f>
        <v>GPWM3</v>
      </c>
      <c r="C86" s="76" t="str">
        <f>'＠グループ、表示名'!H86</f>
        <v>GPWM3_GPWMST3</v>
      </c>
      <c r="D86" s="127" t="s">
        <v>1090</v>
      </c>
      <c r="E86" s="168" t="s">
        <v>1095</v>
      </c>
      <c r="F86" s="125" t="s">
        <v>986</v>
      </c>
      <c r="G86" s="169" t="s">
        <v>1098</v>
      </c>
      <c r="H86" s="127" t="s">
        <v>1093</v>
      </c>
      <c r="I86" s="125" t="s">
        <v>1094</v>
      </c>
      <c r="J86" s="169" t="str">
        <f t="shared" si="1"/>
        <v>O</v>
      </c>
    </row>
    <row r="87" spans="2:10" ht="15.75" customHeight="1">
      <c r="B87" s="76" t="str">
        <f>'＠グループ、表示名'!G87</f>
        <v>GPWM4</v>
      </c>
      <c r="C87" s="76" t="str">
        <f>'＠グループ、表示名'!H87</f>
        <v>GPWM4_GPWMST4</v>
      </c>
      <c r="D87" s="127" t="s">
        <v>1090</v>
      </c>
      <c r="E87" s="168" t="s">
        <v>1095</v>
      </c>
      <c r="F87" s="125" t="s">
        <v>986</v>
      </c>
      <c r="G87" s="169" t="s">
        <v>1099</v>
      </c>
      <c r="H87" s="127" t="s">
        <v>1093</v>
      </c>
      <c r="I87" s="125" t="s">
        <v>1094</v>
      </c>
      <c r="J87" s="169" t="str">
        <f t="shared" ref="J87:J118" si="2">F87</f>
        <v>O</v>
      </c>
    </row>
    <row r="88" spans="2:10" ht="15.75" customHeight="1">
      <c r="B88" s="76" t="str">
        <f>'＠グループ、表示名'!G88</f>
        <v>GPWM5</v>
      </c>
      <c r="C88" s="76" t="str">
        <f>'＠グループ、表示名'!H88</f>
        <v>GPWM5_GPWMST5</v>
      </c>
      <c r="D88" s="127" t="s">
        <v>1090</v>
      </c>
      <c r="E88" s="168" t="s">
        <v>1095</v>
      </c>
      <c r="F88" s="125" t="s">
        <v>986</v>
      </c>
      <c r="G88" s="169" t="s">
        <v>1100</v>
      </c>
      <c r="H88" s="127" t="s">
        <v>1093</v>
      </c>
      <c r="I88" s="125" t="s">
        <v>1094</v>
      </c>
      <c r="J88" s="169" t="str">
        <f t="shared" si="2"/>
        <v>O</v>
      </c>
    </row>
    <row r="89" spans="2:10" ht="15.75" customHeight="1">
      <c r="B89" s="76" t="str">
        <f>'＠グループ、表示名'!G89</f>
        <v>GPWM6</v>
      </c>
      <c r="C89" s="76" t="str">
        <f>'＠グループ、表示名'!H89</f>
        <v>GPWM6_GPWMST6</v>
      </c>
      <c r="D89" s="127" t="s">
        <v>1090</v>
      </c>
      <c r="E89" s="168" t="s">
        <v>1095</v>
      </c>
      <c r="F89" s="125" t="s">
        <v>986</v>
      </c>
      <c r="G89" s="169" t="s">
        <v>1101</v>
      </c>
      <c r="H89" s="127" t="s">
        <v>1093</v>
      </c>
      <c r="I89" s="125" t="s">
        <v>1094</v>
      </c>
      <c r="J89" s="169" t="str">
        <f t="shared" si="2"/>
        <v>O</v>
      </c>
    </row>
    <row r="90" spans="2:10" ht="15.75" customHeight="1">
      <c r="B90" s="76" t="str">
        <f>'＠グループ、表示名'!G90</f>
        <v>GPWM7</v>
      </c>
      <c r="C90" s="76" t="str">
        <f>'＠グループ、表示名'!H90</f>
        <v>GPWM7_GPWMST7</v>
      </c>
      <c r="D90" s="127" t="s">
        <v>1090</v>
      </c>
      <c r="E90" s="168" t="s">
        <v>1095</v>
      </c>
      <c r="F90" s="125" t="s">
        <v>986</v>
      </c>
      <c r="G90" s="169" t="s">
        <v>1102</v>
      </c>
      <c r="H90" s="127" t="s">
        <v>1093</v>
      </c>
      <c r="I90" s="125" t="s">
        <v>1094</v>
      </c>
      <c r="J90" s="169" t="str">
        <f t="shared" si="2"/>
        <v>O</v>
      </c>
    </row>
    <row r="91" spans="2:10" ht="15.75" customHeight="1">
      <c r="B91" s="76" t="str">
        <f>'＠グループ、表示名'!G91</f>
        <v>SIF0</v>
      </c>
      <c r="C91" s="76" t="str">
        <f>'＠グループ、表示名'!H91</f>
        <v>SIF0_SBCS0</v>
      </c>
      <c r="D91" s="127" t="s">
        <v>1103</v>
      </c>
      <c r="E91" s="172" t="s">
        <v>1104</v>
      </c>
      <c r="F91" s="125" t="s">
        <v>982</v>
      </c>
      <c r="G91" s="169" t="s">
        <v>1105</v>
      </c>
      <c r="H91" s="127" t="s">
        <v>1106</v>
      </c>
      <c r="I91" s="125" t="s">
        <v>1107</v>
      </c>
      <c r="J91" s="169" t="str">
        <f t="shared" si="2"/>
        <v>I/O</v>
      </c>
    </row>
    <row r="92" spans="2:10" ht="15.75" customHeight="1">
      <c r="B92" s="76" t="str">
        <f>'＠グループ、表示名'!G92</f>
        <v>SIF0</v>
      </c>
      <c r="C92" s="76" t="str">
        <f>'＠グループ、表示名'!H92</f>
        <v>SIF0_SBI0</v>
      </c>
      <c r="D92" s="127" t="s">
        <v>1108</v>
      </c>
      <c r="E92" s="172" t="s">
        <v>1104</v>
      </c>
      <c r="F92" s="125" t="s">
        <v>978</v>
      </c>
      <c r="G92" s="169" t="s">
        <v>1109</v>
      </c>
      <c r="H92" s="127" t="s">
        <v>1110</v>
      </c>
      <c r="I92" s="125" t="s">
        <v>1111</v>
      </c>
      <c r="J92" s="169" t="str">
        <f t="shared" si="2"/>
        <v>I</v>
      </c>
    </row>
    <row r="93" spans="2:10" ht="15.75" customHeight="1">
      <c r="B93" s="76" t="str">
        <f>'＠グループ、表示名'!G93</f>
        <v>SIF0</v>
      </c>
      <c r="C93" s="76" t="str">
        <f>'＠グループ、表示名'!H93</f>
        <v>SIF0_SBO0</v>
      </c>
      <c r="D93" s="127" t="s">
        <v>1108</v>
      </c>
      <c r="E93" s="172" t="s">
        <v>1104</v>
      </c>
      <c r="F93" s="125" t="s">
        <v>982</v>
      </c>
      <c r="G93" s="169" t="s">
        <v>1112</v>
      </c>
      <c r="H93" s="127" t="s">
        <v>1113</v>
      </c>
      <c r="I93" s="125" t="s">
        <v>1114</v>
      </c>
      <c r="J93" s="169" t="str">
        <f t="shared" si="2"/>
        <v>I/O</v>
      </c>
    </row>
    <row r="94" spans="2:10" ht="15.75" customHeight="1">
      <c r="B94" s="76" t="str">
        <f>'＠グループ、表示名'!G94</f>
        <v>SIF0</v>
      </c>
      <c r="C94" s="76" t="str">
        <f>'＠グループ、表示名'!H94</f>
        <v>SIF0_SBT0</v>
      </c>
      <c r="D94" s="127" t="s">
        <v>1115</v>
      </c>
      <c r="E94" s="172" t="s">
        <v>1104</v>
      </c>
      <c r="F94" s="125" t="s">
        <v>982</v>
      </c>
      <c r="G94" s="169" t="s">
        <v>1116</v>
      </c>
      <c r="H94" s="127" t="s">
        <v>1117</v>
      </c>
      <c r="I94" s="125" t="s">
        <v>1118</v>
      </c>
      <c r="J94" s="169" t="str">
        <f t="shared" si="2"/>
        <v>I/O</v>
      </c>
    </row>
    <row r="95" spans="2:10" ht="15.75" customHeight="1">
      <c r="B95" s="76" t="str">
        <f>'＠グループ、表示名'!G95</f>
        <v>SIF1</v>
      </c>
      <c r="C95" s="76" t="str">
        <f>'＠グループ、表示名'!H95</f>
        <v>SIF1_SBCS1</v>
      </c>
      <c r="D95" s="127" t="s">
        <v>1103</v>
      </c>
      <c r="E95" s="172" t="s">
        <v>1104</v>
      </c>
      <c r="F95" s="125" t="s">
        <v>982</v>
      </c>
      <c r="G95" s="169" t="s">
        <v>1119</v>
      </c>
      <c r="H95" s="127" t="s">
        <v>1106</v>
      </c>
      <c r="I95" s="125" t="s">
        <v>1107</v>
      </c>
      <c r="J95" s="169" t="str">
        <f t="shared" si="2"/>
        <v>I/O</v>
      </c>
    </row>
    <row r="96" spans="2:10" ht="27" customHeight="1">
      <c r="B96" s="76" t="str">
        <f>'＠グループ、表示名'!G96</f>
        <v>SIF1</v>
      </c>
      <c r="C96" s="76" t="str">
        <f>'＠グループ、表示名'!H96</f>
        <v>SIF1_SBI1</v>
      </c>
      <c r="D96" s="127" t="s">
        <v>1108</v>
      </c>
      <c r="E96" s="172" t="s">
        <v>1104</v>
      </c>
      <c r="F96" s="125" t="s">
        <v>978</v>
      </c>
      <c r="G96" s="169" t="s">
        <v>1120</v>
      </c>
      <c r="H96" s="127" t="s">
        <v>1110</v>
      </c>
      <c r="I96" s="125" t="s">
        <v>1111</v>
      </c>
      <c r="J96" s="171" t="str">
        <f t="shared" si="2"/>
        <v>I</v>
      </c>
    </row>
    <row r="97" spans="2:10" ht="27" customHeight="1">
      <c r="B97" s="76" t="str">
        <f>'＠グループ、表示名'!G97</f>
        <v>SIF1</v>
      </c>
      <c r="C97" s="76" t="str">
        <f>'＠グループ、表示名'!H97</f>
        <v>SIF1_SBO1</v>
      </c>
      <c r="D97" s="127" t="s">
        <v>1108</v>
      </c>
      <c r="E97" s="172" t="s">
        <v>1104</v>
      </c>
      <c r="F97" s="125" t="s">
        <v>982</v>
      </c>
      <c r="G97" s="169" t="s">
        <v>1121</v>
      </c>
      <c r="H97" s="127" t="s">
        <v>1113</v>
      </c>
      <c r="I97" s="125" t="s">
        <v>1114</v>
      </c>
      <c r="J97" s="169" t="str">
        <f t="shared" si="2"/>
        <v>I/O</v>
      </c>
    </row>
    <row r="98" spans="2:10" ht="27" customHeight="1">
      <c r="B98" s="76" t="str">
        <f>'＠グループ、表示名'!G98</f>
        <v>SIF1</v>
      </c>
      <c r="C98" s="76" t="str">
        <f>'＠グループ、表示名'!H98</f>
        <v>SIF1_SBT1</v>
      </c>
      <c r="D98" s="127" t="s">
        <v>1115</v>
      </c>
      <c r="E98" s="172" t="s">
        <v>1104</v>
      </c>
      <c r="F98" s="125" t="s">
        <v>982</v>
      </c>
      <c r="G98" s="169" t="s">
        <v>1122</v>
      </c>
      <c r="H98" s="127" t="s">
        <v>1117</v>
      </c>
      <c r="I98" s="125" t="s">
        <v>1118</v>
      </c>
      <c r="J98" s="169" t="str">
        <f t="shared" si="2"/>
        <v>I/O</v>
      </c>
    </row>
    <row r="99" spans="2:10" ht="27" customHeight="1">
      <c r="B99" s="76" t="str">
        <f>'＠グループ、表示名'!G99</f>
        <v>SIF2</v>
      </c>
      <c r="C99" s="76" t="str">
        <f>'＠グループ、表示名'!H99</f>
        <v>SIF2_SBCS2</v>
      </c>
      <c r="D99" s="127" t="s">
        <v>1103</v>
      </c>
      <c r="E99" s="172" t="s">
        <v>1104</v>
      </c>
      <c r="F99" s="125" t="s">
        <v>982</v>
      </c>
      <c r="G99" s="169" t="s">
        <v>1123</v>
      </c>
      <c r="H99" s="127" t="s">
        <v>1106</v>
      </c>
      <c r="I99" s="125" t="s">
        <v>1107</v>
      </c>
      <c r="J99" s="169" t="str">
        <f t="shared" si="2"/>
        <v>I/O</v>
      </c>
    </row>
    <row r="100" spans="2:10" ht="15.75" customHeight="1">
      <c r="B100" s="76" t="str">
        <f>'＠グループ、表示名'!G100</f>
        <v>SIF2</v>
      </c>
      <c r="C100" s="76" t="str">
        <f>'＠グループ、表示名'!H100</f>
        <v>SIF2_SBI2</v>
      </c>
      <c r="D100" s="127" t="s">
        <v>1108</v>
      </c>
      <c r="E100" s="172" t="s">
        <v>1104</v>
      </c>
      <c r="F100" s="125" t="s">
        <v>978</v>
      </c>
      <c r="G100" s="169" t="s">
        <v>1124</v>
      </c>
      <c r="H100" s="127" t="s">
        <v>1110</v>
      </c>
      <c r="I100" s="125" t="s">
        <v>1111</v>
      </c>
      <c r="J100" s="169" t="str">
        <f t="shared" si="2"/>
        <v>I</v>
      </c>
    </row>
    <row r="101" spans="2:10" ht="27" customHeight="1">
      <c r="B101" s="76" t="str">
        <f>'＠グループ、表示名'!G101</f>
        <v>SIF2</v>
      </c>
      <c r="C101" s="76" t="str">
        <f>'＠グループ、表示名'!H101</f>
        <v>SIF2_SBO2</v>
      </c>
      <c r="D101" s="127" t="s">
        <v>1108</v>
      </c>
      <c r="E101" s="172" t="s">
        <v>1104</v>
      </c>
      <c r="F101" s="125" t="s">
        <v>982</v>
      </c>
      <c r="G101" s="169" t="s">
        <v>1125</v>
      </c>
      <c r="H101" s="127" t="s">
        <v>1113</v>
      </c>
      <c r="I101" s="125" t="s">
        <v>1114</v>
      </c>
      <c r="J101" s="169" t="str">
        <f t="shared" si="2"/>
        <v>I/O</v>
      </c>
    </row>
    <row r="102" spans="2:10" ht="27" customHeight="1">
      <c r="B102" s="76" t="str">
        <f>'＠グループ、表示名'!G102</f>
        <v>SIF2</v>
      </c>
      <c r="C102" s="76" t="str">
        <f>'＠グループ、表示名'!H102</f>
        <v>SIF2_SBT2</v>
      </c>
      <c r="D102" s="127" t="s">
        <v>1115</v>
      </c>
      <c r="E102" s="172" t="s">
        <v>1104</v>
      </c>
      <c r="F102" s="125" t="s">
        <v>982</v>
      </c>
      <c r="G102" s="169" t="s">
        <v>1126</v>
      </c>
      <c r="H102" s="127" t="s">
        <v>1117</v>
      </c>
      <c r="I102" s="125" t="s">
        <v>1118</v>
      </c>
      <c r="J102" s="169" t="str">
        <f t="shared" si="2"/>
        <v>I/O</v>
      </c>
    </row>
    <row r="103" spans="2:10" ht="27" customHeight="1">
      <c r="B103" s="76" t="str">
        <f>'＠グループ、表示名'!G103</f>
        <v>SIF3</v>
      </c>
      <c r="C103" s="76" t="str">
        <f>'＠グループ、表示名'!H103</f>
        <v>SIF3_SBCS3</v>
      </c>
      <c r="D103" s="127" t="s">
        <v>1103</v>
      </c>
      <c r="E103" s="172" t="s">
        <v>1104</v>
      </c>
      <c r="F103" s="125" t="s">
        <v>982</v>
      </c>
      <c r="G103" s="169" t="s">
        <v>1127</v>
      </c>
      <c r="H103" s="127" t="s">
        <v>1106</v>
      </c>
      <c r="I103" s="125" t="s">
        <v>1107</v>
      </c>
      <c r="J103" s="169" t="str">
        <f t="shared" si="2"/>
        <v>I/O</v>
      </c>
    </row>
    <row r="104" spans="2:10" ht="27" customHeight="1">
      <c r="B104" s="76" t="str">
        <f>'＠グループ、表示名'!G104</f>
        <v>SIF3</v>
      </c>
      <c r="C104" s="76" t="str">
        <f>'＠グループ、表示名'!H104</f>
        <v>SIF3_SBI3</v>
      </c>
      <c r="D104" s="127" t="s">
        <v>1108</v>
      </c>
      <c r="E104" s="172" t="s">
        <v>1104</v>
      </c>
      <c r="F104" s="125" t="s">
        <v>978</v>
      </c>
      <c r="G104" s="169" t="s">
        <v>1128</v>
      </c>
      <c r="H104" s="127" t="s">
        <v>1110</v>
      </c>
      <c r="I104" s="125" t="s">
        <v>1111</v>
      </c>
      <c r="J104" s="169" t="str">
        <f t="shared" si="2"/>
        <v>I</v>
      </c>
    </row>
    <row r="105" spans="2:10" ht="15.75" customHeight="1">
      <c r="B105" s="76" t="str">
        <f>'＠グループ、表示名'!G105</f>
        <v>SIF3</v>
      </c>
      <c r="C105" s="76" t="str">
        <f>'＠グループ、表示名'!H105</f>
        <v>SIF3_SBO3</v>
      </c>
      <c r="D105" s="127" t="s">
        <v>1108</v>
      </c>
      <c r="E105" s="172" t="s">
        <v>1104</v>
      </c>
      <c r="F105" s="125" t="s">
        <v>982</v>
      </c>
      <c r="G105" s="169" t="s">
        <v>1129</v>
      </c>
      <c r="H105" s="127" t="s">
        <v>1113</v>
      </c>
      <c r="I105" s="125" t="s">
        <v>1114</v>
      </c>
      <c r="J105" s="169" t="str">
        <f t="shared" si="2"/>
        <v>I/O</v>
      </c>
    </row>
    <row r="106" spans="2:10" ht="27" customHeight="1">
      <c r="B106" s="76" t="str">
        <f>'＠グループ、表示名'!G106</f>
        <v>SIF3</v>
      </c>
      <c r="C106" s="76" t="str">
        <f>'＠グループ、表示名'!H106</f>
        <v>SIF3_SBT3</v>
      </c>
      <c r="D106" s="127" t="s">
        <v>1115</v>
      </c>
      <c r="E106" s="172" t="s">
        <v>1104</v>
      </c>
      <c r="F106" s="125" t="s">
        <v>982</v>
      </c>
      <c r="G106" s="169" t="s">
        <v>1130</v>
      </c>
      <c r="H106" s="127" t="s">
        <v>1117</v>
      </c>
      <c r="I106" s="125" t="s">
        <v>1118</v>
      </c>
      <c r="J106" s="169" t="str">
        <f t="shared" si="2"/>
        <v>I/O</v>
      </c>
    </row>
    <row r="107" spans="2:10" ht="27" customHeight="1">
      <c r="B107" s="76" t="str">
        <f>'＠グループ、表示名'!G107</f>
        <v>SIF4</v>
      </c>
      <c r="C107" s="76" t="str">
        <f>'＠グループ、表示名'!H107</f>
        <v>SIF4_SBCS4</v>
      </c>
      <c r="D107" s="127" t="s">
        <v>1103</v>
      </c>
      <c r="E107" s="172" t="s">
        <v>1104</v>
      </c>
      <c r="F107" s="125" t="s">
        <v>982</v>
      </c>
      <c r="G107" s="169" t="s">
        <v>1131</v>
      </c>
      <c r="H107" s="127" t="s">
        <v>1106</v>
      </c>
      <c r="I107" s="125" t="s">
        <v>1107</v>
      </c>
      <c r="J107" s="169" t="str">
        <f t="shared" si="2"/>
        <v>I/O</v>
      </c>
    </row>
    <row r="108" spans="2:10" ht="27" customHeight="1">
      <c r="B108" s="76" t="str">
        <f>'＠グループ、表示名'!G108</f>
        <v>SIF4</v>
      </c>
      <c r="C108" s="76" t="str">
        <f>'＠グループ、表示名'!H108</f>
        <v>SIF4_SBI4</v>
      </c>
      <c r="D108" s="127" t="s">
        <v>1108</v>
      </c>
      <c r="E108" s="172" t="s">
        <v>1104</v>
      </c>
      <c r="F108" s="125" t="s">
        <v>978</v>
      </c>
      <c r="G108" s="169" t="s">
        <v>1132</v>
      </c>
      <c r="H108" s="127" t="s">
        <v>1110</v>
      </c>
      <c r="I108" s="170" t="s">
        <v>1111</v>
      </c>
      <c r="J108" s="173" t="str">
        <f t="shared" si="2"/>
        <v>I</v>
      </c>
    </row>
    <row r="109" spans="2:10" ht="27" customHeight="1">
      <c r="B109" s="76" t="str">
        <f>'＠グループ、表示名'!G109</f>
        <v>SIF4</v>
      </c>
      <c r="C109" s="76" t="str">
        <f>'＠グループ、表示名'!H109</f>
        <v>SIF4_SBO4</v>
      </c>
      <c r="D109" s="127" t="s">
        <v>1108</v>
      </c>
      <c r="E109" s="172" t="s">
        <v>1104</v>
      </c>
      <c r="F109" s="125" t="s">
        <v>982</v>
      </c>
      <c r="G109" s="169" t="s">
        <v>1133</v>
      </c>
      <c r="H109" s="127" t="s">
        <v>1113</v>
      </c>
      <c r="I109" s="170" t="s">
        <v>1114</v>
      </c>
      <c r="J109" s="173" t="str">
        <f t="shared" si="2"/>
        <v>I/O</v>
      </c>
    </row>
    <row r="110" spans="2:10" ht="15.75" customHeight="1">
      <c r="B110" s="76" t="str">
        <f>'＠グループ、表示名'!G110</f>
        <v>SIF4</v>
      </c>
      <c r="C110" s="76" t="str">
        <f>'＠グループ、表示名'!H110</f>
        <v>SIF4_SBT4</v>
      </c>
      <c r="D110" s="127" t="s">
        <v>1115</v>
      </c>
      <c r="E110" s="172" t="s">
        <v>1104</v>
      </c>
      <c r="F110" s="125" t="s">
        <v>982</v>
      </c>
      <c r="G110" s="169" t="s">
        <v>1134</v>
      </c>
      <c r="H110" s="127" t="s">
        <v>1117</v>
      </c>
      <c r="I110" s="170" t="s">
        <v>1118</v>
      </c>
      <c r="J110" s="173" t="str">
        <f t="shared" si="2"/>
        <v>I/O</v>
      </c>
    </row>
    <row r="111" spans="2:10" ht="27" customHeight="1">
      <c r="B111" s="76" t="str">
        <f>'＠グループ、表示名'!G111</f>
        <v>SIF5</v>
      </c>
      <c r="C111" s="76" t="str">
        <f>'＠グループ、表示名'!H111</f>
        <v>SIF5_SBCS5</v>
      </c>
      <c r="D111" s="127" t="s">
        <v>1103</v>
      </c>
      <c r="E111" s="172" t="s">
        <v>1104</v>
      </c>
      <c r="F111" s="125" t="s">
        <v>982</v>
      </c>
      <c r="G111" s="169" t="s">
        <v>1135</v>
      </c>
      <c r="H111" s="127" t="s">
        <v>1106</v>
      </c>
      <c r="I111" s="170" t="s">
        <v>1107</v>
      </c>
      <c r="J111" s="173" t="str">
        <f t="shared" si="2"/>
        <v>I/O</v>
      </c>
    </row>
    <row r="112" spans="2:10" ht="27" customHeight="1">
      <c r="B112" s="76" t="str">
        <f>'＠グループ、表示名'!G112</f>
        <v>SIF5</v>
      </c>
      <c r="C112" s="76" t="str">
        <f>'＠グループ、表示名'!H112</f>
        <v>SIF5_SBI5</v>
      </c>
      <c r="D112" s="127" t="s">
        <v>1108</v>
      </c>
      <c r="E112" s="172" t="s">
        <v>1104</v>
      </c>
      <c r="F112" s="125" t="s">
        <v>978</v>
      </c>
      <c r="G112" s="169" t="s">
        <v>1136</v>
      </c>
      <c r="H112" s="127" t="s">
        <v>1110</v>
      </c>
      <c r="I112" s="170" t="s">
        <v>1111</v>
      </c>
      <c r="J112" s="173" t="str">
        <f t="shared" si="2"/>
        <v>I</v>
      </c>
    </row>
    <row r="113" spans="2:10" ht="27" customHeight="1">
      <c r="B113" s="76" t="str">
        <f>'＠グループ、表示名'!G113</f>
        <v>SIF5</v>
      </c>
      <c r="C113" s="76" t="str">
        <f>'＠グループ、表示名'!H113</f>
        <v>SIF5_SBO5</v>
      </c>
      <c r="D113" s="127" t="s">
        <v>1108</v>
      </c>
      <c r="E113" s="172" t="s">
        <v>1104</v>
      </c>
      <c r="F113" s="125" t="s">
        <v>982</v>
      </c>
      <c r="G113" s="169" t="s">
        <v>1137</v>
      </c>
      <c r="H113" s="127" t="s">
        <v>1113</v>
      </c>
      <c r="I113" s="170" t="s">
        <v>1114</v>
      </c>
      <c r="J113" s="173" t="str">
        <f t="shared" si="2"/>
        <v>I/O</v>
      </c>
    </row>
    <row r="114" spans="2:10" ht="27" customHeight="1">
      <c r="B114" s="76" t="str">
        <f>'＠グループ、表示名'!G114</f>
        <v>SIF5</v>
      </c>
      <c r="C114" s="76" t="str">
        <f>'＠グループ、表示名'!H114</f>
        <v>SIF5_SBT5</v>
      </c>
      <c r="D114" s="127" t="s">
        <v>1115</v>
      </c>
      <c r="E114" s="172" t="s">
        <v>1104</v>
      </c>
      <c r="F114" s="125" t="s">
        <v>982</v>
      </c>
      <c r="G114" s="169" t="s">
        <v>1138</v>
      </c>
      <c r="H114" s="127" t="s">
        <v>1117</v>
      </c>
      <c r="I114" s="170" t="s">
        <v>1118</v>
      </c>
      <c r="J114" s="173" t="str">
        <f t="shared" si="2"/>
        <v>I/O</v>
      </c>
    </row>
    <row r="115" spans="2:10" ht="27" customHeight="1">
      <c r="B115" s="76" t="str">
        <f>'＠グループ、表示名'!G115</f>
        <v>SIF6</v>
      </c>
      <c r="C115" s="76" t="str">
        <f>'＠グループ、表示名'!H115</f>
        <v>SIF6_SBCS6</v>
      </c>
      <c r="D115" s="127" t="s">
        <v>1103</v>
      </c>
      <c r="E115" s="172" t="s">
        <v>1104</v>
      </c>
      <c r="F115" s="125" t="s">
        <v>982</v>
      </c>
      <c r="G115" s="80" t="s">
        <v>1139</v>
      </c>
      <c r="H115" s="76" t="s">
        <v>1106</v>
      </c>
      <c r="I115" s="115" t="s">
        <v>1107</v>
      </c>
      <c r="J115" s="173" t="str">
        <f t="shared" si="2"/>
        <v>I/O</v>
      </c>
    </row>
    <row r="116" spans="2:10" ht="15.75" customHeight="1">
      <c r="B116" s="76" t="str">
        <f>'＠グループ、表示名'!G116</f>
        <v>SIF6</v>
      </c>
      <c r="C116" s="76" t="str">
        <f>'＠グループ、表示名'!H116</f>
        <v>SIF6_SBI6</v>
      </c>
      <c r="D116" s="127" t="s">
        <v>1108</v>
      </c>
      <c r="E116" s="172" t="s">
        <v>1104</v>
      </c>
      <c r="F116" s="125" t="s">
        <v>978</v>
      </c>
      <c r="G116" s="80" t="s">
        <v>1140</v>
      </c>
      <c r="H116" s="76" t="s">
        <v>1110</v>
      </c>
      <c r="I116" s="115" t="s">
        <v>1111</v>
      </c>
      <c r="J116" s="173" t="str">
        <f t="shared" si="2"/>
        <v>I</v>
      </c>
    </row>
    <row r="117" spans="2:10" ht="27" customHeight="1">
      <c r="B117" s="76" t="str">
        <f>'＠グループ、表示名'!G117</f>
        <v>SIF6</v>
      </c>
      <c r="C117" s="76" t="str">
        <f>'＠グループ、表示名'!H117</f>
        <v>SIF6_SBO6</v>
      </c>
      <c r="D117" s="127" t="s">
        <v>1108</v>
      </c>
      <c r="E117" s="172" t="s">
        <v>1104</v>
      </c>
      <c r="F117" s="125" t="s">
        <v>982</v>
      </c>
      <c r="G117" s="80" t="s">
        <v>1141</v>
      </c>
      <c r="H117" s="76" t="s">
        <v>1113</v>
      </c>
      <c r="I117" s="115" t="s">
        <v>1114</v>
      </c>
      <c r="J117" s="173" t="str">
        <f t="shared" si="2"/>
        <v>I/O</v>
      </c>
    </row>
    <row r="118" spans="2:10" ht="27" customHeight="1">
      <c r="B118" s="76" t="str">
        <f>'＠グループ、表示名'!G118</f>
        <v>SIF6</v>
      </c>
      <c r="C118" s="76" t="str">
        <f>'＠グループ、表示名'!H118</f>
        <v>SIF6_SBT6</v>
      </c>
      <c r="D118" s="127" t="s">
        <v>1115</v>
      </c>
      <c r="E118" s="172" t="s">
        <v>1104</v>
      </c>
      <c r="F118" s="125" t="s">
        <v>982</v>
      </c>
      <c r="G118" s="80" t="s">
        <v>1142</v>
      </c>
      <c r="H118" s="76" t="s">
        <v>1117</v>
      </c>
      <c r="I118" s="115" t="s">
        <v>1118</v>
      </c>
      <c r="J118" s="173" t="str">
        <f t="shared" si="2"/>
        <v>I/O</v>
      </c>
    </row>
    <row r="119" spans="2:10">
      <c r="B119" s="76" t="str">
        <f>'＠グループ、表示名'!G119</f>
        <v>AD</v>
      </c>
      <c r="C119" s="76" t="str">
        <f>'＠グループ、表示名'!H119</f>
        <v>ADIN00</v>
      </c>
      <c r="D119" s="127" t="s">
        <v>1143</v>
      </c>
      <c r="E119" s="172" t="s">
        <v>1144</v>
      </c>
      <c r="F119" s="125" t="s">
        <v>1145</v>
      </c>
      <c r="G119" s="92" t="s">
        <v>1146</v>
      </c>
      <c r="H119" s="93" t="s">
        <v>1147</v>
      </c>
      <c r="I119" s="94" t="s">
        <v>1148</v>
      </c>
      <c r="J119" s="173" t="str">
        <f t="shared" ref="J119:J158" si="3">F119</f>
        <v>A</v>
      </c>
    </row>
    <row r="120" spans="2:10">
      <c r="B120" s="76" t="str">
        <f>'＠グループ、表示名'!G120</f>
        <v>AD</v>
      </c>
      <c r="C120" s="76" t="str">
        <f>'＠グループ、表示名'!H120</f>
        <v>ADIN01</v>
      </c>
      <c r="D120" s="127" t="s">
        <v>1143</v>
      </c>
      <c r="E120" s="172" t="s">
        <v>1144</v>
      </c>
      <c r="F120" s="125" t="s">
        <v>1145</v>
      </c>
      <c r="G120" s="92" t="s">
        <v>1149</v>
      </c>
      <c r="H120" s="93" t="s">
        <v>1147</v>
      </c>
      <c r="I120" s="94" t="s">
        <v>1148</v>
      </c>
      <c r="J120" s="173" t="str">
        <f t="shared" si="3"/>
        <v>A</v>
      </c>
    </row>
    <row r="121" spans="2:10" ht="15.75" customHeight="1">
      <c r="B121" s="76" t="str">
        <f>'＠グループ、表示名'!G121</f>
        <v>AD</v>
      </c>
      <c r="C121" s="76" t="str">
        <f>'＠グループ、表示名'!H121</f>
        <v>ADIN02</v>
      </c>
      <c r="D121" s="127" t="s">
        <v>1143</v>
      </c>
      <c r="E121" s="172" t="s">
        <v>1144</v>
      </c>
      <c r="F121" s="125" t="s">
        <v>1145</v>
      </c>
      <c r="G121" s="92" t="s">
        <v>1150</v>
      </c>
      <c r="H121" s="93" t="s">
        <v>1147</v>
      </c>
      <c r="I121" s="94" t="s">
        <v>1148</v>
      </c>
      <c r="J121" s="173" t="str">
        <f t="shared" si="3"/>
        <v>A</v>
      </c>
    </row>
    <row r="122" spans="2:10" ht="15.75" customHeight="1">
      <c r="B122" s="76" t="str">
        <f>'＠グループ、表示名'!G122</f>
        <v>AD</v>
      </c>
      <c r="C122" s="76" t="str">
        <f>'＠グループ、表示名'!H122</f>
        <v>ADIN03</v>
      </c>
      <c r="D122" s="127" t="s">
        <v>1143</v>
      </c>
      <c r="E122" s="172" t="s">
        <v>1144</v>
      </c>
      <c r="F122" s="125" t="s">
        <v>1145</v>
      </c>
      <c r="G122" s="92" t="s">
        <v>1151</v>
      </c>
      <c r="H122" s="93" t="s">
        <v>1147</v>
      </c>
      <c r="I122" s="94" t="s">
        <v>1148</v>
      </c>
      <c r="J122" s="173" t="str">
        <f t="shared" si="3"/>
        <v>A</v>
      </c>
    </row>
    <row r="123" spans="2:10" ht="27" customHeight="1">
      <c r="B123" s="76" t="str">
        <f>'＠グループ、表示名'!G123</f>
        <v>AD</v>
      </c>
      <c r="C123" s="76" t="str">
        <f>'＠グループ、表示名'!H123</f>
        <v>ADIN04</v>
      </c>
      <c r="D123" s="127" t="s">
        <v>1143</v>
      </c>
      <c r="E123" s="172" t="s">
        <v>1144</v>
      </c>
      <c r="F123" s="125" t="s">
        <v>1145</v>
      </c>
      <c r="G123" s="92" t="s">
        <v>1152</v>
      </c>
      <c r="H123" s="93" t="s">
        <v>1147</v>
      </c>
      <c r="I123" s="94" t="s">
        <v>1148</v>
      </c>
      <c r="J123" s="173" t="str">
        <f t="shared" si="3"/>
        <v>A</v>
      </c>
    </row>
    <row r="124" spans="2:10" ht="27" customHeight="1">
      <c r="B124" s="76" t="str">
        <f>'＠グループ、表示名'!G124</f>
        <v>AD</v>
      </c>
      <c r="C124" s="76" t="str">
        <f>'＠グループ、表示名'!H124</f>
        <v>ADIN05</v>
      </c>
      <c r="D124" s="127" t="s">
        <v>1143</v>
      </c>
      <c r="E124" s="172" t="s">
        <v>1144</v>
      </c>
      <c r="F124" s="125" t="s">
        <v>1145</v>
      </c>
      <c r="G124" s="92" t="s">
        <v>1153</v>
      </c>
      <c r="H124" s="93" t="s">
        <v>1147</v>
      </c>
      <c r="I124" s="94" t="s">
        <v>1148</v>
      </c>
      <c r="J124" s="173" t="str">
        <f t="shared" si="3"/>
        <v>A</v>
      </c>
    </row>
    <row r="125" spans="2:10" ht="15.75" customHeight="1">
      <c r="B125" s="76" t="str">
        <f>'＠グループ、表示名'!G125</f>
        <v>AD</v>
      </c>
      <c r="C125" s="76" t="str">
        <f>'＠グループ、表示名'!H125</f>
        <v>ADIN06</v>
      </c>
      <c r="D125" s="127" t="s">
        <v>1143</v>
      </c>
      <c r="E125" s="172" t="s">
        <v>1144</v>
      </c>
      <c r="F125" s="125" t="s">
        <v>1145</v>
      </c>
      <c r="G125" s="92" t="s">
        <v>1154</v>
      </c>
      <c r="H125" s="93" t="s">
        <v>1147</v>
      </c>
      <c r="I125" s="94" t="s">
        <v>1148</v>
      </c>
      <c r="J125" s="173" t="str">
        <f t="shared" si="3"/>
        <v>A</v>
      </c>
    </row>
    <row r="126" spans="2:10" ht="27" customHeight="1">
      <c r="B126" s="76" t="str">
        <f>'＠グループ、表示名'!G126</f>
        <v>AD</v>
      </c>
      <c r="C126" s="76" t="str">
        <f>'＠グループ、表示名'!H126</f>
        <v>ADIN07</v>
      </c>
      <c r="D126" s="127" t="s">
        <v>1143</v>
      </c>
      <c r="E126" s="172" t="s">
        <v>1144</v>
      </c>
      <c r="F126" s="125" t="s">
        <v>1145</v>
      </c>
      <c r="G126" s="92" t="s">
        <v>1155</v>
      </c>
      <c r="H126" s="93" t="s">
        <v>1147</v>
      </c>
      <c r="I126" s="94" t="s">
        <v>1148</v>
      </c>
      <c r="J126" s="173" t="str">
        <f t="shared" si="3"/>
        <v>A</v>
      </c>
    </row>
    <row r="127" spans="2:10" ht="27" customHeight="1">
      <c r="B127" s="76" t="str">
        <f>'＠グループ、表示名'!G127</f>
        <v>AD</v>
      </c>
      <c r="C127" s="76" t="str">
        <f>'＠グループ、表示名'!H127</f>
        <v>ADIN08</v>
      </c>
      <c r="D127" s="127" t="s">
        <v>1143</v>
      </c>
      <c r="E127" s="172" t="s">
        <v>1144</v>
      </c>
      <c r="F127" s="125" t="s">
        <v>1145</v>
      </c>
      <c r="G127" s="92" t="s">
        <v>1156</v>
      </c>
      <c r="H127" s="93" t="s">
        <v>1147</v>
      </c>
      <c r="I127" s="94" t="s">
        <v>1148</v>
      </c>
      <c r="J127" s="173" t="str">
        <f t="shared" si="3"/>
        <v>A</v>
      </c>
    </row>
    <row r="128" spans="2:10" ht="15.75" customHeight="1">
      <c r="B128" s="76" t="str">
        <f>'＠グループ、表示名'!G128</f>
        <v>AD</v>
      </c>
      <c r="C128" s="76" t="str">
        <f>'＠グループ、表示名'!H128</f>
        <v>ADIN09</v>
      </c>
      <c r="D128" s="127" t="s">
        <v>1143</v>
      </c>
      <c r="E128" s="172" t="s">
        <v>1144</v>
      </c>
      <c r="F128" s="125" t="s">
        <v>1145</v>
      </c>
      <c r="G128" s="92" t="s">
        <v>1157</v>
      </c>
      <c r="H128" s="93" t="s">
        <v>1147</v>
      </c>
      <c r="I128" s="94" t="s">
        <v>1148</v>
      </c>
      <c r="J128" s="173" t="str">
        <f t="shared" si="3"/>
        <v>A</v>
      </c>
    </row>
    <row r="129" spans="2:10" ht="27" customHeight="1">
      <c r="B129" s="76" t="str">
        <f>'＠グループ、表示名'!G129</f>
        <v>AD</v>
      </c>
      <c r="C129" s="76" t="str">
        <f>'＠グループ、表示名'!H129</f>
        <v>ADIN10</v>
      </c>
      <c r="D129" s="127" t="s">
        <v>1143</v>
      </c>
      <c r="E129" s="172" t="s">
        <v>1144</v>
      </c>
      <c r="F129" s="125" t="s">
        <v>1145</v>
      </c>
      <c r="G129" s="92" t="s">
        <v>1158</v>
      </c>
      <c r="H129" s="93" t="s">
        <v>1147</v>
      </c>
      <c r="I129" s="94" t="s">
        <v>1148</v>
      </c>
      <c r="J129" s="173" t="str">
        <f t="shared" si="3"/>
        <v>A</v>
      </c>
    </row>
    <row r="130" spans="2:10" ht="27" customHeight="1">
      <c r="B130" s="76" t="str">
        <f>'＠グループ、表示名'!G130</f>
        <v>AD</v>
      </c>
      <c r="C130" s="76" t="str">
        <f>'＠グループ、表示名'!H130</f>
        <v>ADIN11</v>
      </c>
      <c r="D130" s="127" t="s">
        <v>1143</v>
      </c>
      <c r="E130" s="172" t="s">
        <v>1144</v>
      </c>
      <c r="F130" s="125" t="s">
        <v>1145</v>
      </c>
      <c r="G130" s="92" t="s">
        <v>1159</v>
      </c>
      <c r="H130" s="93" t="s">
        <v>1147</v>
      </c>
      <c r="I130" s="94" t="s">
        <v>1148</v>
      </c>
      <c r="J130" s="173" t="str">
        <f t="shared" si="3"/>
        <v>A</v>
      </c>
    </row>
    <row r="131" spans="2:10" ht="15.75" customHeight="1">
      <c r="B131" s="76" t="str">
        <f>'＠グループ、表示名'!G131</f>
        <v>AD</v>
      </c>
      <c r="C131" s="76" t="str">
        <f>'＠グループ、表示名'!H131</f>
        <v>ADIN12</v>
      </c>
      <c r="D131" s="127" t="s">
        <v>1143</v>
      </c>
      <c r="E131" s="172" t="s">
        <v>1144</v>
      </c>
      <c r="F131" s="125" t="s">
        <v>1145</v>
      </c>
      <c r="G131" s="92" t="s">
        <v>1160</v>
      </c>
      <c r="H131" s="93" t="s">
        <v>1147</v>
      </c>
      <c r="I131" s="94" t="s">
        <v>1148</v>
      </c>
      <c r="J131" s="173" t="str">
        <f t="shared" si="3"/>
        <v>A</v>
      </c>
    </row>
    <row r="132" spans="2:10">
      <c r="B132" s="76" t="str">
        <f>'＠グループ、表示名'!G132</f>
        <v>AD</v>
      </c>
      <c r="C132" s="76" t="str">
        <f>'＠グループ、表示名'!H132</f>
        <v>ADIN13</v>
      </c>
      <c r="D132" s="127" t="s">
        <v>1143</v>
      </c>
      <c r="E132" s="172" t="s">
        <v>1144</v>
      </c>
      <c r="F132" s="125" t="s">
        <v>1145</v>
      </c>
      <c r="G132" s="92" t="s">
        <v>1161</v>
      </c>
      <c r="H132" s="93" t="s">
        <v>1147</v>
      </c>
      <c r="I132" s="94" t="s">
        <v>1148</v>
      </c>
      <c r="J132" s="173" t="str">
        <f t="shared" si="3"/>
        <v>A</v>
      </c>
    </row>
    <row r="133" spans="2:10">
      <c r="B133" s="76" t="str">
        <f>'＠グループ、表示名'!G133</f>
        <v>AD</v>
      </c>
      <c r="C133" s="76" t="str">
        <f>'＠グループ、表示名'!H133</f>
        <v>ADIN14</v>
      </c>
      <c r="D133" s="127" t="s">
        <v>1143</v>
      </c>
      <c r="E133" s="172" t="s">
        <v>1144</v>
      </c>
      <c r="F133" s="125" t="s">
        <v>1145</v>
      </c>
      <c r="G133" s="92" t="s">
        <v>1162</v>
      </c>
      <c r="H133" s="93" t="s">
        <v>1147</v>
      </c>
      <c r="I133" s="94" t="s">
        <v>1148</v>
      </c>
      <c r="J133" s="173" t="str">
        <f t="shared" si="3"/>
        <v>A</v>
      </c>
    </row>
    <row r="134" spans="2:10">
      <c r="B134" s="76" t="str">
        <f>'＠グループ、表示名'!G134</f>
        <v>AD</v>
      </c>
      <c r="C134" s="76" t="str">
        <f>'＠グループ、表示名'!H134</f>
        <v>ADIN15</v>
      </c>
      <c r="D134" s="127" t="s">
        <v>1143</v>
      </c>
      <c r="E134" s="172" t="s">
        <v>1144</v>
      </c>
      <c r="F134" s="125" t="s">
        <v>1145</v>
      </c>
      <c r="G134" s="92" t="s">
        <v>1163</v>
      </c>
      <c r="H134" s="93" t="s">
        <v>1147</v>
      </c>
      <c r="I134" s="94" t="s">
        <v>1148</v>
      </c>
      <c r="J134" s="173" t="str">
        <f t="shared" si="3"/>
        <v>A</v>
      </c>
    </row>
    <row r="135" spans="2:10">
      <c r="B135" s="76" t="str">
        <f>'＠グループ、表示名'!G135</f>
        <v>AD</v>
      </c>
      <c r="C135" s="76" t="str">
        <f>'＠グループ、表示名'!H135</f>
        <v>ADIN16</v>
      </c>
      <c r="D135" s="127" t="s">
        <v>1143</v>
      </c>
      <c r="E135" s="172" t="s">
        <v>1144</v>
      </c>
      <c r="F135" s="125" t="s">
        <v>1145</v>
      </c>
      <c r="G135" s="92" t="s">
        <v>1164</v>
      </c>
      <c r="H135" s="93" t="s">
        <v>1147</v>
      </c>
      <c r="I135" s="94" t="s">
        <v>1148</v>
      </c>
      <c r="J135" s="173" t="str">
        <f t="shared" si="3"/>
        <v>A</v>
      </c>
    </row>
    <row r="136" spans="2:10">
      <c r="B136" s="76" t="str">
        <f>'＠グループ、表示名'!G136</f>
        <v>AD</v>
      </c>
      <c r="C136" s="76" t="str">
        <f>'＠グループ、表示名'!H136</f>
        <v>ADIN17</v>
      </c>
      <c r="D136" s="127" t="s">
        <v>1143</v>
      </c>
      <c r="E136" s="172" t="s">
        <v>1144</v>
      </c>
      <c r="F136" s="125" t="s">
        <v>1145</v>
      </c>
      <c r="G136" s="92" t="s">
        <v>1165</v>
      </c>
      <c r="H136" s="93" t="s">
        <v>1147</v>
      </c>
      <c r="I136" s="94" t="s">
        <v>1148</v>
      </c>
      <c r="J136" s="173" t="str">
        <f t="shared" si="3"/>
        <v>A</v>
      </c>
    </row>
    <row r="137" spans="2:10">
      <c r="B137" s="76" t="str">
        <f>'＠グループ、表示名'!G137</f>
        <v>AD</v>
      </c>
      <c r="C137" s="76" t="str">
        <f>'＠グループ、表示名'!H137</f>
        <v>ADIN18</v>
      </c>
      <c r="D137" s="127" t="s">
        <v>1143</v>
      </c>
      <c r="E137" s="172" t="s">
        <v>1144</v>
      </c>
      <c r="F137" s="125" t="s">
        <v>1145</v>
      </c>
      <c r="G137" s="92" t="s">
        <v>1166</v>
      </c>
      <c r="H137" s="93" t="s">
        <v>1147</v>
      </c>
      <c r="I137" s="94" t="s">
        <v>1148</v>
      </c>
      <c r="J137" s="173" t="str">
        <f t="shared" si="3"/>
        <v>A</v>
      </c>
    </row>
    <row r="138" spans="2:10" ht="27" customHeight="1">
      <c r="B138" s="76" t="str">
        <f>'＠グループ、表示名'!G138</f>
        <v>AD</v>
      </c>
      <c r="C138" s="76" t="str">
        <f>'＠グループ、表示名'!H138</f>
        <v>ADIN19</v>
      </c>
      <c r="D138" s="127" t="s">
        <v>1143</v>
      </c>
      <c r="E138" s="172" t="s">
        <v>1144</v>
      </c>
      <c r="F138" s="125" t="s">
        <v>1145</v>
      </c>
      <c r="G138" s="92" t="s">
        <v>1167</v>
      </c>
      <c r="H138" s="93" t="s">
        <v>1147</v>
      </c>
      <c r="I138" s="94" t="s">
        <v>1148</v>
      </c>
      <c r="J138" s="173" t="str">
        <f t="shared" si="3"/>
        <v>A</v>
      </c>
    </row>
    <row r="139" spans="2:10" ht="27" customHeight="1">
      <c r="B139" s="76" t="str">
        <f>'＠グループ、表示名'!G139</f>
        <v>AD</v>
      </c>
      <c r="C139" s="76" t="str">
        <f>'＠グループ、表示名'!H139</f>
        <v>ADIN20</v>
      </c>
      <c r="D139" s="127" t="s">
        <v>1143</v>
      </c>
      <c r="E139" s="172" t="s">
        <v>1144</v>
      </c>
      <c r="F139" s="125" t="s">
        <v>1145</v>
      </c>
      <c r="G139" s="92" t="s">
        <v>1168</v>
      </c>
      <c r="H139" s="93" t="s">
        <v>1147</v>
      </c>
      <c r="I139" s="94" t="s">
        <v>1148</v>
      </c>
      <c r="J139" s="173" t="str">
        <f t="shared" si="3"/>
        <v>A</v>
      </c>
    </row>
    <row r="140" spans="2:10" ht="15.75" customHeight="1">
      <c r="B140" s="76" t="str">
        <f>'＠グループ、表示名'!G140</f>
        <v>AD</v>
      </c>
      <c r="C140" s="76" t="str">
        <f>'＠グループ、表示名'!H140</f>
        <v>ADIN21</v>
      </c>
      <c r="D140" s="127" t="s">
        <v>1143</v>
      </c>
      <c r="E140" s="172" t="s">
        <v>1144</v>
      </c>
      <c r="F140" s="125" t="s">
        <v>1145</v>
      </c>
      <c r="G140" s="92" t="s">
        <v>1169</v>
      </c>
      <c r="H140" s="93" t="s">
        <v>1147</v>
      </c>
      <c r="I140" s="94" t="s">
        <v>1148</v>
      </c>
      <c r="J140" s="173" t="str">
        <f t="shared" si="3"/>
        <v>A</v>
      </c>
    </row>
    <row r="141" spans="2:10" ht="27" customHeight="1">
      <c r="B141" s="76" t="str">
        <f>'＠グループ、表示名'!G141</f>
        <v>AD</v>
      </c>
      <c r="C141" s="76" t="str">
        <f>'＠グループ、表示名'!H141</f>
        <v>ADIN22</v>
      </c>
      <c r="D141" s="127" t="s">
        <v>1143</v>
      </c>
      <c r="E141" s="172" t="s">
        <v>1170</v>
      </c>
      <c r="F141" s="125" t="s">
        <v>1145</v>
      </c>
      <c r="G141" s="92" t="s">
        <v>1171</v>
      </c>
      <c r="H141" s="93" t="s">
        <v>1147</v>
      </c>
      <c r="I141" s="94" t="s">
        <v>1148</v>
      </c>
      <c r="J141" s="173" t="str">
        <f t="shared" si="3"/>
        <v>A</v>
      </c>
    </row>
    <row r="142" spans="2:10" ht="27" customHeight="1">
      <c r="B142" s="76" t="str">
        <f>'＠グループ、表示名'!G142</f>
        <v>AD</v>
      </c>
      <c r="C142" s="76" t="str">
        <f>'＠グループ、表示名'!H142</f>
        <v>ADST0</v>
      </c>
      <c r="D142" s="174" t="s">
        <v>1172</v>
      </c>
      <c r="E142" s="168" t="s">
        <v>1173</v>
      </c>
      <c r="F142" s="125" t="s">
        <v>986</v>
      </c>
      <c r="G142" s="175" t="s">
        <v>1174</v>
      </c>
      <c r="H142" s="127" t="s">
        <v>1175</v>
      </c>
      <c r="I142" s="176" t="s">
        <v>1176</v>
      </c>
      <c r="J142" s="173" t="str">
        <f t="shared" si="3"/>
        <v>O</v>
      </c>
    </row>
    <row r="143" spans="2:10">
      <c r="B143" s="76" t="str">
        <f>'＠グループ、表示名'!G143</f>
        <v>AD</v>
      </c>
      <c r="C143" s="76" t="str">
        <f>'＠グループ、表示名'!H143</f>
        <v>ADST1</v>
      </c>
      <c r="D143" s="174" t="s">
        <v>1177</v>
      </c>
      <c r="E143" s="168" t="s">
        <v>1173</v>
      </c>
      <c r="F143" s="125" t="s">
        <v>986</v>
      </c>
      <c r="G143" s="175" t="s">
        <v>1178</v>
      </c>
      <c r="H143" s="127" t="s">
        <v>1175</v>
      </c>
      <c r="I143" s="176" t="s">
        <v>1176</v>
      </c>
      <c r="J143" s="173" t="str">
        <f t="shared" si="3"/>
        <v>O</v>
      </c>
    </row>
    <row r="144" spans="2:10" ht="27" customHeight="1">
      <c r="B144" s="76" t="str">
        <f>'＠グループ、表示名'!G144</f>
        <v>AD</v>
      </c>
      <c r="C144" s="76" t="str">
        <f>'＠グループ、表示名'!H144</f>
        <v>ADST2</v>
      </c>
      <c r="D144" s="174" t="s">
        <v>1177</v>
      </c>
      <c r="E144" s="168" t="s">
        <v>1173</v>
      </c>
      <c r="F144" s="125" t="s">
        <v>986</v>
      </c>
      <c r="G144" s="175" t="s">
        <v>1179</v>
      </c>
      <c r="H144" s="127" t="s">
        <v>1175</v>
      </c>
      <c r="I144" s="176" t="s">
        <v>1176</v>
      </c>
      <c r="J144" s="173" t="str">
        <f t="shared" si="3"/>
        <v>O</v>
      </c>
    </row>
    <row r="145" spans="2:10" ht="27" customHeight="1">
      <c r="B145" s="76" t="str">
        <f>'＠グループ、表示名'!G145</f>
        <v>VGA0</v>
      </c>
      <c r="C145" s="76" t="str">
        <f>'＠グループ、表示名'!H145</f>
        <v>VGA0_VGAP00</v>
      </c>
      <c r="D145" s="127" t="s">
        <v>1180</v>
      </c>
      <c r="E145" s="172" t="s">
        <v>1181</v>
      </c>
      <c r="F145" s="125" t="s">
        <v>1145</v>
      </c>
      <c r="G145" s="171" t="s">
        <v>1182</v>
      </c>
      <c r="H145" s="127" t="s">
        <v>1183</v>
      </c>
      <c r="I145" s="170" t="s">
        <v>1184</v>
      </c>
      <c r="J145" s="173" t="str">
        <f t="shared" si="3"/>
        <v>A</v>
      </c>
    </row>
    <row r="146" spans="2:10" ht="27" customHeight="1">
      <c r="B146" s="76" t="str">
        <f>'＠グループ、表示名'!G146</f>
        <v>VGA0</v>
      </c>
      <c r="C146" s="76" t="str">
        <f>'＠グループ、表示名'!H146</f>
        <v>VGA0_VGAP01</v>
      </c>
      <c r="D146" s="127" t="s">
        <v>1180</v>
      </c>
      <c r="E146" s="172" t="s">
        <v>1181</v>
      </c>
      <c r="F146" s="125" t="s">
        <v>1145</v>
      </c>
      <c r="G146" s="80" t="s">
        <v>1185</v>
      </c>
      <c r="H146" s="127" t="s">
        <v>1186</v>
      </c>
      <c r="I146" s="170" t="s">
        <v>1187</v>
      </c>
      <c r="J146" s="173" t="str">
        <f t="shared" si="3"/>
        <v>A</v>
      </c>
    </row>
    <row r="147" spans="2:10" ht="27" customHeight="1">
      <c r="B147" s="76" t="str">
        <f>'＠グループ、表示名'!G147</f>
        <v>VGA0</v>
      </c>
      <c r="C147" s="76" t="str">
        <f>'＠グループ、表示名'!H147</f>
        <v>VGA0_VGAP02</v>
      </c>
      <c r="D147" s="127" t="s">
        <v>1180</v>
      </c>
      <c r="E147" s="172" t="s">
        <v>1181</v>
      </c>
      <c r="F147" s="125" t="s">
        <v>1145</v>
      </c>
      <c r="G147" s="80" t="s">
        <v>1188</v>
      </c>
      <c r="H147" s="127" t="s">
        <v>1189</v>
      </c>
      <c r="I147" s="170" t="s">
        <v>1190</v>
      </c>
      <c r="J147" s="173" t="str">
        <f t="shared" si="3"/>
        <v>A</v>
      </c>
    </row>
    <row r="148" spans="2:10">
      <c r="B148" s="76" t="str">
        <f>'＠グループ、表示名'!G148</f>
        <v>VGA0</v>
      </c>
      <c r="C148" s="76" t="str">
        <f>'＠グループ、表示名'!H148</f>
        <v>VGA0_VGAN0</v>
      </c>
      <c r="D148" s="127" t="s">
        <v>1191</v>
      </c>
      <c r="E148" s="172" t="s">
        <v>1181</v>
      </c>
      <c r="F148" s="125" t="s">
        <v>1145</v>
      </c>
      <c r="G148" s="80" t="s">
        <v>1192</v>
      </c>
      <c r="H148" s="127" t="s">
        <v>1193</v>
      </c>
      <c r="I148" s="125" t="s">
        <v>1194</v>
      </c>
      <c r="J148" s="173" t="str">
        <f t="shared" si="3"/>
        <v>A</v>
      </c>
    </row>
    <row r="149" spans="2:10">
      <c r="B149" s="76" t="str">
        <f>'＠グループ、表示名'!G149</f>
        <v>VGA1</v>
      </c>
      <c r="C149" s="76" t="str">
        <f>'＠グループ、表示名'!H149</f>
        <v>VGA1_VGAP10</v>
      </c>
      <c r="D149" s="127" t="s">
        <v>1180</v>
      </c>
      <c r="E149" s="172" t="s">
        <v>1181</v>
      </c>
      <c r="F149" s="125" t="s">
        <v>1145</v>
      </c>
      <c r="G149" s="80" t="s">
        <v>1195</v>
      </c>
      <c r="H149" s="127" t="s">
        <v>1183</v>
      </c>
      <c r="I149" s="170" t="s">
        <v>1184</v>
      </c>
      <c r="J149" s="173" t="str">
        <f t="shared" si="3"/>
        <v>A</v>
      </c>
    </row>
    <row r="150" spans="2:10" ht="27" customHeight="1">
      <c r="B150" s="76" t="str">
        <f>'＠グループ、表示名'!G150</f>
        <v>VGA1</v>
      </c>
      <c r="C150" s="76" t="str">
        <f>'＠グループ、表示名'!H150</f>
        <v>VGA1_VGAP11</v>
      </c>
      <c r="D150" s="127" t="s">
        <v>1180</v>
      </c>
      <c r="E150" s="172" t="s">
        <v>1181</v>
      </c>
      <c r="F150" s="125" t="s">
        <v>1145</v>
      </c>
      <c r="G150" s="80" t="s">
        <v>1196</v>
      </c>
      <c r="H150" s="127" t="s">
        <v>1186</v>
      </c>
      <c r="I150" s="170" t="s">
        <v>1187</v>
      </c>
      <c r="J150" s="173" t="str">
        <f t="shared" si="3"/>
        <v>A</v>
      </c>
    </row>
    <row r="151" spans="2:10" ht="27" customHeight="1">
      <c r="B151" s="76" t="str">
        <f>'＠グループ、表示名'!G151</f>
        <v>VGA1</v>
      </c>
      <c r="C151" s="76" t="str">
        <f>'＠グループ、表示名'!H151</f>
        <v>VGA1_VGAP12</v>
      </c>
      <c r="D151" s="127" t="s">
        <v>1180</v>
      </c>
      <c r="E151" s="172" t="s">
        <v>1181</v>
      </c>
      <c r="F151" s="125" t="s">
        <v>1145</v>
      </c>
      <c r="G151" s="80" t="s">
        <v>1197</v>
      </c>
      <c r="H151" s="127" t="s">
        <v>1198</v>
      </c>
      <c r="I151" s="170" t="s">
        <v>1190</v>
      </c>
      <c r="J151" s="173" t="str">
        <f t="shared" si="3"/>
        <v>A</v>
      </c>
    </row>
    <row r="152" spans="2:10" ht="15.75" customHeight="1">
      <c r="B152" s="76" t="str">
        <f>'＠グループ、表示名'!G152</f>
        <v>VGA1</v>
      </c>
      <c r="C152" s="76" t="str">
        <f>'＠グループ、表示名'!H152</f>
        <v>VGA1_VGAN1</v>
      </c>
      <c r="D152" s="127" t="s">
        <v>1191</v>
      </c>
      <c r="E152" s="172" t="s">
        <v>1181</v>
      </c>
      <c r="F152" s="125" t="s">
        <v>1145</v>
      </c>
      <c r="G152" s="80" t="s">
        <v>1192</v>
      </c>
      <c r="H152" s="127" t="s">
        <v>1193</v>
      </c>
      <c r="I152" s="125" t="s">
        <v>1194</v>
      </c>
      <c r="J152" s="173" t="str">
        <f t="shared" si="3"/>
        <v>A</v>
      </c>
    </row>
    <row r="153" spans="2:10" ht="27" customHeight="1">
      <c r="B153" s="76" t="str">
        <f>'＠グループ、表示名'!G153</f>
        <v>CMP0</v>
      </c>
      <c r="C153" s="76" t="str">
        <f>'＠グループ、表示名'!H153</f>
        <v>CMP0_CMPIN00</v>
      </c>
      <c r="D153" s="177" t="s">
        <v>942</v>
      </c>
      <c r="E153" s="172" t="s">
        <v>1199</v>
      </c>
      <c r="F153" s="125" t="s">
        <v>1145</v>
      </c>
      <c r="G153" s="114" t="s">
        <v>1200</v>
      </c>
      <c r="H153" s="93" t="s">
        <v>1201</v>
      </c>
      <c r="I153" s="94" t="s">
        <v>1202</v>
      </c>
      <c r="J153" s="173" t="str">
        <f t="shared" si="3"/>
        <v>A</v>
      </c>
    </row>
    <row r="154" spans="2:10" ht="27" customHeight="1">
      <c r="B154" s="76" t="str">
        <f>'＠グループ、表示名'!G154</f>
        <v>CMP0</v>
      </c>
      <c r="C154" s="76" t="str">
        <f>'＠グループ、表示名'!H154</f>
        <v>CMP0_CMPIN01</v>
      </c>
      <c r="D154" s="177" t="s">
        <v>942</v>
      </c>
      <c r="E154" s="172" t="s">
        <v>1199</v>
      </c>
      <c r="F154" s="125" t="s">
        <v>1145</v>
      </c>
      <c r="G154" s="114" t="s">
        <v>1203</v>
      </c>
      <c r="H154" s="93" t="s">
        <v>1204</v>
      </c>
      <c r="I154" s="94" t="s">
        <v>1205</v>
      </c>
      <c r="J154" s="173" t="str">
        <f t="shared" si="3"/>
        <v>A</v>
      </c>
    </row>
    <row r="155" spans="2:10" ht="27" customHeight="1">
      <c r="B155" s="76" t="str">
        <f>'＠グループ、表示名'!G155</f>
        <v>CMP0</v>
      </c>
      <c r="C155" s="76" t="str">
        <f>'＠グループ、表示名'!H155</f>
        <v>CMP0_CMPREF00</v>
      </c>
      <c r="D155" s="174" t="s">
        <v>1206</v>
      </c>
      <c r="E155" s="168" t="s">
        <v>1207</v>
      </c>
      <c r="F155" s="125" t="s">
        <v>1145</v>
      </c>
      <c r="G155" s="114" t="s">
        <v>1208</v>
      </c>
      <c r="H155" s="93" t="s">
        <v>1209</v>
      </c>
      <c r="I155" s="94" t="s">
        <v>1210</v>
      </c>
      <c r="J155" s="169" t="str">
        <f t="shared" si="3"/>
        <v>A</v>
      </c>
    </row>
    <row r="156" spans="2:10" ht="27" customHeight="1">
      <c r="B156" s="76" t="str">
        <f>'＠グループ、表示名'!G156</f>
        <v>CMP0</v>
      </c>
      <c r="C156" s="76" t="str">
        <f>'＠グループ、表示名'!H156</f>
        <v>CMP0_CMPREF01</v>
      </c>
      <c r="D156" s="174" t="s">
        <v>1206</v>
      </c>
      <c r="E156" s="168" t="s">
        <v>1207</v>
      </c>
      <c r="F156" s="125" t="s">
        <v>1145</v>
      </c>
      <c r="G156" s="114" t="s">
        <v>1211</v>
      </c>
      <c r="H156" s="93" t="s">
        <v>1212</v>
      </c>
      <c r="I156" s="94" t="s">
        <v>1213</v>
      </c>
      <c r="J156" s="169" t="str">
        <f t="shared" si="3"/>
        <v>A</v>
      </c>
    </row>
    <row r="157" spans="2:10" ht="27" customHeight="1">
      <c r="B157" s="76" t="str">
        <f>'＠グループ、表示名'!G157</f>
        <v>CMP1</v>
      </c>
      <c r="C157" s="76" t="str">
        <f>'＠グループ、表示名'!H157</f>
        <v>CMP1_CMPIN10</v>
      </c>
      <c r="D157" s="177" t="s">
        <v>942</v>
      </c>
      <c r="E157" s="172" t="s">
        <v>1199</v>
      </c>
      <c r="F157" s="125" t="s">
        <v>1145</v>
      </c>
      <c r="G157" s="114" t="s">
        <v>1214</v>
      </c>
      <c r="H157" s="93" t="s">
        <v>1201</v>
      </c>
      <c r="I157" s="94" t="s">
        <v>1202</v>
      </c>
      <c r="J157" s="169" t="str">
        <f t="shared" si="3"/>
        <v>A</v>
      </c>
    </row>
    <row r="158" spans="2:10" ht="27" customHeight="1">
      <c r="B158" s="76" t="str">
        <f>'＠グループ、表示名'!G158</f>
        <v>CMP1</v>
      </c>
      <c r="C158" s="76" t="str">
        <f>'＠グループ、表示名'!H158</f>
        <v>CMP1_CMPIN11</v>
      </c>
      <c r="D158" s="177" t="s">
        <v>942</v>
      </c>
      <c r="E158" s="172" t="s">
        <v>1199</v>
      </c>
      <c r="F158" s="125" t="s">
        <v>1145</v>
      </c>
      <c r="G158" s="114" t="s">
        <v>1215</v>
      </c>
      <c r="H158" s="93" t="s">
        <v>1204</v>
      </c>
      <c r="I158" s="94" t="s">
        <v>1205</v>
      </c>
      <c r="J158" s="169" t="str">
        <f t="shared" si="3"/>
        <v>A</v>
      </c>
    </row>
    <row r="159" spans="2:10" ht="27" customHeight="1">
      <c r="B159" s="76" t="str">
        <f>'＠グループ、表示名'!G159</f>
        <v>CMP1</v>
      </c>
      <c r="C159" s="76" t="str">
        <f>'＠グループ、表示名'!H159</f>
        <v>CMP1_CMPREF10</v>
      </c>
      <c r="D159" s="174" t="s">
        <v>1206</v>
      </c>
      <c r="E159" s="168" t="s">
        <v>1207</v>
      </c>
      <c r="F159" s="125" t="s">
        <v>1145</v>
      </c>
      <c r="G159" s="114" t="s">
        <v>1216</v>
      </c>
      <c r="H159" s="93" t="s">
        <v>1209</v>
      </c>
      <c r="I159" s="94" t="s">
        <v>1210</v>
      </c>
      <c r="J159" s="169" t="str">
        <f t="shared" ref="J159:J222" si="4">F159</f>
        <v>A</v>
      </c>
    </row>
    <row r="160" spans="2:10" ht="27" customHeight="1">
      <c r="B160" s="76" t="str">
        <f>'＠グループ、表示名'!G160</f>
        <v>CMP1</v>
      </c>
      <c r="C160" s="76" t="str">
        <f>'＠グループ、表示名'!H160</f>
        <v>CMP1_CMPREF11</v>
      </c>
      <c r="D160" s="174" t="s">
        <v>1206</v>
      </c>
      <c r="E160" s="168" t="s">
        <v>1207</v>
      </c>
      <c r="F160" s="125" t="s">
        <v>1145</v>
      </c>
      <c r="G160" s="114" t="s">
        <v>1217</v>
      </c>
      <c r="H160" s="93" t="s">
        <v>1212</v>
      </c>
      <c r="I160" s="94" t="s">
        <v>1213</v>
      </c>
      <c r="J160" s="169" t="str">
        <f t="shared" si="4"/>
        <v>A</v>
      </c>
    </row>
    <row r="161" spans="2:10" ht="27" customHeight="1">
      <c r="B161" s="76" t="str">
        <f>'＠グループ、表示名'!G161</f>
        <v>CMP0</v>
      </c>
      <c r="C161" s="76" t="str">
        <f>'＠グループ、表示名'!H161</f>
        <v>CMP0_CMPOT00</v>
      </c>
      <c r="D161" s="174" t="s">
        <v>1218</v>
      </c>
      <c r="E161" s="172" t="s">
        <v>1199</v>
      </c>
      <c r="F161" s="125" t="s">
        <v>986</v>
      </c>
      <c r="G161" s="175" t="s">
        <v>1219</v>
      </c>
      <c r="H161" s="127" t="s">
        <v>1220</v>
      </c>
      <c r="I161" s="125" t="s">
        <v>1221</v>
      </c>
      <c r="J161" s="169" t="str">
        <f t="shared" si="4"/>
        <v>O</v>
      </c>
    </row>
    <row r="162" spans="2:10">
      <c r="B162" s="76" t="str">
        <f>'＠グループ、表示名'!G162</f>
        <v>CMP0</v>
      </c>
      <c r="C162" s="76" t="str">
        <f>'＠グループ、表示名'!H162</f>
        <v>CMP0_CMPOT01</v>
      </c>
      <c r="D162" s="174" t="s">
        <v>1218</v>
      </c>
      <c r="E162" s="172" t="s">
        <v>1199</v>
      </c>
      <c r="F162" s="125" t="s">
        <v>986</v>
      </c>
      <c r="G162" s="175" t="s">
        <v>1222</v>
      </c>
      <c r="H162" s="127" t="s">
        <v>1223</v>
      </c>
      <c r="I162" s="125" t="s">
        <v>1224</v>
      </c>
      <c r="J162" s="169" t="str">
        <f t="shared" si="4"/>
        <v>O</v>
      </c>
    </row>
    <row r="163" spans="2:10" ht="27" customHeight="1">
      <c r="B163" s="76" t="str">
        <f>'＠グループ、表示名'!G163</f>
        <v>CMP1</v>
      </c>
      <c r="C163" s="76" t="str">
        <f>'＠グループ、表示名'!H163</f>
        <v>CMP1_CMPOT10</v>
      </c>
      <c r="D163" s="174" t="s">
        <v>1218</v>
      </c>
      <c r="E163" s="172" t="s">
        <v>1199</v>
      </c>
      <c r="F163" s="125" t="s">
        <v>986</v>
      </c>
      <c r="G163" s="175" t="s">
        <v>1225</v>
      </c>
      <c r="H163" s="127" t="s">
        <v>1220</v>
      </c>
      <c r="I163" s="125" t="s">
        <v>1221</v>
      </c>
      <c r="J163" s="169" t="str">
        <f t="shared" si="4"/>
        <v>O</v>
      </c>
    </row>
    <row r="164" spans="2:10" ht="27" customHeight="1">
      <c r="B164" s="76" t="str">
        <f>'＠グループ、表示名'!G164</f>
        <v>CMP1</v>
      </c>
      <c r="C164" s="76" t="str">
        <f>'＠グループ、表示名'!H164</f>
        <v>CMP1_CMPOT11</v>
      </c>
      <c r="D164" s="174" t="s">
        <v>1218</v>
      </c>
      <c r="E164" s="172" t="s">
        <v>1199</v>
      </c>
      <c r="F164" s="125" t="s">
        <v>986</v>
      </c>
      <c r="G164" s="175" t="s">
        <v>1226</v>
      </c>
      <c r="H164" s="127" t="s">
        <v>1223</v>
      </c>
      <c r="I164" s="125" t="s">
        <v>1224</v>
      </c>
      <c r="J164" s="169" t="str">
        <f t="shared" si="4"/>
        <v>O</v>
      </c>
    </row>
    <row r="165" spans="2:10">
      <c r="B165" s="76" t="str">
        <f>'＠グループ、表示名'!G165</f>
        <v>DAC</v>
      </c>
      <c r="C165" s="76" t="str">
        <f>'＠グループ、表示名'!H165</f>
        <v>DAC_DAOT0</v>
      </c>
      <c r="D165" s="127" t="s">
        <v>1227</v>
      </c>
      <c r="E165" s="172" t="s">
        <v>1199</v>
      </c>
      <c r="F165" s="125" t="s">
        <v>1145</v>
      </c>
      <c r="G165" s="169" t="s">
        <v>1228</v>
      </c>
      <c r="H165" s="76" t="s">
        <v>1229</v>
      </c>
      <c r="I165" s="176" t="s">
        <v>1230</v>
      </c>
      <c r="J165" s="169" t="str">
        <f t="shared" si="4"/>
        <v>A</v>
      </c>
    </row>
    <row r="166" spans="2:10">
      <c r="B166" s="76" t="str">
        <f>'＠グループ、表示名'!G166</f>
        <v>P0</v>
      </c>
      <c r="C166" s="76" t="str">
        <f>'＠グループ、表示名'!H166</f>
        <v>P0.0</v>
      </c>
      <c r="D166" s="127" t="s">
        <v>1231</v>
      </c>
      <c r="E166" s="172" t="s">
        <v>1232</v>
      </c>
      <c r="F166" s="125" t="s">
        <v>982</v>
      </c>
      <c r="G166" s="169" t="s">
        <v>1233</v>
      </c>
      <c r="H166" s="178" t="s">
        <v>1234</v>
      </c>
      <c r="I166" s="176" t="s">
        <v>1233</v>
      </c>
      <c r="J166" s="169" t="str">
        <f t="shared" si="4"/>
        <v>I/O</v>
      </c>
    </row>
    <row r="167" spans="2:10">
      <c r="B167" s="76" t="str">
        <f>'＠グループ、表示名'!G167</f>
        <v>P0</v>
      </c>
      <c r="C167" s="76" t="str">
        <f>'＠グループ、表示名'!H167</f>
        <v>P0.1</v>
      </c>
      <c r="D167" s="127" t="s">
        <v>1231</v>
      </c>
      <c r="E167" s="172" t="s">
        <v>1232</v>
      </c>
      <c r="F167" s="125" t="s">
        <v>982</v>
      </c>
      <c r="G167" s="169" t="s">
        <v>1233</v>
      </c>
      <c r="H167" s="178" t="s">
        <v>1234</v>
      </c>
      <c r="I167" s="176" t="s">
        <v>1233</v>
      </c>
      <c r="J167" s="169" t="str">
        <f t="shared" si="4"/>
        <v>I/O</v>
      </c>
    </row>
    <row r="168" spans="2:10">
      <c r="B168" s="76" t="str">
        <f>'＠グループ、表示名'!G168</f>
        <v>P0</v>
      </c>
      <c r="C168" s="76" t="str">
        <f>'＠グループ、表示名'!H168</f>
        <v>P0.2</v>
      </c>
      <c r="D168" s="127" t="s">
        <v>1231</v>
      </c>
      <c r="E168" s="172" t="s">
        <v>1232</v>
      </c>
      <c r="F168" s="125" t="s">
        <v>982</v>
      </c>
      <c r="G168" s="169" t="s">
        <v>1233</v>
      </c>
      <c r="H168" s="178" t="s">
        <v>1235</v>
      </c>
      <c r="I168" s="176" t="s">
        <v>1233</v>
      </c>
      <c r="J168" s="169" t="str">
        <f t="shared" si="4"/>
        <v>I/O</v>
      </c>
    </row>
    <row r="169" spans="2:10">
      <c r="B169" s="76" t="str">
        <f>'＠グループ、表示名'!G169</f>
        <v>P1</v>
      </c>
      <c r="C169" s="76" t="str">
        <f>'＠グループ、表示名'!H169</f>
        <v>P1.0</v>
      </c>
      <c r="D169" s="127" t="s">
        <v>1231</v>
      </c>
      <c r="E169" s="172" t="s">
        <v>1232</v>
      </c>
      <c r="F169" s="125" t="s">
        <v>982</v>
      </c>
      <c r="G169" s="169" t="s">
        <v>1233</v>
      </c>
      <c r="H169" s="178" t="s">
        <v>1236</v>
      </c>
      <c r="I169" s="176" t="s">
        <v>1233</v>
      </c>
      <c r="J169" s="169" t="str">
        <f t="shared" si="4"/>
        <v>I/O</v>
      </c>
    </row>
    <row r="170" spans="2:10">
      <c r="B170" s="76" t="str">
        <f>'＠グループ、表示名'!G170</f>
        <v>P1</v>
      </c>
      <c r="C170" s="76" t="str">
        <f>'＠グループ、表示名'!H170</f>
        <v>P1.1</v>
      </c>
      <c r="D170" s="127" t="s">
        <v>1231</v>
      </c>
      <c r="E170" s="172" t="s">
        <v>1237</v>
      </c>
      <c r="F170" s="125" t="s">
        <v>982</v>
      </c>
      <c r="G170" s="169" t="s">
        <v>1233</v>
      </c>
      <c r="H170" s="178" t="s">
        <v>1236</v>
      </c>
      <c r="I170" s="176" t="s">
        <v>1233</v>
      </c>
      <c r="J170" s="169" t="str">
        <f t="shared" si="4"/>
        <v>I/O</v>
      </c>
    </row>
    <row r="171" spans="2:10">
      <c r="B171" s="76" t="str">
        <f>'＠グループ、表示名'!G171</f>
        <v>P2</v>
      </c>
      <c r="C171" s="76" t="str">
        <f>'＠グループ、表示名'!H171</f>
        <v>P2.0</v>
      </c>
      <c r="D171" s="127" t="s">
        <v>1231</v>
      </c>
      <c r="E171" s="168" t="s">
        <v>1232</v>
      </c>
      <c r="F171" s="125" t="s">
        <v>982</v>
      </c>
      <c r="G171" s="175" t="s">
        <v>1233</v>
      </c>
      <c r="H171" s="178" t="s">
        <v>1238</v>
      </c>
      <c r="I171" s="176" t="s">
        <v>1233</v>
      </c>
      <c r="J171" s="169" t="str">
        <f t="shared" si="4"/>
        <v>I/O</v>
      </c>
    </row>
    <row r="172" spans="2:10">
      <c r="B172" s="76" t="str">
        <f>'＠グループ、表示名'!G172</f>
        <v>P2</v>
      </c>
      <c r="C172" s="76" t="str">
        <f>'＠グループ、表示名'!H172</f>
        <v>P2.1</v>
      </c>
      <c r="D172" s="127" t="s">
        <v>1231</v>
      </c>
      <c r="E172" s="168" t="s">
        <v>1232</v>
      </c>
      <c r="F172" s="125" t="s">
        <v>982</v>
      </c>
      <c r="G172" s="175" t="s">
        <v>1233</v>
      </c>
      <c r="H172" s="178" t="s">
        <v>1238</v>
      </c>
      <c r="I172" s="176" t="s">
        <v>1233</v>
      </c>
      <c r="J172" s="169" t="str">
        <f t="shared" si="4"/>
        <v>I/O</v>
      </c>
    </row>
    <row r="173" spans="2:10">
      <c r="B173" s="76" t="str">
        <f>'＠グループ、表示名'!G173</f>
        <v>P2</v>
      </c>
      <c r="C173" s="76" t="str">
        <f>'＠グループ、表示名'!H173</f>
        <v>P2.2</v>
      </c>
      <c r="D173" s="174" t="s">
        <v>1231</v>
      </c>
      <c r="E173" s="172" t="s">
        <v>1232</v>
      </c>
      <c r="F173" s="125" t="s">
        <v>982</v>
      </c>
      <c r="G173" s="169" t="s">
        <v>1233</v>
      </c>
      <c r="H173" s="178" t="s">
        <v>1238</v>
      </c>
      <c r="I173" s="125" t="s">
        <v>1233</v>
      </c>
      <c r="J173" s="169" t="str">
        <f t="shared" si="4"/>
        <v>I/O</v>
      </c>
    </row>
    <row r="174" spans="2:10" ht="15.75" customHeight="1">
      <c r="B174" s="76" t="str">
        <f>'＠グループ、表示名'!G174</f>
        <v>P2</v>
      </c>
      <c r="C174" s="76" t="str">
        <f>'＠グループ、表示名'!H174</f>
        <v>P2.3</v>
      </c>
      <c r="D174" s="174" t="s">
        <v>1231</v>
      </c>
      <c r="E174" s="168" t="s">
        <v>1232</v>
      </c>
      <c r="F174" s="125" t="s">
        <v>982</v>
      </c>
      <c r="G174" s="92" t="s">
        <v>1233</v>
      </c>
      <c r="H174" s="178" t="s">
        <v>1238</v>
      </c>
      <c r="I174" s="125" t="s">
        <v>1233</v>
      </c>
      <c r="J174" s="169" t="str">
        <f t="shared" si="4"/>
        <v>I/O</v>
      </c>
    </row>
    <row r="175" spans="2:10" ht="15.75" customHeight="1">
      <c r="B175" s="76" t="str">
        <f>'＠グループ、表示名'!G175</f>
        <v>P2</v>
      </c>
      <c r="C175" s="76" t="str">
        <f>'＠グループ、表示名'!H175</f>
        <v>P2.4</v>
      </c>
      <c r="D175" s="127" t="s">
        <v>1231</v>
      </c>
      <c r="E175" s="168" t="s">
        <v>1232</v>
      </c>
      <c r="F175" s="125" t="s">
        <v>982</v>
      </c>
      <c r="G175" s="175" t="s">
        <v>1233</v>
      </c>
      <c r="H175" s="178" t="s">
        <v>1238</v>
      </c>
      <c r="I175" s="176" t="s">
        <v>1233</v>
      </c>
      <c r="J175" s="169" t="str">
        <f t="shared" si="4"/>
        <v>I/O</v>
      </c>
    </row>
    <row r="176" spans="2:10" ht="15.75" customHeight="1">
      <c r="B176" s="76" t="str">
        <f>'＠グループ、表示名'!G176</f>
        <v>P3</v>
      </c>
      <c r="C176" s="76" t="str">
        <f>'＠グループ、表示名'!H176</f>
        <v>P3.0</v>
      </c>
      <c r="D176" s="127" t="s">
        <v>1231</v>
      </c>
      <c r="E176" s="168" t="s">
        <v>1232</v>
      </c>
      <c r="F176" s="125" t="s">
        <v>982</v>
      </c>
      <c r="G176" s="175" t="s">
        <v>1233</v>
      </c>
      <c r="H176" s="178" t="s">
        <v>1239</v>
      </c>
      <c r="I176" s="176" t="s">
        <v>1233</v>
      </c>
      <c r="J176" s="169" t="str">
        <f t="shared" si="4"/>
        <v>I/O</v>
      </c>
    </row>
    <row r="177" spans="2:10" ht="15.75" customHeight="1">
      <c r="B177" s="76" t="str">
        <f>'＠グループ、表示名'!G177</f>
        <v>P3</v>
      </c>
      <c r="C177" s="76" t="str">
        <f>'＠グループ、表示名'!H177</f>
        <v>P3.1</v>
      </c>
      <c r="D177" s="174" t="s">
        <v>1231</v>
      </c>
      <c r="E177" s="172" t="s">
        <v>1232</v>
      </c>
      <c r="F177" s="125" t="s">
        <v>982</v>
      </c>
      <c r="G177" s="169" t="s">
        <v>1233</v>
      </c>
      <c r="H177" s="178" t="s">
        <v>1239</v>
      </c>
      <c r="I177" s="125" t="s">
        <v>1233</v>
      </c>
      <c r="J177" s="169" t="str">
        <f t="shared" si="4"/>
        <v>I/O</v>
      </c>
    </row>
    <row r="178" spans="2:10" ht="15.75" customHeight="1">
      <c r="B178" s="76" t="str">
        <f>'＠グループ、表示名'!G178</f>
        <v>P3</v>
      </c>
      <c r="C178" s="76" t="str">
        <f>'＠グループ、表示名'!H178</f>
        <v>P3.2</v>
      </c>
      <c r="D178" s="174" t="s">
        <v>1231</v>
      </c>
      <c r="E178" s="168" t="s">
        <v>1232</v>
      </c>
      <c r="F178" s="125" t="s">
        <v>982</v>
      </c>
      <c r="G178" s="92" t="s">
        <v>1233</v>
      </c>
      <c r="H178" s="178" t="s">
        <v>1239</v>
      </c>
      <c r="I178" s="125" t="s">
        <v>1233</v>
      </c>
      <c r="J178" s="169" t="str">
        <f t="shared" si="4"/>
        <v>I/O</v>
      </c>
    </row>
    <row r="179" spans="2:10" ht="15.75" customHeight="1">
      <c r="B179" s="76" t="str">
        <f>'＠グループ、表示名'!G179</f>
        <v>P3</v>
      </c>
      <c r="C179" s="76" t="str">
        <f>'＠グループ、表示名'!H179</f>
        <v>P3.3</v>
      </c>
      <c r="D179" s="127" t="s">
        <v>1231</v>
      </c>
      <c r="E179" s="168" t="s">
        <v>1232</v>
      </c>
      <c r="F179" s="125" t="s">
        <v>982</v>
      </c>
      <c r="G179" s="175" t="s">
        <v>1233</v>
      </c>
      <c r="H179" s="178" t="s">
        <v>1239</v>
      </c>
      <c r="I179" s="176" t="s">
        <v>1233</v>
      </c>
      <c r="J179" s="169" t="str">
        <f t="shared" si="4"/>
        <v>I/O</v>
      </c>
    </row>
    <row r="180" spans="2:10" ht="15.75" customHeight="1">
      <c r="B180" s="76" t="str">
        <f>'＠グループ、表示名'!G180</f>
        <v>P4</v>
      </c>
      <c r="C180" s="76" t="str">
        <f>'＠グループ、表示名'!H180</f>
        <v>P4.0</v>
      </c>
      <c r="D180" s="127" t="s">
        <v>1231</v>
      </c>
      <c r="E180" s="168" t="s">
        <v>1232</v>
      </c>
      <c r="F180" s="125" t="s">
        <v>978</v>
      </c>
      <c r="G180" s="175" t="s">
        <v>1240</v>
      </c>
      <c r="H180" s="178" t="s">
        <v>593</v>
      </c>
      <c r="I180" s="176" t="s">
        <v>1241</v>
      </c>
      <c r="J180" s="169" t="str">
        <f t="shared" si="4"/>
        <v>I</v>
      </c>
    </row>
    <row r="181" spans="2:10" ht="15.75" customHeight="1">
      <c r="B181" s="76" t="str">
        <f>'＠グループ、表示名'!G181</f>
        <v>P4</v>
      </c>
      <c r="C181" s="76" t="str">
        <f>'＠グループ、表示名'!H181</f>
        <v>P4.1</v>
      </c>
      <c r="D181" s="174" t="s">
        <v>1231</v>
      </c>
      <c r="E181" s="168" t="s">
        <v>1232</v>
      </c>
      <c r="F181" s="125" t="s">
        <v>978</v>
      </c>
      <c r="G181" s="175" t="s">
        <v>1240</v>
      </c>
      <c r="H181" s="127" t="s">
        <v>591</v>
      </c>
      <c r="I181" s="125" t="s">
        <v>1241</v>
      </c>
      <c r="J181" s="169" t="str">
        <f t="shared" si="4"/>
        <v>I</v>
      </c>
    </row>
    <row r="182" spans="2:10" ht="15.75" customHeight="1">
      <c r="B182" s="76" t="str">
        <f>'＠グループ、表示名'!G182</f>
        <v>P4</v>
      </c>
      <c r="C182" s="76" t="str">
        <f>'＠グループ、表示名'!H182</f>
        <v>P4.2</v>
      </c>
      <c r="D182" s="174" t="s">
        <v>1231</v>
      </c>
      <c r="E182" s="168" t="s">
        <v>1232</v>
      </c>
      <c r="F182" s="125" t="s">
        <v>978</v>
      </c>
      <c r="G182" s="175" t="s">
        <v>1240</v>
      </c>
      <c r="H182" s="127" t="s">
        <v>589</v>
      </c>
      <c r="I182" s="125" t="s">
        <v>1241</v>
      </c>
      <c r="J182" s="169" t="str">
        <f t="shared" si="4"/>
        <v>I</v>
      </c>
    </row>
    <row r="183" spans="2:10" ht="15.75" customHeight="1">
      <c r="B183" s="76" t="str">
        <f>'＠グループ、表示名'!G183</f>
        <v>P4</v>
      </c>
      <c r="C183" s="76" t="str">
        <f>'＠グループ、表示名'!H183</f>
        <v>P4.3</v>
      </c>
      <c r="D183" s="127" t="s">
        <v>1231</v>
      </c>
      <c r="E183" s="168" t="s">
        <v>1232</v>
      </c>
      <c r="F183" s="125" t="s">
        <v>982</v>
      </c>
      <c r="G183" s="169" t="s">
        <v>1233</v>
      </c>
      <c r="H183" s="127" t="s">
        <v>587</v>
      </c>
      <c r="I183" s="176" t="s">
        <v>1233</v>
      </c>
      <c r="J183" s="169" t="str">
        <f t="shared" si="4"/>
        <v>I/O</v>
      </c>
    </row>
    <row r="184" spans="2:10" ht="15.75" customHeight="1">
      <c r="B184" s="76" t="str">
        <f>'＠グループ、表示名'!G184</f>
        <v>P4</v>
      </c>
      <c r="C184" s="76" t="str">
        <f>'＠グループ、表示名'!H184</f>
        <v>P4.4</v>
      </c>
      <c r="D184" s="127" t="s">
        <v>1231</v>
      </c>
      <c r="E184" s="168" t="s">
        <v>1232</v>
      </c>
      <c r="F184" s="125" t="s">
        <v>978</v>
      </c>
      <c r="G184" s="175" t="s">
        <v>1240</v>
      </c>
      <c r="H184" s="127" t="s">
        <v>585</v>
      </c>
      <c r="I184" s="176" t="s">
        <v>1241</v>
      </c>
      <c r="J184" s="169" t="str">
        <f t="shared" si="4"/>
        <v>I</v>
      </c>
    </row>
    <row r="185" spans="2:10" ht="15.75" customHeight="1">
      <c r="B185" s="76" t="str">
        <f>'＠グループ、表示名'!G185</f>
        <v>P4</v>
      </c>
      <c r="C185" s="76" t="str">
        <f>'＠グループ、表示名'!H185</f>
        <v>P4.5</v>
      </c>
      <c r="D185" s="174" t="s">
        <v>1231</v>
      </c>
      <c r="E185" s="168" t="s">
        <v>1232</v>
      </c>
      <c r="F185" s="125" t="s">
        <v>978</v>
      </c>
      <c r="G185" s="175" t="s">
        <v>1240</v>
      </c>
      <c r="H185" s="127" t="s">
        <v>583</v>
      </c>
      <c r="I185" s="125" t="s">
        <v>1241</v>
      </c>
      <c r="J185" s="169" t="str">
        <f t="shared" si="4"/>
        <v>I</v>
      </c>
    </row>
    <row r="186" spans="2:10" ht="15.75" customHeight="1">
      <c r="B186" s="76" t="str">
        <f>'＠グループ、表示名'!G186</f>
        <v>P4</v>
      </c>
      <c r="C186" s="76" t="str">
        <f>'＠グループ、表示名'!H186</f>
        <v>P4.6</v>
      </c>
      <c r="D186" s="174" t="s">
        <v>1231</v>
      </c>
      <c r="E186" s="168" t="s">
        <v>1232</v>
      </c>
      <c r="F186" s="125" t="s">
        <v>978</v>
      </c>
      <c r="G186" s="175" t="s">
        <v>1240</v>
      </c>
      <c r="H186" s="127" t="s">
        <v>581</v>
      </c>
      <c r="I186" s="125" t="s">
        <v>1241</v>
      </c>
      <c r="J186" s="169" t="str">
        <f t="shared" si="4"/>
        <v>I</v>
      </c>
    </row>
    <row r="187" spans="2:10" ht="15.75" customHeight="1">
      <c r="B187" s="76" t="str">
        <f>'＠グループ、表示名'!G187</f>
        <v>P4</v>
      </c>
      <c r="C187" s="76" t="str">
        <f>'＠グループ、表示名'!H187</f>
        <v>P4.7</v>
      </c>
      <c r="D187" s="127" t="s">
        <v>1231</v>
      </c>
      <c r="E187" s="168" t="s">
        <v>1232</v>
      </c>
      <c r="F187" s="125" t="s">
        <v>982</v>
      </c>
      <c r="G187" s="169" t="s">
        <v>1233</v>
      </c>
      <c r="H187" s="127" t="s">
        <v>579</v>
      </c>
      <c r="I187" s="176" t="s">
        <v>1233</v>
      </c>
      <c r="J187" s="169" t="str">
        <f t="shared" si="4"/>
        <v>I/O</v>
      </c>
    </row>
    <row r="188" spans="2:10" ht="15.75" customHeight="1">
      <c r="B188" s="76" t="str">
        <f>'＠グループ、表示名'!G188</f>
        <v>P5</v>
      </c>
      <c r="C188" s="76" t="str">
        <f>'＠グループ、表示名'!H188</f>
        <v>P5.0</v>
      </c>
      <c r="D188" s="127" t="s">
        <v>1231</v>
      </c>
      <c r="E188" s="168" t="s">
        <v>1232</v>
      </c>
      <c r="F188" s="125" t="s">
        <v>978</v>
      </c>
      <c r="G188" s="175" t="s">
        <v>1240</v>
      </c>
      <c r="H188" s="127" t="s">
        <v>577</v>
      </c>
      <c r="I188" s="176" t="s">
        <v>1241</v>
      </c>
      <c r="J188" s="169" t="str">
        <f t="shared" si="4"/>
        <v>I</v>
      </c>
    </row>
    <row r="189" spans="2:10" ht="15.75" customHeight="1">
      <c r="B189" s="76" t="str">
        <f>'＠グループ、表示名'!G189</f>
        <v>P5</v>
      </c>
      <c r="C189" s="76" t="str">
        <f>'＠グループ、表示名'!H189</f>
        <v>P5.1</v>
      </c>
      <c r="D189" s="174" t="s">
        <v>1231</v>
      </c>
      <c r="E189" s="168" t="s">
        <v>1232</v>
      </c>
      <c r="F189" s="125" t="s">
        <v>982</v>
      </c>
      <c r="G189" s="169" t="s">
        <v>1233</v>
      </c>
      <c r="H189" s="127" t="s">
        <v>575</v>
      </c>
      <c r="I189" s="125" t="s">
        <v>1233</v>
      </c>
      <c r="J189" s="169" t="str">
        <f t="shared" si="4"/>
        <v>I/O</v>
      </c>
    </row>
    <row r="190" spans="2:10" ht="15.75" customHeight="1">
      <c r="B190" s="76" t="str">
        <f>'＠グループ、表示名'!G190</f>
        <v>P5</v>
      </c>
      <c r="C190" s="76" t="str">
        <f>'＠グループ、表示名'!H190</f>
        <v>P5.2</v>
      </c>
      <c r="D190" s="174" t="s">
        <v>1231</v>
      </c>
      <c r="E190" s="168" t="s">
        <v>1232</v>
      </c>
      <c r="F190" s="125" t="s">
        <v>982</v>
      </c>
      <c r="G190" s="169" t="s">
        <v>1233</v>
      </c>
      <c r="H190" s="127" t="s">
        <v>573</v>
      </c>
      <c r="I190" s="125" t="s">
        <v>1233</v>
      </c>
      <c r="J190" s="169" t="str">
        <f t="shared" si="4"/>
        <v>I/O</v>
      </c>
    </row>
    <row r="191" spans="2:10" ht="15.75" customHeight="1">
      <c r="B191" s="76" t="str">
        <f>'＠グループ、表示名'!G191</f>
        <v>P5</v>
      </c>
      <c r="C191" s="76" t="str">
        <f>'＠グループ、表示名'!H191</f>
        <v>P5.3</v>
      </c>
      <c r="D191" s="127" t="s">
        <v>1231</v>
      </c>
      <c r="E191" s="168" t="s">
        <v>1232</v>
      </c>
      <c r="F191" s="125" t="s">
        <v>982</v>
      </c>
      <c r="G191" s="169" t="s">
        <v>1233</v>
      </c>
      <c r="H191" s="127" t="s">
        <v>571</v>
      </c>
      <c r="I191" s="176" t="s">
        <v>1233</v>
      </c>
      <c r="J191" s="169" t="str">
        <f t="shared" si="4"/>
        <v>I/O</v>
      </c>
    </row>
    <row r="192" spans="2:10" ht="15.75" customHeight="1">
      <c r="B192" s="76" t="str">
        <f>'＠グループ、表示名'!G192</f>
        <v>P5</v>
      </c>
      <c r="C192" s="76" t="str">
        <f>'＠グループ、表示名'!H192</f>
        <v>P5.4</v>
      </c>
      <c r="D192" s="127" t="s">
        <v>1231</v>
      </c>
      <c r="E192" s="168" t="s">
        <v>1232</v>
      </c>
      <c r="F192" s="125" t="s">
        <v>982</v>
      </c>
      <c r="G192" s="169" t="s">
        <v>1233</v>
      </c>
      <c r="H192" s="127" t="s">
        <v>569</v>
      </c>
      <c r="I192" s="176" t="s">
        <v>1233</v>
      </c>
      <c r="J192" s="169" t="str">
        <f t="shared" si="4"/>
        <v>I/O</v>
      </c>
    </row>
    <row r="193" spans="2:10" ht="15.75" customHeight="1">
      <c r="B193" s="76" t="str">
        <f>'＠グループ、表示名'!G193</f>
        <v>P5</v>
      </c>
      <c r="C193" s="76" t="str">
        <f>'＠グループ、表示名'!H193</f>
        <v>P5.5</v>
      </c>
      <c r="D193" s="174" t="s">
        <v>1231</v>
      </c>
      <c r="E193" s="168" t="s">
        <v>1232</v>
      </c>
      <c r="F193" s="125" t="s">
        <v>982</v>
      </c>
      <c r="G193" s="169" t="s">
        <v>1233</v>
      </c>
      <c r="H193" s="127" t="s">
        <v>567</v>
      </c>
      <c r="I193" s="125" t="s">
        <v>1233</v>
      </c>
      <c r="J193" s="169" t="str">
        <f t="shared" si="4"/>
        <v>I/O</v>
      </c>
    </row>
    <row r="194" spans="2:10" ht="15.75" customHeight="1">
      <c r="B194" s="76" t="str">
        <f>'＠グループ、表示名'!G194</f>
        <v>P6</v>
      </c>
      <c r="C194" s="76" t="str">
        <f>'＠グループ、表示名'!H194</f>
        <v>P6.0</v>
      </c>
      <c r="D194" s="127" t="s">
        <v>1231</v>
      </c>
      <c r="E194" s="168" t="s">
        <v>1232</v>
      </c>
      <c r="F194" s="125" t="s">
        <v>982</v>
      </c>
      <c r="G194" s="169" t="s">
        <v>1233</v>
      </c>
      <c r="H194" s="178" t="s">
        <v>1242</v>
      </c>
      <c r="I194" s="176" t="s">
        <v>1233</v>
      </c>
      <c r="J194" s="169" t="str">
        <f t="shared" si="4"/>
        <v>I/O</v>
      </c>
    </row>
    <row r="195" spans="2:10" ht="15.75" customHeight="1">
      <c r="B195" s="76" t="str">
        <f>'＠グループ、表示名'!G195</f>
        <v>P6</v>
      </c>
      <c r="C195" s="76" t="str">
        <f>'＠グループ、表示名'!H195</f>
        <v>P6.1</v>
      </c>
      <c r="D195" s="127" t="s">
        <v>1231</v>
      </c>
      <c r="E195" s="168" t="s">
        <v>1232</v>
      </c>
      <c r="F195" s="125" t="s">
        <v>982</v>
      </c>
      <c r="G195" s="169" t="s">
        <v>1233</v>
      </c>
      <c r="H195" s="178" t="s">
        <v>1242</v>
      </c>
      <c r="I195" s="176" t="s">
        <v>1233</v>
      </c>
      <c r="J195" s="169" t="str">
        <f t="shared" si="4"/>
        <v>I/O</v>
      </c>
    </row>
    <row r="196" spans="2:10" ht="15.75" customHeight="1">
      <c r="B196" s="76" t="str">
        <f>'＠グループ、表示名'!G196</f>
        <v>P6</v>
      </c>
      <c r="C196" s="76" t="str">
        <f>'＠グループ、表示名'!H196</f>
        <v>P6.2</v>
      </c>
      <c r="D196" s="174" t="s">
        <v>1231</v>
      </c>
      <c r="E196" s="168" t="s">
        <v>1232</v>
      </c>
      <c r="F196" s="125" t="s">
        <v>982</v>
      </c>
      <c r="G196" s="169" t="s">
        <v>1233</v>
      </c>
      <c r="H196" s="178" t="s">
        <v>1242</v>
      </c>
      <c r="I196" s="125" t="s">
        <v>1233</v>
      </c>
      <c r="J196" s="169" t="str">
        <f t="shared" si="4"/>
        <v>I/O</v>
      </c>
    </row>
    <row r="197" spans="2:10" ht="15.75" customHeight="1">
      <c r="B197" s="76" t="str">
        <f>'＠グループ、表示名'!G197</f>
        <v>P6</v>
      </c>
      <c r="C197" s="76" t="str">
        <f>'＠グループ、表示名'!H197</f>
        <v>P6.3</v>
      </c>
      <c r="D197" s="127" t="s">
        <v>1231</v>
      </c>
      <c r="E197" s="168" t="s">
        <v>1232</v>
      </c>
      <c r="F197" s="125" t="s">
        <v>982</v>
      </c>
      <c r="G197" s="169" t="s">
        <v>1233</v>
      </c>
      <c r="H197" s="178" t="s">
        <v>1242</v>
      </c>
      <c r="I197" s="125" t="s">
        <v>1233</v>
      </c>
      <c r="J197" s="169" t="str">
        <f t="shared" si="4"/>
        <v>I/O</v>
      </c>
    </row>
    <row r="198" spans="2:10" ht="15.75" customHeight="1">
      <c r="B198" s="76" t="str">
        <f>'＠グループ、表示名'!G198</f>
        <v>P6</v>
      </c>
      <c r="C198" s="76" t="str">
        <f>'＠グループ、表示名'!H198</f>
        <v>P6.4</v>
      </c>
      <c r="D198" s="127" t="s">
        <v>1231</v>
      </c>
      <c r="E198" s="168" t="s">
        <v>1232</v>
      </c>
      <c r="F198" s="125" t="s">
        <v>982</v>
      </c>
      <c r="G198" s="169" t="s">
        <v>1233</v>
      </c>
      <c r="H198" s="178" t="s">
        <v>1242</v>
      </c>
      <c r="I198" s="125" t="s">
        <v>1233</v>
      </c>
      <c r="J198" s="169" t="str">
        <f t="shared" si="4"/>
        <v>I/O</v>
      </c>
    </row>
    <row r="199" spans="2:10" ht="15.75" customHeight="1">
      <c r="B199" s="76" t="str">
        <f>'＠グループ、表示名'!G199</f>
        <v>P6</v>
      </c>
      <c r="C199" s="76" t="str">
        <f>'＠グループ、表示名'!H199</f>
        <v>P6.5</v>
      </c>
      <c r="D199" s="127" t="s">
        <v>1231</v>
      </c>
      <c r="E199" s="168" t="s">
        <v>1232</v>
      </c>
      <c r="F199" s="125" t="s">
        <v>982</v>
      </c>
      <c r="G199" s="169" t="s">
        <v>1233</v>
      </c>
      <c r="H199" s="178" t="s">
        <v>1242</v>
      </c>
      <c r="I199" s="125" t="s">
        <v>1233</v>
      </c>
      <c r="J199" s="169" t="str">
        <f t="shared" si="4"/>
        <v>I/O</v>
      </c>
    </row>
    <row r="200" spans="2:10" ht="15.75" customHeight="1">
      <c r="B200" s="76" t="str">
        <f>'＠グループ、表示名'!G200</f>
        <v>P7</v>
      </c>
      <c r="C200" s="76" t="str">
        <f>'＠グループ、表示名'!H200</f>
        <v>P7.0</v>
      </c>
      <c r="D200" s="127" t="s">
        <v>1231</v>
      </c>
      <c r="E200" s="168" t="s">
        <v>1232</v>
      </c>
      <c r="F200" s="125" t="s">
        <v>982</v>
      </c>
      <c r="G200" s="169" t="s">
        <v>1233</v>
      </c>
      <c r="H200" s="178" t="s">
        <v>1243</v>
      </c>
      <c r="I200" s="125" t="s">
        <v>1233</v>
      </c>
      <c r="J200" s="169" t="str">
        <f t="shared" si="4"/>
        <v>I/O</v>
      </c>
    </row>
    <row r="201" spans="2:10" ht="15.75" customHeight="1">
      <c r="B201" s="76" t="str">
        <f>'＠グループ、表示名'!G201</f>
        <v>P7</v>
      </c>
      <c r="C201" s="76" t="str">
        <f>'＠グループ、表示名'!H201</f>
        <v>P7.1</v>
      </c>
      <c r="D201" s="127" t="s">
        <v>1231</v>
      </c>
      <c r="E201" s="168" t="s">
        <v>1232</v>
      </c>
      <c r="F201" s="125" t="s">
        <v>982</v>
      </c>
      <c r="G201" s="169" t="s">
        <v>1233</v>
      </c>
      <c r="H201" s="178" t="s">
        <v>1243</v>
      </c>
      <c r="I201" s="125" t="s">
        <v>1233</v>
      </c>
      <c r="J201" s="169" t="str">
        <f t="shared" si="4"/>
        <v>I/O</v>
      </c>
    </row>
    <row r="202" spans="2:10" ht="15.75" customHeight="1">
      <c r="B202" s="76" t="str">
        <f>'＠グループ、表示名'!G202</f>
        <v>P7</v>
      </c>
      <c r="C202" s="76" t="str">
        <f>'＠グループ、表示名'!H202</f>
        <v>P7.2</v>
      </c>
      <c r="D202" s="127" t="s">
        <v>1231</v>
      </c>
      <c r="E202" s="168" t="s">
        <v>1232</v>
      </c>
      <c r="F202" s="125" t="s">
        <v>982</v>
      </c>
      <c r="G202" s="169" t="s">
        <v>1233</v>
      </c>
      <c r="H202" s="178" t="s">
        <v>1243</v>
      </c>
      <c r="I202" s="125" t="s">
        <v>1233</v>
      </c>
      <c r="J202" s="169" t="str">
        <f t="shared" si="4"/>
        <v>I/O</v>
      </c>
    </row>
    <row r="203" spans="2:10" ht="15.75" customHeight="1">
      <c r="B203" s="76" t="str">
        <f>'＠グループ、表示名'!G203</f>
        <v>P7</v>
      </c>
      <c r="C203" s="76" t="str">
        <f>'＠グループ、表示名'!H203</f>
        <v>P7.3</v>
      </c>
      <c r="D203" s="127" t="s">
        <v>1231</v>
      </c>
      <c r="E203" s="168" t="s">
        <v>1232</v>
      </c>
      <c r="F203" s="125" t="s">
        <v>982</v>
      </c>
      <c r="G203" s="169" t="s">
        <v>1233</v>
      </c>
      <c r="H203" s="178" t="s">
        <v>1243</v>
      </c>
      <c r="I203" s="125" t="s">
        <v>1233</v>
      </c>
      <c r="J203" s="169" t="str">
        <f t="shared" si="4"/>
        <v>I/O</v>
      </c>
    </row>
    <row r="204" spans="2:10" ht="15.75" customHeight="1">
      <c r="B204" s="76" t="str">
        <f>'＠グループ、表示名'!G204</f>
        <v>P7</v>
      </c>
      <c r="C204" s="76" t="str">
        <f>'＠グループ、表示名'!H204</f>
        <v>P7.4</v>
      </c>
      <c r="D204" s="127" t="s">
        <v>1231</v>
      </c>
      <c r="E204" s="168" t="s">
        <v>1232</v>
      </c>
      <c r="F204" s="125" t="s">
        <v>982</v>
      </c>
      <c r="G204" s="169" t="s">
        <v>1233</v>
      </c>
      <c r="H204" s="178" t="s">
        <v>1243</v>
      </c>
      <c r="I204" s="125" t="s">
        <v>1233</v>
      </c>
      <c r="J204" s="169" t="str">
        <f t="shared" si="4"/>
        <v>I/O</v>
      </c>
    </row>
    <row r="205" spans="2:10" ht="15.75" customHeight="1">
      <c r="B205" s="76" t="str">
        <f>'＠グループ、表示名'!G205</f>
        <v>P7</v>
      </c>
      <c r="C205" s="76" t="str">
        <f>'＠グループ、表示名'!H205</f>
        <v>P7.5</v>
      </c>
      <c r="D205" s="127" t="s">
        <v>1231</v>
      </c>
      <c r="E205" s="168" t="s">
        <v>1232</v>
      </c>
      <c r="F205" s="125" t="s">
        <v>982</v>
      </c>
      <c r="G205" s="169" t="s">
        <v>1233</v>
      </c>
      <c r="H205" s="178" t="s">
        <v>1243</v>
      </c>
      <c r="I205" s="125" t="s">
        <v>1233</v>
      </c>
      <c r="J205" s="169" t="str">
        <f t="shared" si="4"/>
        <v>I/O</v>
      </c>
    </row>
    <row r="206" spans="2:10" ht="15.75" customHeight="1">
      <c r="B206" s="76" t="str">
        <f>'＠グループ、表示名'!G206</f>
        <v>P7</v>
      </c>
      <c r="C206" s="76" t="str">
        <f>'＠グループ、表示名'!H206</f>
        <v>P7.6</v>
      </c>
      <c r="D206" s="127" t="s">
        <v>1231</v>
      </c>
      <c r="E206" s="168" t="s">
        <v>1232</v>
      </c>
      <c r="F206" s="125" t="s">
        <v>982</v>
      </c>
      <c r="G206" s="169" t="s">
        <v>1233</v>
      </c>
      <c r="H206" s="178" t="s">
        <v>1243</v>
      </c>
      <c r="I206" s="125" t="s">
        <v>1233</v>
      </c>
      <c r="J206" s="169" t="str">
        <f t="shared" si="4"/>
        <v>I/O</v>
      </c>
    </row>
    <row r="207" spans="2:10" ht="15.75" customHeight="1">
      <c r="B207" s="76" t="str">
        <f>'＠グループ、表示名'!G207</f>
        <v>P8</v>
      </c>
      <c r="C207" s="76" t="str">
        <f>'＠グループ、表示名'!H207</f>
        <v>P8.0</v>
      </c>
      <c r="D207" s="127" t="s">
        <v>1231</v>
      </c>
      <c r="E207" s="168" t="s">
        <v>1232</v>
      </c>
      <c r="F207" s="125" t="s">
        <v>982</v>
      </c>
      <c r="G207" s="92" t="s">
        <v>1233</v>
      </c>
      <c r="H207" s="178" t="s">
        <v>1244</v>
      </c>
      <c r="I207" s="125" t="s">
        <v>1233</v>
      </c>
      <c r="J207" s="169" t="str">
        <f t="shared" si="4"/>
        <v>I/O</v>
      </c>
    </row>
    <row r="208" spans="2:10" ht="15.75" customHeight="1">
      <c r="B208" s="76" t="str">
        <f>'＠グループ、表示名'!G208</f>
        <v>P8</v>
      </c>
      <c r="C208" s="76" t="str">
        <f>'＠グループ、表示名'!H208</f>
        <v>P8.1</v>
      </c>
      <c r="D208" s="127" t="s">
        <v>1231</v>
      </c>
      <c r="E208" s="168" t="s">
        <v>1232</v>
      </c>
      <c r="F208" s="125" t="s">
        <v>982</v>
      </c>
      <c r="G208" s="92" t="s">
        <v>1233</v>
      </c>
      <c r="H208" s="178" t="s">
        <v>1244</v>
      </c>
      <c r="I208" s="125" t="s">
        <v>1233</v>
      </c>
      <c r="J208" s="169" t="str">
        <f t="shared" si="4"/>
        <v>I/O</v>
      </c>
    </row>
    <row r="209" spans="2:10" ht="15.75" customHeight="1">
      <c r="B209" s="76" t="str">
        <f>'＠グループ、表示名'!G209</f>
        <v>P8</v>
      </c>
      <c r="C209" s="76" t="str">
        <f>'＠グループ、表示名'!H209</f>
        <v>P8.2</v>
      </c>
      <c r="D209" s="127" t="s">
        <v>1231</v>
      </c>
      <c r="E209" s="168" t="s">
        <v>1232</v>
      </c>
      <c r="F209" s="125" t="s">
        <v>982</v>
      </c>
      <c r="G209" s="92" t="s">
        <v>1233</v>
      </c>
      <c r="H209" s="178" t="s">
        <v>1244</v>
      </c>
      <c r="I209" s="125" t="s">
        <v>1233</v>
      </c>
      <c r="J209" s="169" t="str">
        <f t="shared" si="4"/>
        <v>I/O</v>
      </c>
    </row>
    <row r="210" spans="2:10" ht="15.75" customHeight="1">
      <c r="B210" s="76" t="str">
        <f>'＠グループ、表示名'!G210</f>
        <v>P9</v>
      </c>
      <c r="C210" s="76" t="str">
        <f>'＠グループ、表示名'!H210</f>
        <v>P9.0</v>
      </c>
      <c r="D210" s="127" t="s">
        <v>1231</v>
      </c>
      <c r="E210" s="168" t="s">
        <v>1232</v>
      </c>
      <c r="F210" s="125" t="s">
        <v>982</v>
      </c>
      <c r="G210" s="92" t="s">
        <v>1233</v>
      </c>
      <c r="H210" s="178" t="s">
        <v>1245</v>
      </c>
      <c r="I210" s="125" t="s">
        <v>1233</v>
      </c>
      <c r="J210" s="169" t="str">
        <f t="shared" si="4"/>
        <v>I/O</v>
      </c>
    </row>
    <row r="211" spans="2:10" ht="15.75" customHeight="1">
      <c r="B211" s="76" t="str">
        <f>'＠グループ、表示名'!G211</f>
        <v>P9</v>
      </c>
      <c r="C211" s="76" t="str">
        <f>'＠グループ、表示名'!H211</f>
        <v>P9.1</v>
      </c>
      <c r="D211" s="127" t="s">
        <v>1231</v>
      </c>
      <c r="E211" s="168" t="s">
        <v>1232</v>
      </c>
      <c r="F211" s="125" t="s">
        <v>982</v>
      </c>
      <c r="G211" s="92" t="s">
        <v>1233</v>
      </c>
      <c r="H211" s="178" t="s">
        <v>1245</v>
      </c>
      <c r="I211" s="170" t="s">
        <v>1233</v>
      </c>
      <c r="J211" s="173" t="str">
        <f t="shared" si="4"/>
        <v>I/O</v>
      </c>
    </row>
    <row r="212" spans="2:10" ht="15.75" customHeight="1">
      <c r="B212" s="76" t="str">
        <f>'＠グループ、表示名'!G212</f>
        <v>P9</v>
      </c>
      <c r="C212" s="76" t="str">
        <f>'＠グループ、表示名'!H212</f>
        <v>P9.2</v>
      </c>
      <c r="D212" s="174" t="s">
        <v>1231</v>
      </c>
      <c r="E212" s="168" t="s">
        <v>1232</v>
      </c>
      <c r="F212" s="125" t="s">
        <v>982</v>
      </c>
      <c r="G212" s="92" t="s">
        <v>1233</v>
      </c>
      <c r="H212" s="178" t="s">
        <v>1245</v>
      </c>
      <c r="I212" s="125" t="s">
        <v>1233</v>
      </c>
      <c r="J212" s="173" t="str">
        <f t="shared" si="4"/>
        <v>I/O</v>
      </c>
    </row>
    <row r="213" spans="2:10" ht="15.75" customHeight="1">
      <c r="B213" s="76" t="str">
        <f>'＠グループ、表示名'!G213</f>
        <v>P9</v>
      </c>
      <c r="C213" s="76" t="str">
        <f>'＠グループ、表示名'!H213</f>
        <v>P9.3</v>
      </c>
      <c r="D213" s="127" t="s">
        <v>1231</v>
      </c>
      <c r="E213" s="168" t="s">
        <v>1232</v>
      </c>
      <c r="F213" s="125" t="s">
        <v>982</v>
      </c>
      <c r="G213" s="92" t="s">
        <v>1233</v>
      </c>
      <c r="H213" s="178" t="s">
        <v>1245</v>
      </c>
      <c r="I213" s="125" t="s">
        <v>1233</v>
      </c>
      <c r="J213" s="173" t="str">
        <f t="shared" si="4"/>
        <v>I/O</v>
      </c>
    </row>
    <row r="214" spans="2:10" ht="15.75" customHeight="1">
      <c r="B214" s="76" t="str">
        <f>'＠グループ、表示名'!G214</f>
        <v>P9</v>
      </c>
      <c r="C214" s="76" t="str">
        <f>'＠グループ、表示名'!H214</f>
        <v>P9.4</v>
      </c>
      <c r="D214" s="174" t="s">
        <v>1231</v>
      </c>
      <c r="E214" s="168" t="s">
        <v>1232</v>
      </c>
      <c r="F214" s="125" t="s">
        <v>982</v>
      </c>
      <c r="G214" s="95" t="s">
        <v>1233</v>
      </c>
      <c r="H214" s="178" t="s">
        <v>1245</v>
      </c>
      <c r="I214" s="125" t="s">
        <v>1233</v>
      </c>
      <c r="J214" s="169" t="str">
        <f t="shared" si="4"/>
        <v>I/O</v>
      </c>
    </row>
    <row r="215" spans="2:10" ht="15.75" customHeight="1">
      <c r="B215" s="76" t="str">
        <f>'＠グループ、表示名'!G215</f>
        <v>P9</v>
      </c>
      <c r="C215" s="76" t="str">
        <f>'＠グループ、表示名'!H215</f>
        <v>P9.5</v>
      </c>
      <c r="D215" s="127" t="s">
        <v>1231</v>
      </c>
      <c r="E215" s="168" t="s">
        <v>1232</v>
      </c>
      <c r="F215" s="125" t="s">
        <v>982</v>
      </c>
      <c r="G215" s="92" t="s">
        <v>1233</v>
      </c>
      <c r="H215" s="178" t="s">
        <v>1245</v>
      </c>
      <c r="I215" s="125" t="s">
        <v>1233</v>
      </c>
      <c r="J215" s="169" t="str">
        <f t="shared" si="4"/>
        <v>I/O</v>
      </c>
    </row>
    <row r="216" spans="2:10" ht="15.75" customHeight="1">
      <c r="B216" s="76" t="str">
        <f>'＠グループ、表示名'!G216</f>
        <v>P9</v>
      </c>
      <c r="C216" s="76" t="str">
        <f>'＠グループ、表示名'!H216</f>
        <v>P9.6</v>
      </c>
      <c r="D216" s="127" t="s">
        <v>1231</v>
      </c>
      <c r="E216" s="168" t="s">
        <v>1232</v>
      </c>
      <c r="F216" s="125" t="s">
        <v>982</v>
      </c>
      <c r="G216" s="92" t="s">
        <v>1233</v>
      </c>
      <c r="H216" s="178" t="s">
        <v>1245</v>
      </c>
      <c r="I216" s="125" t="s">
        <v>1233</v>
      </c>
      <c r="J216" s="169" t="str">
        <f t="shared" si="4"/>
        <v>I/O</v>
      </c>
    </row>
    <row r="217" spans="2:10" ht="15.75" customHeight="1">
      <c r="B217" s="76" t="str">
        <f>'＠グループ、表示名'!G217</f>
        <v>PA</v>
      </c>
      <c r="C217" s="76" t="str">
        <f>'＠グループ、表示名'!H217</f>
        <v>PA.0</v>
      </c>
      <c r="D217" s="127" t="s">
        <v>1231</v>
      </c>
      <c r="E217" s="168" t="s">
        <v>1232</v>
      </c>
      <c r="F217" s="125" t="s">
        <v>982</v>
      </c>
      <c r="G217" s="95" t="s">
        <v>1233</v>
      </c>
      <c r="H217" s="178" t="s">
        <v>1246</v>
      </c>
      <c r="I217" s="125" t="s">
        <v>1233</v>
      </c>
      <c r="J217" s="169" t="str">
        <f t="shared" si="4"/>
        <v>I/O</v>
      </c>
    </row>
    <row r="218" spans="2:10">
      <c r="B218" s="76" t="str">
        <f>'＠グループ、表示名'!G218</f>
        <v>PA</v>
      </c>
      <c r="C218" s="76" t="str">
        <f>'＠グループ、表示名'!H218</f>
        <v>PA.1</v>
      </c>
      <c r="D218" s="174" t="s">
        <v>1231</v>
      </c>
      <c r="E218" s="172" t="s">
        <v>1232</v>
      </c>
      <c r="F218" s="125" t="s">
        <v>982</v>
      </c>
      <c r="G218" s="169" t="s">
        <v>1233</v>
      </c>
      <c r="H218" s="178" t="s">
        <v>1246</v>
      </c>
      <c r="I218" s="125" t="s">
        <v>1233</v>
      </c>
      <c r="J218" s="169" t="str">
        <f t="shared" si="4"/>
        <v>I/O</v>
      </c>
    </row>
    <row r="219" spans="2:10">
      <c r="B219" s="76" t="str">
        <f>'＠グループ、表示名'!G219</f>
        <v>PA</v>
      </c>
      <c r="C219" s="76" t="str">
        <f>'＠グループ、表示名'!H219</f>
        <v>PA.2</v>
      </c>
      <c r="D219" s="174" t="s">
        <v>1231</v>
      </c>
      <c r="E219" s="172" t="s">
        <v>1232</v>
      </c>
      <c r="F219" s="125" t="s">
        <v>982</v>
      </c>
      <c r="G219" s="169" t="s">
        <v>1233</v>
      </c>
      <c r="H219" s="178" t="s">
        <v>1246</v>
      </c>
      <c r="I219" s="125" t="s">
        <v>1233</v>
      </c>
      <c r="J219" s="169" t="str">
        <f t="shared" si="4"/>
        <v>I/O</v>
      </c>
    </row>
    <row r="220" spans="2:10">
      <c r="B220" s="76" t="str">
        <f>'＠グループ、表示名'!G220</f>
        <v>PA</v>
      </c>
      <c r="C220" s="76" t="str">
        <f>'＠グループ、表示名'!H220</f>
        <v>PA.3</v>
      </c>
      <c r="D220" s="174" t="s">
        <v>1231</v>
      </c>
      <c r="E220" s="168" t="s">
        <v>1232</v>
      </c>
      <c r="F220" s="125" t="s">
        <v>982</v>
      </c>
      <c r="G220" s="169" t="s">
        <v>1233</v>
      </c>
      <c r="H220" s="178" t="s">
        <v>1246</v>
      </c>
      <c r="I220" s="125" t="s">
        <v>1233</v>
      </c>
      <c r="J220" s="169" t="str">
        <f t="shared" si="4"/>
        <v>I/O</v>
      </c>
    </row>
    <row r="221" spans="2:10">
      <c r="B221" s="76" t="str">
        <f>'＠グループ、表示名'!G221</f>
        <v>PA</v>
      </c>
      <c r="C221" s="76" t="str">
        <f>'＠グループ、表示名'!H221</f>
        <v>PA.4</v>
      </c>
      <c r="D221" s="174" t="s">
        <v>1231</v>
      </c>
      <c r="E221" s="168" t="s">
        <v>1232</v>
      </c>
      <c r="F221" s="125" t="s">
        <v>982</v>
      </c>
      <c r="G221" s="169" t="s">
        <v>1233</v>
      </c>
      <c r="H221" s="178" t="s">
        <v>1246</v>
      </c>
      <c r="I221" s="125" t="s">
        <v>1233</v>
      </c>
      <c r="J221" s="169" t="str">
        <f t="shared" si="4"/>
        <v>I/O</v>
      </c>
    </row>
    <row r="222" spans="2:10">
      <c r="B222" s="76" t="str">
        <f>'＠グループ、表示名'!G222</f>
        <v>PA</v>
      </c>
      <c r="C222" s="76" t="str">
        <f>'＠グループ、表示名'!H222</f>
        <v>PA.5</v>
      </c>
      <c r="D222" s="174" t="s">
        <v>1231</v>
      </c>
      <c r="E222" s="168" t="s">
        <v>1232</v>
      </c>
      <c r="F222" s="125" t="s">
        <v>982</v>
      </c>
      <c r="G222" s="169" t="s">
        <v>1233</v>
      </c>
      <c r="H222" s="178" t="s">
        <v>1246</v>
      </c>
      <c r="I222" s="125" t="s">
        <v>1233</v>
      </c>
      <c r="J222" s="169" t="str">
        <f t="shared" si="4"/>
        <v>I/O</v>
      </c>
    </row>
    <row r="223" spans="2:10">
      <c r="B223" s="76" t="str">
        <f>'＠グループ、表示名'!G223</f>
        <v>PB</v>
      </c>
      <c r="C223" s="76" t="str">
        <f>'＠グループ、表示名'!H223</f>
        <v>PB.0</v>
      </c>
      <c r="D223" s="174" t="s">
        <v>1231</v>
      </c>
      <c r="E223" s="168" t="s">
        <v>1232</v>
      </c>
      <c r="F223" s="125" t="s">
        <v>982</v>
      </c>
      <c r="G223" s="169" t="s">
        <v>1233</v>
      </c>
      <c r="H223" s="178" t="s">
        <v>1247</v>
      </c>
      <c r="I223" s="125" t="s">
        <v>1233</v>
      </c>
      <c r="J223" s="169" t="str">
        <f t="shared" ref="J223:J250" si="5">F223</f>
        <v>I/O</v>
      </c>
    </row>
    <row r="224" spans="2:10">
      <c r="B224" s="76" t="str">
        <f>'＠グループ、表示名'!G224</f>
        <v>PB</v>
      </c>
      <c r="C224" s="76" t="str">
        <f>'＠グループ、表示名'!H224</f>
        <v>PB.1</v>
      </c>
      <c r="D224" s="174" t="s">
        <v>1231</v>
      </c>
      <c r="E224" s="168" t="s">
        <v>1232</v>
      </c>
      <c r="F224" s="125" t="s">
        <v>982</v>
      </c>
      <c r="G224" s="169" t="s">
        <v>1233</v>
      </c>
      <c r="H224" s="178" t="s">
        <v>1247</v>
      </c>
      <c r="I224" s="125" t="s">
        <v>1233</v>
      </c>
      <c r="J224" s="169" t="str">
        <f t="shared" si="5"/>
        <v>I/O</v>
      </c>
    </row>
    <row r="225" spans="2:10">
      <c r="B225" s="76" t="str">
        <f>'＠グループ、表示名'!G225</f>
        <v>PB</v>
      </c>
      <c r="C225" s="76" t="str">
        <f>'＠グループ、表示名'!H225</f>
        <v>PB.2</v>
      </c>
      <c r="D225" s="174" t="s">
        <v>1231</v>
      </c>
      <c r="E225" s="168" t="s">
        <v>1232</v>
      </c>
      <c r="F225" s="125" t="s">
        <v>982</v>
      </c>
      <c r="G225" s="169" t="s">
        <v>1233</v>
      </c>
      <c r="H225" s="178" t="s">
        <v>1247</v>
      </c>
      <c r="I225" s="125" t="s">
        <v>1233</v>
      </c>
      <c r="J225" s="169" t="str">
        <f t="shared" si="5"/>
        <v>I/O</v>
      </c>
    </row>
    <row r="226" spans="2:10">
      <c r="B226" s="76" t="str">
        <f>'＠グループ、表示名'!G226</f>
        <v>PB</v>
      </c>
      <c r="C226" s="76" t="str">
        <f>'＠グループ、表示名'!H226</f>
        <v>PB.3</v>
      </c>
      <c r="D226" s="174" t="s">
        <v>1231</v>
      </c>
      <c r="E226" s="168" t="s">
        <v>1232</v>
      </c>
      <c r="F226" s="125" t="s">
        <v>982</v>
      </c>
      <c r="G226" s="169" t="s">
        <v>1233</v>
      </c>
      <c r="H226" s="178" t="s">
        <v>1247</v>
      </c>
      <c r="I226" s="125" t="s">
        <v>1233</v>
      </c>
      <c r="J226" s="169" t="str">
        <f t="shared" si="5"/>
        <v>I/O</v>
      </c>
    </row>
    <row r="227" spans="2:10">
      <c r="B227" s="76" t="str">
        <f>'＠グループ、表示名'!G227</f>
        <v>PB</v>
      </c>
      <c r="C227" s="76" t="str">
        <f>'＠グループ、表示名'!H227</f>
        <v>PB.4</v>
      </c>
      <c r="D227" s="174" t="s">
        <v>1231</v>
      </c>
      <c r="E227" s="168" t="s">
        <v>1232</v>
      </c>
      <c r="F227" s="125" t="s">
        <v>982</v>
      </c>
      <c r="G227" s="169" t="s">
        <v>1233</v>
      </c>
      <c r="H227" s="178" t="s">
        <v>1247</v>
      </c>
      <c r="I227" s="125" t="s">
        <v>1233</v>
      </c>
      <c r="J227" s="169" t="str">
        <f t="shared" si="5"/>
        <v>I/O</v>
      </c>
    </row>
    <row r="228" spans="2:10">
      <c r="B228" s="76" t="str">
        <f>'＠グループ、表示名'!G228</f>
        <v>PB</v>
      </c>
      <c r="C228" s="76" t="str">
        <f>'＠グループ、表示名'!H228</f>
        <v>PB.5</v>
      </c>
      <c r="D228" s="174" t="s">
        <v>1231</v>
      </c>
      <c r="E228" s="168" t="s">
        <v>1232</v>
      </c>
      <c r="F228" s="125" t="s">
        <v>982</v>
      </c>
      <c r="G228" s="175" t="s">
        <v>1233</v>
      </c>
      <c r="H228" s="178" t="s">
        <v>1247</v>
      </c>
      <c r="I228" s="176" t="s">
        <v>1233</v>
      </c>
      <c r="J228" s="169" t="str">
        <f t="shared" si="5"/>
        <v>I/O</v>
      </c>
    </row>
    <row r="229" spans="2:10">
      <c r="B229" s="76" t="str">
        <f>'＠グループ、表示名'!G229</f>
        <v>PB</v>
      </c>
      <c r="C229" s="76" t="str">
        <f>'＠グループ、表示名'!H229</f>
        <v>PB.6</v>
      </c>
      <c r="D229" s="174" t="s">
        <v>1231</v>
      </c>
      <c r="E229" s="168" t="s">
        <v>1232</v>
      </c>
      <c r="F229" s="125" t="s">
        <v>982</v>
      </c>
      <c r="G229" s="175" t="s">
        <v>1233</v>
      </c>
      <c r="H229" s="178" t="s">
        <v>1247</v>
      </c>
      <c r="I229" s="176" t="s">
        <v>1233</v>
      </c>
      <c r="J229" s="169" t="str">
        <f t="shared" si="5"/>
        <v>I/O</v>
      </c>
    </row>
    <row r="230" spans="2:10">
      <c r="B230" s="76" t="str">
        <f>'＠グループ、表示名'!G230</f>
        <v>PB</v>
      </c>
      <c r="C230" s="76" t="str">
        <f>'＠グループ、表示名'!H230</f>
        <v>PB.7</v>
      </c>
      <c r="D230" s="174" t="s">
        <v>1231</v>
      </c>
      <c r="E230" s="168" t="s">
        <v>1232</v>
      </c>
      <c r="F230" s="125" t="s">
        <v>982</v>
      </c>
      <c r="G230" s="175" t="s">
        <v>1233</v>
      </c>
      <c r="H230" s="178" t="s">
        <v>1247</v>
      </c>
      <c r="I230" s="176" t="s">
        <v>1233</v>
      </c>
      <c r="J230" s="169" t="str">
        <f t="shared" si="5"/>
        <v>I/O</v>
      </c>
    </row>
    <row r="231" spans="2:10">
      <c r="B231" s="76" t="str">
        <f>'＠グループ、表示名'!G231</f>
        <v>PD</v>
      </c>
      <c r="C231" s="76" t="str">
        <f>'＠グループ、表示名'!H231</f>
        <v>PD.0</v>
      </c>
      <c r="D231" s="174" t="s">
        <v>1231</v>
      </c>
      <c r="E231" s="168" t="s">
        <v>1232</v>
      </c>
      <c r="F231" s="125" t="s">
        <v>982</v>
      </c>
      <c r="G231" s="175" t="s">
        <v>1233</v>
      </c>
      <c r="H231" s="178" t="s">
        <v>1248</v>
      </c>
      <c r="I231" s="176" t="s">
        <v>1233</v>
      </c>
      <c r="J231" s="169" t="str">
        <f t="shared" si="5"/>
        <v>I/O</v>
      </c>
    </row>
    <row r="232" spans="2:10">
      <c r="B232" s="76" t="str">
        <f>'＠グループ、表示名'!G232</f>
        <v>PD</v>
      </c>
      <c r="C232" s="76" t="str">
        <f>'＠グループ、表示名'!H232</f>
        <v>PD.1</v>
      </c>
      <c r="D232" s="174" t="s">
        <v>1231</v>
      </c>
      <c r="E232" s="168" t="s">
        <v>1232</v>
      </c>
      <c r="F232" s="125" t="s">
        <v>982</v>
      </c>
      <c r="G232" s="175" t="s">
        <v>1233</v>
      </c>
      <c r="H232" s="178" t="s">
        <v>1248</v>
      </c>
      <c r="I232" s="176" t="s">
        <v>1233</v>
      </c>
      <c r="J232" s="169" t="str">
        <f t="shared" si="5"/>
        <v>I/O</v>
      </c>
    </row>
    <row r="233" spans="2:10" ht="15.75" customHeight="1">
      <c r="B233" s="76" t="str">
        <f>'＠グループ、表示名'!G233</f>
        <v>PD</v>
      </c>
      <c r="C233" s="76" t="str">
        <f>'＠グループ、表示名'!H233</f>
        <v>PD.2</v>
      </c>
      <c r="D233" s="174" t="s">
        <v>1231</v>
      </c>
      <c r="E233" s="168" t="s">
        <v>1232</v>
      </c>
      <c r="F233" s="125" t="s">
        <v>982</v>
      </c>
      <c r="G233" s="175" t="s">
        <v>1233</v>
      </c>
      <c r="H233" s="178" t="s">
        <v>1248</v>
      </c>
      <c r="I233" s="125" t="s">
        <v>1233</v>
      </c>
      <c r="J233" s="169" t="str">
        <f t="shared" si="5"/>
        <v>I/O</v>
      </c>
    </row>
    <row r="234" spans="2:10" ht="15.75" customHeight="1">
      <c r="B234" s="76" t="str">
        <f>'＠グループ、表示名'!G234</f>
        <v>PD</v>
      </c>
      <c r="C234" s="76" t="str">
        <f>'＠グループ、表示名'!H234</f>
        <v>PD.3</v>
      </c>
      <c r="D234" s="174" t="s">
        <v>1231</v>
      </c>
      <c r="E234" s="168" t="s">
        <v>1232</v>
      </c>
      <c r="F234" s="125" t="s">
        <v>982</v>
      </c>
      <c r="G234" s="175" t="s">
        <v>1233</v>
      </c>
      <c r="H234" s="178" t="s">
        <v>1248</v>
      </c>
      <c r="I234" s="125" t="s">
        <v>1233</v>
      </c>
      <c r="J234" s="169" t="str">
        <f t="shared" si="5"/>
        <v>I/O</v>
      </c>
    </row>
    <row r="235" spans="2:10" ht="15.75" customHeight="1">
      <c r="B235" s="76" t="str">
        <f>'＠グループ、表示名'!G235</f>
        <v>PD</v>
      </c>
      <c r="C235" s="76" t="str">
        <f>'＠グループ、表示名'!H235</f>
        <v>PD.4</v>
      </c>
      <c r="D235" s="174" t="s">
        <v>1231</v>
      </c>
      <c r="E235" s="168" t="s">
        <v>1232</v>
      </c>
      <c r="F235" s="170" t="s">
        <v>982</v>
      </c>
      <c r="G235" s="175" t="s">
        <v>1233</v>
      </c>
      <c r="H235" s="178" t="s">
        <v>1248</v>
      </c>
      <c r="I235" s="125" t="s">
        <v>1233</v>
      </c>
      <c r="J235" s="80" t="str">
        <f t="shared" si="5"/>
        <v>I/O</v>
      </c>
    </row>
    <row r="236" spans="2:10" ht="15.75" customHeight="1">
      <c r="B236" s="76" t="str">
        <f>'＠グループ、表示名'!G236</f>
        <v>PD</v>
      </c>
      <c r="C236" s="76" t="str">
        <f>'＠グループ、表示名'!H236</f>
        <v>PD.5</v>
      </c>
      <c r="D236" s="174" t="s">
        <v>1231</v>
      </c>
      <c r="E236" s="168" t="s">
        <v>1232</v>
      </c>
      <c r="F236" s="170" t="s">
        <v>982</v>
      </c>
      <c r="G236" s="175" t="s">
        <v>1233</v>
      </c>
      <c r="H236" s="178" t="s">
        <v>1248</v>
      </c>
      <c r="I236" s="125" t="s">
        <v>1233</v>
      </c>
      <c r="J236" s="80" t="str">
        <f t="shared" si="5"/>
        <v>I/O</v>
      </c>
    </row>
    <row r="237" spans="2:10" ht="15.75" customHeight="1">
      <c r="B237" s="76" t="str">
        <f>'＠グループ、表示名'!G237</f>
        <v>PD</v>
      </c>
      <c r="C237" s="76" t="str">
        <f>'＠グループ、表示名'!H237</f>
        <v>PD.6</v>
      </c>
      <c r="D237" s="174" t="s">
        <v>1231</v>
      </c>
      <c r="E237" s="168" t="s">
        <v>1232</v>
      </c>
      <c r="F237" s="170" t="s">
        <v>982</v>
      </c>
      <c r="G237" s="175" t="s">
        <v>1233</v>
      </c>
      <c r="H237" s="178" t="s">
        <v>1248</v>
      </c>
      <c r="I237" s="125" t="s">
        <v>1233</v>
      </c>
      <c r="J237" s="80" t="str">
        <f t="shared" si="5"/>
        <v>I/O</v>
      </c>
    </row>
    <row r="238" spans="2:10" ht="15.75" customHeight="1">
      <c r="B238" s="76" t="str">
        <f>'＠グループ、表示名'!G238</f>
        <v>PD</v>
      </c>
      <c r="C238" s="76" t="str">
        <f>'＠グループ、表示名'!H238</f>
        <v>PD.7</v>
      </c>
      <c r="D238" s="174" t="s">
        <v>1231</v>
      </c>
      <c r="E238" s="168" t="s">
        <v>1232</v>
      </c>
      <c r="F238" s="170" t="s">
        <v>982</v>
      </c>
      <c r="G238" s="175" t="s">
        <v>1233</v>
      </c>
      <c r="H238" s="178" t="s">
        <v>1248</v>
      </c>
      <c r="I238" s="125" t="s">
        <v>1233</v>
      </c>
      <c r="J238" s="80" t="str">
        <f t="shared" si="5"/>
        <v>I/O</v>
      </c>
    </row>
    <row r="239" spans="2:10" ht="15.75" customHeight="1">
      <c r="B239" s="76" t="str">
        <f>'＠グループ、表示名'!G239</f>
        <v>PE</v>
      </c>
      <c r="C239" s="76" t="str">
        <f>'＠グループ、表示名'!H239</f>
        <v>PE.0</v>
      </c>
      <c r="D239" s="174" t="s">
        <v>1231</v>
      </c>
      <c r="E239" s="168" t="s">
        <v>1232</v>
      </c>
      <c r="F239" s="170" t="s">
        <v>982</v>
      </c>
      <c r="G239" s="175" t="s">
        <v>1233</v>
      </c>
      <c r="H239" s="178" t="s">
        <v>1249</v>
      </c>
      <c r="I239" s="125" t="s">
        <v>1233</v>
      </c>
      <c r="J239" s="80" t="str">
        <f t="shared" si="5"/>
        <v>I/O</v>
      </c>
    </row>
    <row r="240" spans="2:10" ht="15.75" customHeight="1">
      <c r="B240" s="76" t="str">
        <f>'＠グループ、表示名'!G240</f>
        <v>PE</v>
      </c>
      <c r="C240" s="76" t="str">
        <f>'＠グループ、表示名'!H240</f>
        <v>PE.1</v>
      </c>
      <c r="D240" s="174" t="s">
        <v>1231</v>
      </c>
      <c r="E240" s="168" t="s">
        <v>1232</v>
      </c>
      <c r="F240" s="170" t="s">
        <v>982</v>
      </c>
      <c r="G240" s="175" t="s">
        <v>1233</v>
      </c>
      <c r="H240" s="178" t="s">
        <v>1249</v>
      </c>
      <c r="I240" s="125" t="s">
        <v>1233</v>
      </c>
      <c r="J240" s="80" t="str">
        <f t="shared" si="5"/>
        <v>I/O</v>
      </c>
    </row>
    <row r="241" spans="2:10" ht="15.75" customHeight="1">
      <c r="B241" s="76" t="str">
        <f>'＠グループ、表示名'!G241</f>
        <v>PE</v>
      </c>
      <c r="C241" s="76" t="str">
        <f>'＠グループ、表示名'!H241</f>
        <v>PE.2</v>
      </c>
      <c r="D241" s="174" t="s">
        <v>1231</v>
      </c>
      <c r="E241" s="168" t="s">
        <v>1232</v>
      </c>
      <c r="F241" s="170" t="s">
        <v>982</v>
      </c>
      <c r="G241" s="175" t="s">
        <v>1233</v>
      </c>
      <c r="H241" s="178" t="s">
        <v>1249</v>
      </c>
      <c r="I241" s="125" t="s">
        <v>1233</v>
      </c>
      <c r="J241" s="80" t="str">
        <f t="shared" si="5"/>
        <v>I/O</v>
      </c>
    </row>
    <row r="242" spans="2:10" ht="15.75" customHeight="1">
      <c r="B242" s="76" t="str">
        <f>'＠グループ、表示名'!G242</f>
        <v>PE</v>
      </c>
      <c r="C242" s="76" t="str">
        <f>'＠グループ、表示名'!H242</f>
        <v>PE.3</v>
      </c>
      <c r="D242" s="174" t="s">
        <v>1231</v>
      </c>
      <c r="E242" s="168" t="s">
        <v>1232</v>
      </c>
      <c r="F242" s="170" t="s">
        <v>982</v>
      </c>
      <c r="G242" s="175" t="s">
        <v>1233</v>
      </c>
      <c r="H242" s="178" t="s">
        <v>1249</v>
      </c>
      <c r="I242" s="125" t="s">
        <v>1233</v>
      </c>
      <c r="J242" s="80" t="str">
        <f t="shared" si="5"/>
        <v>I/O</v>
      </c>
    </row>
    <row r="243" spans="2:10" ht="15.75" customHeight="1">
      <c r="B243" s="76" t="str">
        <f>'＠グループ、表示名'!G243</f>
        <v>PE</v>
      </c>
      <c r="C243" s="76" t="str">
        <f>'＠グループ、表示名'!H243</f>
        <v>PE.4</v>
      </c>
      <c r="D243" s="174" t="s">
        <v>1231</v>
      </c>
      <c r="E243" s="168" t="s">
        <v>1232</v>
      </c>
      <c r="F243" s="170" t="s">
        <v>982</v>
      </c>
      <c r="G243" s="175" t="s">
        <v>1233</v>
      </c>
      <c r="H243" s="178" t="s">
        <v>1249</v>
      </c>
      <c r="I243" s="125" t="s">
        <v>1233</v>
      </c>
      <c r="J243" s="80" t="str">
        <f t="shared" si="5"/>
        <v>I/O</v>
      </c>
    </row>
    <row r="244" spans="2:10">
      <c r="B244" s="76" t="str">
        <f>'＠グループ、表示名'!G244</f>
        <v>PE</v>
      </c>
      <c r="C244" s="76" t="str">
        <f>'＠グループ、表示名'!H244</f>
        <v>PE.5</v>
      </c>
      <c r="D244" s="174" t="s">
        <v>1231</v>
      </c>
      <c r="E244" s="168" t="s">
        <v>1232</v>
      </c>
      <c r="F244" s="170" t="s">
        <v>982</v>
      </c>
      <c r="G244" s="175" t="s">
        <v>1233</v>
      </c>
      <c r="H244" s="178" t="s">
        <v>1249</v>
      </c>
      <c r="I244" s="125" t="s">
        <v>1233</v>
      </c>
      <c r="J244" s="80" t="str">
        <f t="shared" si="5"/>
        <v>I/O</v>
      </c>
    </row>
    <row r="245" spans="2:10">
      <c r="B245" s="76" t="str">
        <f>'＠グループ、表示名'!G245</f>
        <v>PF</v>
      </c>
      <c r="C245" s="76" t="str">
        <f>'＠グループ、表示名'!H245</f>
        <v>PF.0</v>
      </c>
      <c r="D245" s="174" t="s">
        <v>1231</v>
      </c>
      <c r="E245" s="168" t="s">
        <v>1232</v>
      </c>
      <c r="F245" s="170" t="s">
        <v>982</v>
      </c>
      <c r="G245" s="175" t="s">
        <v>1233</v>
      </c>
      <c r="H245" s="127" t="s">
        <v>321</v>
      </c>
      <c r="I245" s="125" t="s">
        <v>1233</v>
      </c>
      <c r="J245" s="80" t="str">
        <f t="shared" si="5"/>
        <v>I/O</v>
      </c>
    </row>
    <row r="246" spans="2:10">
      <c r="B246" s="76" t="str">
        <f>'＠グループ、表示名'!G246</f>
        <v>PF</v>
      </c>
      <c r="C246" s="76" t="str">
        <f>'＠グループ、表示名'!H246</f>
        <v>PF.1</v>
      </c>
      <c r="D246" s="174" t="s">
        <v>1231</v>
      </c>
      <c r="E246" s="168" t="s">
        <v>1232</v>
      </c>
      <c r="F246" s="170" t="s">
        <v>982</v>
      </c>
      <c r="G246" s="175" t="s">
        <v>1233</v>
      </c>
      <c r="H246" s="127" t="s">
        <v>502</v>
      </c>
      <c r="I246" s="125" t="s">
        <v>1233</v>
      </c>
      <c r="J246" s="80" t="str">
        <f t="shared" si="5"/>
        <v>I/O</v>
      </c>
    </row>
    <row r="247" spans="2:10">
      <c r="B247" s="76" t="str">
        <f>'＠グループ、表示名'!G247</f>
        <v>PF</v>
      </c>
      <c r="C247" s="76" t="str">
        <f>'＠グループ、表示名'!H247</f>
        <v>PF.2</v>
      </c>
      <c r="D247" s="174" t="s">
        <v>1231</v>
      </c>
      <c r="E247" s="168" t="s">
        <v>1232</v>
      </c>
      <c r="F247" s="170" t="s">
        <v>982</v>
      </c>
      <c r="G247" s="175" t="s">
        <v>1233</v>
      </c>
      <c r="H247" s="127" t="s">
        <v>248</v>
      </c>
      <c r="I247" s="125" t="s">
        <v>1233</v>
      </c>
      <c r="J247" s="80" t="str">
        <f t="shared" si="5"/>
        <v>I/O</v>
      </c>
    </row>
    <row r="248" spans="2:10">
      <c r="B248" s="76" t="str">
        <f>'＠グループ、表示名'!G248</f>
        <v>PF</v>
      </c>
      <c r="C248" s="76" t="str">
        <f>'＠グループ、表示名'!H248</f>
        <v>PF.3</v>
      </c>
      <c r="D248" s="174" t="s">
        <v>1231</v>
      </c>
      <c r="E248" s="168" t="s">
        <v>1232</v>
      </c>
      <c r="F248" s="170" t="s">
        <v>982</v>
      </c>
      <c r="G248" s="175" t="s">
        <v>1233</v>
      </c>
      <c r="H248" s="127" t="s">
        <v>246</v>
      </c>
      <c r="I248" s="125" t="s">
        <v>1233</v>
      </c>
      <c r="J248" s="80" t="str">
        <f t="shared" si="5"/>
        <v>I/O</v>
      </c>
    </row>
    <row r="249" spans="2:10">
      <c r="B249" s="76" t="str">
        <f>'＠グループ、表示名'!G249</f>
        <v>PF</v>
      </c>
      <c r="C249" s="76" t="str">
        <f>'＠グループ、表示名'!H249</f>
        <v>PF.4</v>
      </c>
      <c r="D249" s="174" t="s">
        <v>1231</v>
      </c>
      <c r="E249" s="168" t="s">
        <v>1232</v>
      </c>
      <c r="F249" s="170" t="s">
        <v>978</v>
      </c>
      <c r="G249" s="175" t="s">
        <v>1240</v>
      </c>
      <c r="H249" s="127" t="s">
        <v>217</v>
      </c>
      <c r="I249" s="125" t="s">
        <v>1241</v>
      </c>
      <c r="J249" s="80" t="str">
        <f t="shared" si="5"/>
        <v>I</v>
      </c>
    </row>
    <row r="250" spans="2:10" ht="15.6" thickBot="1">
      <c r="B250" s="79" t="str">
        <f>'＠グループ、表示名'!G250</f>
        <v>PF</v>
      </c>
      <c r="C250" s="124" t="str">
        <f>'＠グループ、表示名'!H250</f>
        <v>PF.5</v>
      </c>
      <c r="D250" s="179" t="s">
        <v>1231</v>
      </c>
      <c r="E250" s="180" t="s">
        <v>1232</v>
      </c>
      <c r="F250" s="181" t="s">
        <v>982</v>
      </c>
      <c r="G250" s="182" t="s">
        <v>1233</v>
      </c>
      <c r="H250" s="79" t="s">
        <v>213</v>
      </c>
      <c r="I250" s="77" t="s">
        <v>1233</v>
      </c>
      <c r="J250" s="78" t="str">
        <f t="shared" si="5"/>
        <v>I/O</v>
      </c>
    </row>
  </sheetData>
  <autoFilter ref="B3:J243" xr:uid="{00000000-0009-0000-0000-000008000000}"/>
  <mergeCells count="3">
    <mergeCell ref="B2:C2"/>
    <mergeCell ref="D2:G2"/>
    <mergeCell ref="H2:J2"/>
  </mergeCells>
  <phoneticPr fontId="47"/>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6317B63134CCC498EF676B7370DABC8" ma:contentTypeVersion="4" ma:contentTypeDescription="Create a new document." ma:contentTypeScope="" ma:versionID="cd5261ebc81cac2aef6756fabef3822e">
  <xsd:schema xmlns:xsd="http://www.w3.org/2001/XMLSchema" xmlns:xs="http://www.w3.org/2001/XMLSchema" xmlns:p="http://schemas.microsoft.com/office/2006/metadata/properties" xmlns:ns2="ef0d4916-653b-440d-afe6-d6d4b073003e" xmlns:ns3="eaf611a2-dfff-43b9-9c97-5348cd2201be" targetNamespace="http://schemas.microsoft.com/office/2006/metadata/properties" ma:root="true" ma:fieldsID="79e74a90cbbdcb237b6a63f7bb10804f" ns2:_="" ns3:_="">
    <xsd:import namespace="ef0d4916-653b-440d-afe6-d6d4b073003e"/>
    <xsd:import namespace="eaf611a2-dfff-43b9-9c97-5348cd2201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d4916-653b-440d-afe6-d6d4b07300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f611a2-dfff-43b9-9c97-5348cd2201b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C76BFB7-66E8-4CDC-BBE1-1828F86FECB6}"/>
</file>

<file path=customXml/itemProps2.xml><?xml version="1.0" encoding="utf-8"?>
<ds:datastoreItem xmlns:ds="http://schemas.openxmlformats.org/officeDocument/2006/customXml" ds:itemID="{0E464CCC-553F-4AE8-B501-6B67355F69E5}"/>
</file>

<file path=customXml/itemProps3.xml><?xml version="1.0" encoding="utf-8"?>
<ds:datastoreItem xmlns:ds="http://schemas.openxmlformats.org/officeDocument/2006/customXml" ds:itemID="{D39C98DD-CEAA-49AA-9941-EDFBA4F37218}"/>
</file>

<file path=docProps/app.xml><?xml version="1.0" encoding="utf-8"?>
<Properties xmlns="http://schemas.openxmlformats.org/officeDocument/2006/extended-properties" xmlns:vt="http://schemas.openxmlformats.org/officeDocument/2006/docPropsVTypes">
  <Application>Microsoft Excel Online</Application>
  <Manager/>
  <Company>nuvoton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PG10 CTHo2</dc:creator>
  <cp:keywords/>
  <dc:description/>
  <cp:lastModifiedBy>MS60 YCHsu</cp:lastModifiedBy>
  <cp:revision/>
  <dcterms:created xsi:type="dcterms:W3CDTF">2012-11-13T03:52:01Z</dcterms:created>
  <dcterms:modified xsi:type="dcterms:W3CDTF">2022-11-22T07:20:13Z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0x01010046317B63134CCC498EF676B7370DABC8</vt:lpwstr>
  </property>
</Properties>
</file>