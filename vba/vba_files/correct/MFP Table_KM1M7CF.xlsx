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9.xml" ContentType="application/vnd.openxmlformats-officedocument.spreadsheetml.worksheet+xml"/>
  <Override PartName="/xl/worksheets/sheet7.xml" ContentType="application/vnd.openxmlformats-officedocument.spreadsheetml.worksheet+xml"/>
  <Override PartName="/xl/worksheets/sheet5.xml" ContentType="application/vnd.openxmlformats-officedocument.spreadsheetml.worksheet+xml"/>
  <Override PartName="/xl/worksheets/sheet8.xml" ContentType="application/vnd.openxmlformats-officedocument.spreadsheetml.worksheet+xml"/>
  <Override PartName="/xl/worksheets/sheet6.xml" ContentType="application/vnd.openxmlformats-officedocument.spreadsheetml.worksheet+xml"/>
  <Override PartName="/xl/comments2.xml" ContentType="application/vnd.openxmlformats-officedocument.spreadsheetml.comments+xml"/>
  <Override PartName="/xl/comments1.xml" ContentType="application/vnd.openxmlformats-officedocument.spreadsheetml.comments+xml"/>
  <Override PartName="/docProps/core.xml" ContentType="application/vnd.openxmlformats-package.core-properties+xml"/>
  <Override PartName="/customXml/itemProps2.xml" ContentType="application/vnd.openxmlformats-officedocument.customXmlProperties+xml"/>
  <Override PartName="/xl/comments3.xml" ContentType="application/vnd.openxmlformats-officedocument.spreadsheetml.comments+xml"/>
  <Override PartName="/customXml/itemProps1.xml" ContentType="application/vnd.openxmlformats-officedocument.customXmlProperties+xml"/>
  <Override PartName="/xl/calcChain.xml" ContentType="application/vnd.openxmlformats-officedocument.spreadsheetml.calcChain+xml"/>
  <Override PartName="/docProps/app.xml" ContentType="application/vnd.openxmlformats-officedocument.extended-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4037460\Documents\NuTool\PinConfigure\M7C\"/>
    </mc:Choice>
  </mc:AlternateContent>
  <bookViews>
    <workbookView xWindow="0" yWindow="285" windowWidth="14370" windowHeight="6480" tabRatio="811" firstSheet="1" activeTab="1"/>
  </bookViews>
  <sheets>
    <sheet name="MFP(sample)" sheetId="36" state="hidden" r:id="rId1"/>
    <sheet name="MFP" sheetId="37" r:id="rId2"/>
    <sheet name="FPS" sheetId="44" r:id="rId3"/>
    <sheet name="Package Type" sheetId="32" r:id="rId4"/>
    <sheet name="Unused IP" sheetId="43" r:id="rId5"/>
    <sheet name="Special Group Name" sheetId="30" r:id="rId6"/>
    <sheet name="Port Control Register" sheetId="39" r:id="rId7"/>
    <sheet name="＠グループ、表示名" sheetId="40" r:id="rId8"/>
    <sheet name="@Pin Component List記載" sheetId="41" r:id="rId9"/>
    <sheet name="Sheet1" sheetId="42" state="hidden" r:id="rId10"/>
  </sheets>
  <definedNames>
    <definedName name="_xlnm._FilterDatabase" localSheetId="8" hidden="1">'@Pin Component List記載'!$B$3:$J$299</definedName>
    <definedName name="_xlnm._FilterDatabase" localSheetId="7" hidden="1">'＠グループ、表示名'!$A$3:$W$299</definedName>
    <definedName name="_xlnm._FilterDatabase" localSheetId="1" hidden="1">MFP!$A$1:$X$81</definedName>
    <definedName name="_xlnm._FilterDatabase" localSheetId="9" hidden="1">Sheet1!$A$1:$E$548</definedName>
    <definedName name="_xlnm._FilterDatabase" localSheetId="5" hidden="1">'Special Group Name'!$A$1:$B$337</definedName>
    <definedName name="_xlnm.Extract" localSheetId="8">'@Pin Component List記載'!$G$3:$I$3</definedName>
  </definedNames>
  <calcPr calcId="162913"/>
</workbook>
</file>

<file path=xl/calcChain.xml><?xml version="1.0" encoding="utf-8"?>
<calcChain xmlns="http://schemas.openxmlformats.org/spreadsheetml/2006/main">
  <c r="B17" i="41" l="1"/>
  <c r="C17" i="41"/>
  <c r="B18" i="41"/>
  <c r="C18" i="41"/>
  <c r="B19" i="41"/>
  <c r="C19" i="41"/>
  <c r="B20" i="41"/>
  <c r="C20" i="41"/>
  <c r="B21" i="41"/>
  <c r="C21" i="41"/>
  <c r="B22" i="41"/>
  <c r="C22" i="41"/>
  <c r="B23" i="41"/>
  <c r="C23" i="41"/>
  <c r="B24" i="41"/>
  <c r="C24" i="41"/>
  <c r="B25" i="41"/>
  <c r="C25" i="41"/>
  <c r="B26" i="41"/>
  <c r="C26" i="41"/>
  <c r="B27" i="41"/>
  <c r="C27" i="41"/>
  <c r="B28" i="41"/>
  <c r="C28" i="41"/>
  <c r="B29" i="41"/>
  <c r="C29" i="41"/>
  <c r="B30" i="41"/>
  <c r="C30" i="41"/>
  <c r="B31" i="41"/>
  <c r="C31" i="41"/>
  <c r="B32" i="41"/>
  <c r="C32" i="41"/>
  <c r="B33" i="41"/>
  <c r="C33" i="41"/>
  <c r="B34" i="41"/>
  <c r="C34" i="41"/>
  <c r="B35" i="41"/>
  <c r="C35" i="41"/>
  <c r="B36" i="41"/>
  <c r="C36" i="41"/>
  <c r="B37" i="41"/>
  <c r="C37" i="41"/>
  <c r="B38" i="41"/>
  <c r="C38" i="41"/>
  <c r="B39" i="41"/>
  <c r="C39" i="41"/>
  <c r="B40" i="41"/>
  <c r="C40" i="41"/>
  <c r="B41" i="41"/>
  <c r="C41" i="41"/>
  <c r="B42" i="41"/>
  <c r="C42" i="41"/>
  <c r="B43" i="41"/>
  <c r="C43" i="41"/>
  <c r="B44" i="41"/>
  <c r="C44" i="41"/>
  <c r="B45" i="41"/>
  <c r="C45" i="41"/>
  <c r="B46" i="41"/>
  <c r="C46" i="41"/>
  <c r="B47" i="41"/>
  <c r="C47" i="41"/>
  <c r="B48" i="41"/>
  <c r="C48" i="41"/>
  <c r="B49" i="41"/>
  <c r="C49" i="41"/>
  <c r="B50" i="41"/>
  <c r="C50" i="41"/>
  <c r="B51" i="41"/>
  <c r="C51" i="41"/>
  <c r="B52" i="41"/>
  <c r="C52" i="41"/>
  <c r="B53" i="41"/>
  <c r="C53" i="41"/>
  <c r="B54" i="41"/>
  <c r="C54" i="41"/>
  <c r="B55" i="41"/>
  <c r="C55" i="41"/>
  <c r="B56" i="41"/>
  <c r="C56" i="41"/>
  <c r="B57" i="41"/>
  <c r="C57" i="41"/>
  <c r="B58" i="41"/>
  <c r="C58" i="41"/>
  <c r="B59" i="41"/>
  <c r="C59" i="41"/>
  <c r="B60" i="41"/>
  <c r="C60" i="41"/>
  <c r="B61" i="41"/>
  <c r="C61" i="41"/>
  <c r="B62" i="41"/>
  <c r="C62" i="41"/>
  <c r="B63" i="41"/>
  <c r="C63" i="41"/>
  <c r="B64" i="41"/>
  <c r="C64" i="41"/>
  <c r="B65" i="41"/>
  <c r="C65" i="41"/>
  <c r="B66" i="41"/>
  <c r="C66" i="41"/>
  <c r="B67" i="41"/>
  <c r="C67" i="41"/>
  <c r="B68" i="41"/>
  <c r="C68" i="41"/>
  <c r="B69" i="41"/>
  <c r="C69" i="41"/>
  <c r="B70" i="41"/>
  <c r="C70" i="41"/>
  <c r="B71" i="41"/>
  <c r="C71" i="41"/>
  <c r="B72" i="41"/>
  <c r="C72" i="41"/>
  <c r="B73" i="41"/>
  <c r="C73" i="41"/>
  <c r="B74" i="41"/>
  <c r="C74" i="41"/>
  <c r="B75" i="41"/>
  <c r="C75" i="41"/>
  <c r="B76" i="41"/>
  <c r="C76" i="41"/>
  <c r="B77" i="41"/>
  <c r="C77" i="41"/>
  <c r="B78" i="41"/>
  <c r="C78" i="41"/>
  <c r="B79" i="41"/>
  <c r="C79" i="41"/>
  <c r="B80" i="41"/>
  <c r="C80" i="41"/>
  <c r="B81" i="41"/>
  <c r="C81" i="41"/>
  <c r="B82" i="41"/>
  <c r="C82" i="41"/>
  <c r="B83" i="41"/>
  <c r="C83" i="41"/>
  <c r="B84" i="41"/>
  <c r="C84" i="41"/>
  <c r="B85" i="41"/>
  <c r="C85" i="41"/>
  <c r="B86" i="41"/>
  <c r="C86" i="41"/>
  <c r="B87" i="41"/>
  <c r="C87" i="41"/>
  <c r="B88" i="41"/>
  <c r="C88" i="41"/>
  <c r="B89" i="41"/>
  <c r="C89" i="41"/>
  <c r="B90" i="41"/>
  <c r="C90" i="41"/>
  <c r="B91" i="41"/>
  <c r="C91" i="41"/>
  <c r="B92" i="41"/>
  <c r="C92" i="41"/>
  <c r="B93" i="41"/>
  <c r="C93" i="41"/>
  <c r="B94" i="41"/>
  <c r="C94" i="41"/>
  <c r="B95" i="41"/>
  <c r="C95" i="41"/>
  <c r="B96" i="41"/>
  <c r="C96" i="41"/>
  <c r="B97" i="41"/>
  <c r="C97" i="41"/>
  <c r="B98" i="41"/>
  <c r="C98" i="41"/>
  <c r="B99" i="41"/>
  <c r="C99" i="41"/>
  <c r="B100" i="41"/>
  <c r="C100" i="41"/>
  <c r="B101" i="41"/>
  <c r="C101" i="41"/>
  <c r="B102" i="41"/>
  <c r="C102" i="41"/>
  <c r="B103" i="41"/>
  <c r="C103" i="41"/>
  <c r="B104" i="41"/>
  <c r="C104" i="41"/>
  <c r="B105" i="41"/>
  <c r="C105" i="41"/>
  <c r="B106" i="41"/>
  <c r="C106" i="41"/>
  <c r="B107" i="41"/>
  <c r="C107" i="41"/>
  <c r="B108" i="41"/>
  <c r="C108" i="41"/>
  <c r="B109" i="41"/>
  <c r="C109" i="41"/>
  <c r="B110" i="41"/>
  <c r="C110" i="41"/>
  <c r="B111" i="41"/>
  <c r="C111" i="41"/>
  <c r="B112" i="41"/>
  <c r="C112" i="41"/>
  <c r="B113" i="41"/>
  <c r="C113" i="41"/>
  <c r="B114" i="41"/>
  <c r="C114" i="41"/>
  <c r="B115" i="41"/>
  <c r="C115" i="41"/>
  <c r="B116" i="41"/>
  <c r="C116" i="41"/>
  <c r="B117" i="41"/>
  <c r="C117" i="41"/>
  <c r="B118" i="41"/>
  <c r="C118" i="41"/>
  <c r="B119" i="41"/>
  <c r="C119" i="41"/>
  <c r="B120" i="41"/>
  <c r="C120" i="41"/>
  <c r="B121" i="41"/>
  <c r="C121" i="41"/>
  <c r="B122" i="41"/>
  <c r="C122" i="41"/>
  <c r="B123" i="41"/>
  <c r="C123" i="41"/>
  <c r="B124" i="41"/>
  <c r="C124" i="41"/>
  <c r="B125" i="41"/>
  <c r="C125" i="41"/>
  <c r="B126" i="41"/>
  <c r="C126" i="41"/>
  <c r="B127" i="41"/>
  <c r="C127" i="41"/>
  <c r="B128" i="41"/>
  <c r="C128" i="41"/>
  <c r="B129" i="41"/>
  <c r="C129" i="41"/>
  <c r="B130" i="41"/>
  <c r="C130" i="41"/>
  <c r="B131" i="41"/>
  <c r="C131" i="41"/>
  <c r="B132" i="41"/>
  <c r="C132" i="41"/>
  <c r="B133" i="41"/>
  <c r="C133" i="41"/>
  <c r="B134" i="41"/>
  <c r="C134" i="41"/>
  <c r="B135" i="41"/>
  <c r="C135" i="41"/>
  <c r="B136" i="41"/>
  <c r="C136" i="41"/>
  <c r="B137" i="41"/>
  <c r="C137" i="41"/>
  <c r="B138" i="41"/>
  <c r="C138" i="41"/>
  <c r="B139" i="41"/>
  <c r="C139" i="41"/>
  <c r="B140" i="41"/>
  <c r="C140" i="41"/>
  <c r="B141" i="41"/>
  <c r="C141" i="41"/>
  <c r="B142" i="41"/>
  <c r="C142" i="41"/>
  <c r="B143" i="41"/>
  <c r="C143" i="41"/>
  <c r="B144" i="41"/>
  <c r="C144" i="41"/>
  <c r="B145" i="41"/>
  <c r="C145" i="41"/>
  <c r="B146" i="41"/>
  <c r="C146" i="41"/>
  <c r="B147" i="41"/>
  <c r="C147" i="41"/>
  <c r="B148" i="41"/>
  <c r="C148" i="41"/>
  <c r="B149" i="41"/>
  <c r="C149" i="41"/>
  <c r="B150" i="41"/>
  <c r="C150" i="41"/>
  <c r="B151" i="41"/>
  <c r="C151" i="41"/>
  <c r="B152" i="41"/>
  <c r="C152" i="41"/>
  <c r="B153" i="41"/>
  <c r="C153" i="41"/>
  <c r="B154" i="41"/>
  <c r="C154" i="41"/>
  <c r="B155" i="41"/>
  <c r="C155" i="41"/>
  <c r="B156" i="41"/>
  <c r="C156" i="41"/>
  <c r="B157" i="41"/>
  <c r="C157" i="41"/>
  <c r="B158" i="41"/>
  <c r="C158" i="41"/>
  <c r="B159" i="41"/>
  <c r="C159" i="41"/>
  <c r="B160" i="41"/>
  <c r="C160" i="41"/>
  <c r="B161" i="41"/>
  <c r="C161" i="41"/>
  <c r="B162" i="41"/>
  <c r="C162" i="41"/>
  <c r="B163" i="41"/>
  <c r="C163" i="41"/>
  <c r="B164" i="41"/>
  <c r="C164" i="41"/>
  <c r="B165" i="41"/>
  <c r="C165" i="41"/>
  <c r="B166" i="41"/>
  <c r="C166" i="41"/>
  <c r="B167" i="41"/>
  <c r="C167" i="41"/>
  <c r="B168" i="41"/>
  <c r="C168" i="41"/>
  <c r="B169" i="41"/>
  <c r="C169" i="41"/>
  <c r="B170" i="41"/>
  <c r="C170" i="41"/>
  <c r="B171" i="41"/>
  <c r="C171" i="41"/>
  <c r="B172" i="41"/>
  <c r="C172" i="41"/>
  <c r="B173" i="41"/>
  <c r="C173" i="41"/>
  <c r="B174" i="41"/>
  <c r="C174" i="41"/>
  <c r="B175" i="41"/>
  <c r="C175" i="41"/>
  <c r="B176" i="41"/>
  <c r="C176" i="41"/>
  <c r="B177" i="41"/>
  <c r="C177" i="41"/>
  <c r="B178" i="41"/>
  <c r="C178" i="41"/>
  <c r="B179" i="41"/>
  <c r="C179" i="41"/>
  <c r="B180" i="41"/>
  <c r="C180" i="41"/>
  <c r="B181" i="41"/>
  <c r="C181" i="41"/>
  <c r="B182" i="41"/>
  <c r="C182" i="41"/>
  <c r="B183" i="41"/>
  <c r="C183" i="41"/>
  <c r="B184" i="41"/>
  <c r="C184" i="41"/>
  <c r="B185" i="41"/>
  <c r="C185" i="41"/>
  <c r="B186" i="41"/>
  <c r="C186" i="41"/>
  <c r="B187" i="41"/>
  <c r="C187" i="41"/>
  <c r="B188" i="41"/>
  <c r="C188" i="41"/>
  <c r="B189" i="41"/>
  <c r="C189" i="41"/>
  <c r="B190" i="41"/>
  <c r="C190" i="41"/>
  <c r="B191" i="41"/>
  <c r="C191" i="41"/>
  <c r="B192" i="41"/>
  <c r="C192" i="41"/>
  <c r="B193" i="41"/>
  <c r="C193" i="41"/>
  <c r="B194" i="41"/>
  <c r="C194" i="41"/>
  <c r="B195" i="41"/>
  <c r="C195" i="41"/>
  <c r="B196" i="41"/>
  <c r="C196" i="41"/>
  <c r="B197" i="41"/>
  <c r="C197" i="41"/>
  <c r="B198" i="41"/>
  <c r="C198" i="41"/>
  <c r="B199" i="41"/>
  <c r="C199" i="41"/>
  <c r="B200" i="41"/>
  <c r="C200" i="41"/>
  <c r="B201" i="41"/>
  <c r="C201" i="41"/>
  <c r="B202" i="41"/>
  <c r="C202" i="41"/>
  <c r="B203" i="41"/>
  <c r="C203" i="41"/>
  <c r="B204" i="41"/>
  <c r="C204" i="41"/>
  <c r="B205" i="41"/>
  <c r="C205" i="41"/>
  <c r="B206" i="41"/>
  <c r="C206" i="41"/>
  <c r="B207" i="41"/>
  <c r="C207" i="41"/>
  <c r="B208" i="41"/>
  <c r="C208" i="41"/>
  <c r="B209" i="41"/>
  <c r="C209" i="41"/>
  <c r="B210" i="41"/>
  <c r="C210" i="41"/>
  <c r="B211" i="41"/>
  <c r="C211" i="41"/>
  <c r="B212" i="41"/>
  <c r="C212" i="41"/>
  <c r="B213" i="41"/>
  <c r="C213" i="41"/>
  <c r="B214" i="41"/>
  <c r="C214" i="41"/>
  <c r="B215" i="41"/>
  <c r="C215" i="41"/>
  <c r="B216" i="41"/>
  <c r="C216" i="41"/>
  <c r="B217" i="41"/>
  <c r="C217" i="41"/>
  <c r="B218" i="41"/>
  <c r="C218" i="41"/>
  <c r="B219" i="41"/>
  <c r="C219" i="41"/>
  <c r="B220" i="41"/>
  <c r="C220" i="41"/>
  <c r="B221" i="41"/>
  <c r="C221" i="41"/>
  <c r="B222" i="41"/>
  <c r="C222" i="41"/>
  <c r="B223" i="41"/>
  <c r="C223" i="41"/>
  <c r="B224" i="41"/>
  <c r="C224" i="41"/>
  <c r="B225" i="41"/>
  <c r="C225" i="41"/>
  <c r="B226" i="41"/>
  <c r="C226" i="41"/>
  <c r="B227" i="41"/>
  <c r="B228" i="41"/>
  <c r="C228" i="41"/>
  <c r="B229" i="41"/>
  <c r="C229" i="41"/>
  <c r="B230" i="41"/>
  <c r="C230" i="41"/>
  <c r="B231" i="41"/>
  <c r="C231" i="41"/>
  <c r="B232" i="41"/>
  <c r="C232" i="41"/>
  <c r="B233" i="41"/>
  <c r="C233" i="41"/>
  <c r="B234" i="41"/>
  <c r="C234" i="41"/>
  <c r="B235" i="41"/>
  <c r="C235" i="41"/>
  <c r="B236" i="41"/>
  <c r="C236" i="41"/>
  <c r="B237" i="41"/>
  <c r="C237" i="41"/>
  <c r="B238" i="41"/>
  <c r="C238" i="41"/>
  <c r="B239" i="41"/>
  <c r="C239" i="41"/>
  <c r="B240" i="41"/>
  <c r="C240" i="41"/>
  <c r="B241" i="41"/>
  <c r="C241" i="41"/>
  <c r="B242" i="41"/>
  <c r="C242" i="41"/>
  <c r="B243" i="41"/>
  <c r="C243" i="41"/>
  <c r="B244" i="41"/>
  <c r="C244" i="41"/>
  <c r="B245" i="41"/>
  <c r="C245" i="41"/>
  <c r="B246" i="41"/>
  <c r="C246" i="41"/>
  <c r="B247" i="41"/>
  <c r="C247" i="41"/>
  <c r="B248" i="41"/>
  <c r="C248" i="41"/>
  <c r="B249" i="41"/>
  <c r="C249" i="41"/>
  <c r="B250" i="41"/>
  <c r="C250" i="41"/>
  <c r="B251" i="41"/>
  <c r="C251" i="41"/>
  <c r="B252" i="41"/>
  <c r="C252" i="41"/>
  <c r="B253" i="41"/>
  <c r="C253" i="41"/>
  <c r="B254" i="41"/>
  <c r="C254" i="41"/>
  <c r="B255" i="41"/>
  <c r="C255" i="41"/>
  <c r="B256" i="41"/>
  <c r="C256" i="41"/>
  <c r="B257" i="41"/>
  <c r="C257" i="41"/>
  <c r="B258" i="41"/>
  <c r="C258" i="41"/>
  <c r="B259" i="41"/>
  <c r="C259" i="41"/>
  <c r="B260" i="41"/>
  <c r="C260" i="41"/>
  <c r="B261" i="41"/>
  <c r="C261" i="41"/>
  <c r="B262" i="41"/>
  <c r="C262" i="41"/>
  <c r="B263" i="41"/>
  <c r="C263" i="41"/>
  <c r="B264" i="41"/>
  <c r="C264" i="41"/>
  <c r="B265" i="41"/>
  <c r="C265" i="41"/>
  <c r="B266" i="41"/>
  <c r="C266" i="41"/>
  <c r="B267" i="41"/>
  <c r="C267" i="41"/>
  <c r="B268" i="41"/>
  <c r="C268" i="41"/>
  <c r="B269" i="41"/>
  <c r="C269" i="41"/>
  <c r="B270" i="41"/>
  <c r="C270" i="41"/>
  <c r="B271" i="41"/>
  <c r="C271" i="41"/>
  <c r="B272" i="41"/>
  <c r="C272" i="41"/>
  <c r="B273" i="41"/>
  <c r="C273" i="41"/>
  <c r="B274" i="41"/>
  <c r="C274" i="41"/>
  <c r="B275" i="41"/>
  <c r="C275" i="41"/>
  <c r="B276" i="41"/>
  <c r="C276" i="41"/>
  <c r="B277" i="41"/>
  <c r="C277" i="41"/>
  <c r="B278" i="41"/>
  <c r="C278" i="41"/>
  <c r="B279" i="41"/>
  <c r="C279" i="41"/>
  <c r="B280" i="41"/>
  <c r="C280" i="41"/>
  <c r="B281" i="41"/>
  <c r="C281" i="41"/>
  <c r="B282" i="41"/>
  <c r="C282" i="41"/>
  <c r="B283" i="41"/>
  <c r="C283" i="41"/>
  <c r="B284" i="41"/>
  <c r="C284" i="41"/>
  <c r="B285" i="41"/>
  <c r="C285" i="41"/>
  <c r="B286" i="41"/>
  <c r="C286" i="41"/>
  <c r="B287" i="41"/>
  <c r="C287" i="41"/>
  <c r="B288" i="41"/>
  <c r="C288" i="41"/>
  <c r="B289" i="41"/>
  <c r="C289" i="41"/>
  <c r="B290" i="41"/>
  <c r="C290" i="41"/>
  <c r="B291" i="41"/>
  <c r="C291" i="41"/>
  <c r="B292" i="41"/>
  <c r="C292" i="41"/>
  <c r="B293" i="41"/>
  <c r="C293" i="41"/>
  <c r="B294" i="41"/>
  <c r="C294" i="41"/>
  <c r="B295" i="41"/>
  <c r="C295" i="41"/>
  <c r="B296" i="41"/>
  <c r="C296" i="41"/>
  <c r="B297" i="41"/>
  <c r="C297" i="41"/>
  <c r="B298" i="41"/>
  <c r="C298" i="41"/>
  <c r="G38" i="40"/>
  <c r="H38" i="40"/>
  <c r="G39" i="40"/>
  <c r="H39" i="40"/>
  <c r="G40" i="40"/>
  <c r="H40" i="40"/>
  <c r="G41" i="40"/>
  <c r="H41" i="40"/>
  <c r="G42" i="40"/>
  <c r="H42" i="40"/>
  <c r="G43" i="40"/>
  <c r="H43" i="40"/>
  <c r="G44" i="40"/>
  <c r="H44" i="40"/>
  <c r="G45" i="40"/>
  <c r="H45" i="40"/>
  <c r="G46" i="40"/>
  <c r="H46" i="40"/>
  <c r="G47" i="40"/>
  <c r="H47" i="40"/>
  <c r="G48" i="40"/>
  <c r="H48" i="40"/>
  <c r="G49" i="40"/>
  <c r="H49" i="40"/>
  <c r="G50" i="40"/>
  <c r="H50" i="40"/>
  <c r="G51" i="40"/>
  <c r="H51" i="40"/>
  <c r="G52" i="40"/>
  <c r="H52" i="40"/>
  <c r="G53" i="40"/>
  <c r="H53" i="40"/>
  <c r="G54" i="40"/>
  <c r="H54" i="40"/>
  <c r="G55" i="40"/>
  <c r="H55" i="40"/>
  <c r="G56" i="40"/>
  <c r="H56" i="40"/>
  <c r="G57" i="40"/>
  <c r="H57" i="40"/>
  <c r="G58" i="40"/>
  <c r="H58" i="40"/>
  <c r="G59" i="40"/>
  <c r="H59" i="40"/>
  <c r="G60" i="40"/>
  <c r="H60" i="40"/>
  <c r="G61" i="40"/>
  <c r="H61" i="40"/>
  <c r="G62" i="40"/>
  <c r="H62" i="40"/>
  <c r="G63" i="40"/>
  <c r="H63" i="40"/>
  <c r="G64" i="40"/>
  <c r="H64" i="40"/>
  <c r="G65" i="40"/>
  <c r="H65" i="40"/>
  <c r="G66" i="40"/>
  <c r="H66" i="40"/>
  <c r="G67" i="40"/>
  <c r="H67" i="40"/>
  <c r="G68" i="40"/>
  <c r="H68" i="40"/>
  <c r="J284" i="41"/>
  <c r="J285" i="41"/>
  <c r="J286" i="41"/>
  <c r="J287" i="41"/>
  <c r="J288" i="41"/>
  <c r="J289" i="41"/>
  <c r="J290" i="41"/>
  <c r="J291" i="41"/>
  <c r="J292" i="41"/>
  <c r="J293" i="41"/>
  <c r="J294" i="41"/>
  <c r="J295" i="41"/>
  <c r="J296" i="41"/>
  <c r="J297" i="41"/>
  <c r="B16" i="41"/>
  <c r="B15" i="41"/>
  <c r="B14" i="41"/>
  <c r="B13" i="41"/>
  <c r="B12" i="41"/>
  <c r="B11" i="41"/>
  <c r="B10" i="41"/>
  <c r="B9" i="41"/>
  <c r="B8" i="41"/>
  <c r="B7" i="41"/>
  <c r="B6" i="41"/>
  <c r="B5" i="41"/>
  <c r="B4" i="41"/>
  <c r="H3" i="44"/>
  <c r="H4" i="44"/>
  <c r="H5" i="44"/>
  <c r="H6" i="44"/>
  <c r="H7" i="44"/>
  <c r="H8" i="44"/>
  <c r="H9" i="44"/>
  <c r="H10" i="44"/>
  <c r="H11" i="44"/>
  <c r="H12" i="44"/>
  <c r="H13" i="44"/>
  <c r="H14" i="44"/>
  <c r="H15" i="44"/>
  <c r="H16" i="44"/>
  <c r="H17" i="44"/>
  <c r="H18" i="44"/>
  <c r="H19" i="44"/>
  <c r="H20" i="44"/>
  <c r="H21" i="44"/>
  <c r="H22" i="44"/>
  <c r="H23" i="44"/>
  <c r="H24" i="44"/>
  <c r="H25" i="44"/>
  <c r="H26" i="44"/>
  <c r="H27" i="44"/>
  <c r="H28" i="44"/>
  <c r="H29" i="44"/>
  <c r="H30" i="44"/>
  <c r="H31" i="44"/>
  <c r="H32" i="44"/>
  <c r="H33" i="44"/>
  <c r="H34" i="44"/>
  <c r="H35" i="44"/>
  <c r="H36" i="44"/>
  <c r="H37" i="44"/>
  <c r="H38" i="44"/>
  <c r="H39" i="44"/>
  <c r="H40" i="44"/>
  <c r="H41" i="44"/>
  <c r="H42" i="44"/>
  <c r="H43" i="44"/>
  <c r="H44" i="44"/>
  <c r="H45" i="44"/>
  <c r="H46" i="44"/>
  <c r="H47" i="44"/>
  <c r="H48" i="44"/>
  <c r="H49" i="44"/>
  <c r="H50" i="44"/>
  <c r="H51" i="44"/>
  <c r="H52" i="44"/>
  <c r="H53" i="44"/>
  <c r="H54" i="44"/>
  <c r="H55" i="44"/>
  <c r="H56" i="44"/>
  <c r="H57" i="44"/>
  <c r="H58" i="44"/>
  <c r="H59" i="44"/>
  <c r="H60" i="44"/>
  <c r="H61" i="44"/>
  <c r="H62" i="44"/>
  <c r="H63" i="44"/>
  <c r="H64" i="44"/>
  <c r="H65" i="44"/>
  <c r="H66" i="44"/>
  <c r="H67" i="44"/>
  <c r="H68" i="44"/>
  <c r="H69" i="44"/>
  <c r="H70" i="44"/>
  <c r="H71" i="44"/>
  <c r="H72" i="44"/>
  <c r="H73" i="44"/>
  <c r="H74" i="44"/>
  <c r="H75" i="44"/>
  <c r="H76" i="44"/>
  <c r="H77" i="44"/>
  <c r="H78" i="44"/>
  <c r="H79" i="44"/>
  <c r="H80" i="44"/>
  <c r="H81" i="44"/>
  <c r="H82" i="44"/>
  <c r="H83" i="44"/>
  <c r="H84" i="44"/>
  <c r="H85" i="44"/>
  <c r="H86" i="44"/>
  <c r="H87" i="44"/>
  <c r="H88" i="44"/>
  <c r="H89" i="44"/>
  <c r="H90" i="44"/>
  <c r="H91" i="44"/>
  <c r="H92" i="44"/>
  <c r="H93" i="44"/>
  <c r="H94" i="44"/>
  <c r="H95" i="44"/>
  <c r="H96" i="44"/>
  <c r="H97" i="44"/>
  <c r="H2" i="44"/>
  <c r="G299" i="40" l="1"/>
  <c r="B299" i="41" s="1"/>
  <c r="H218" i="40"/>
  <c r="G218" i="40"/>
  <c r="H217" i="40"/>
  <c r="G217" i="40"/>
  <c r="H216" i="40"/>
  <c r="G216" i="40"/>
  <c r="H215" i="40"/>
  <c r="G215" i="40"/>
  <c r="H4" i="40"/>
  <c r="C4" i="41" s="1"/>
  <c r="H5" i="40"/>
  <c r="C5" i="41" s="1"/>
  <c r="H6" i="40"/>
  <c r="C6" i="41" s="1"/>
  <c r="H7" i="40"/>
  <c r="C7" i="41" s="1"/>
  <c r="H8" i="40"/>
  <c r="C8" i="41" s="1"/>
  <c r="H9" i="40"/>
  <c r="C9" i="41" s="1"/>
  <c r="H10" i="40"/>
  <c r="C10" i="41" s="1"/>
  <c r="H11" i="40"/>
  <c r="C11" i="41" s="1"/>
  <c r="H12" i="40"/>
  <c r="C12" i="41" s="1"/>
  <c r="H13" i="40"/>
  <c r="C13" i="41" s="1"/>
  <c r="H14" i="40"/>
  <c r="C14" i="41" s="1"/>
  <c r="H15" i="40"/>
  <c r="C15" i="41" s="1"/>
  <c r="H16" i="40"/>
  <c r="C16" i="41" s="1"/>
  <c r="H17" i="40"/>
  <c r="H18" i="40"/>
  <c r="H19" i="40"/>
  <c r="H20" i="40"/>
  <c r="H21" i="40"/>
  <c r="H22" i="40"/>
  <c r="H23" i="40"/>
  <c r="H24" i="40"/>
  <c r="H25" i="40"/>
  <c r="H26" i="40"/>
  <c r="H27" i="40"/>
  <c r="H28" i="40"/>
  <c r="H29" i="40"/>
  <c r="H30" i="40"/>
  <c r="H31" i="40"/>
  <c r="H32" i="40"/>
  <c r="H33" i="40"/>
  <c r="H34" i="40"/>
  <c r="H35" i="40"/>
  <c r="H36" i="40"/>
  <c r="H37" i="40"/>
  <c r="H69" i="40"/>
  <c r="H70" i="40"/>
  <c r="H71" i="40"/>
  <c r="H72" i="40"/>
  <c r="H73" i="40"/>
  <c r="H74" i="40"/>
  <c r="H75" i="40"/>
  <c r="H76" i="40"/>
  <c r="H77" i="40"/>
  <c r="H78" i="40"/>
  <c r="H79" i="40"/>
  <c r="H80" i="40"/>
  <c r="H81" i="40"/>
  <c r="H82" i="40"/>
  <c r="H83" i="40"/>
  <c r="H84" i="40"/>
  <c r="H85" i="40"/>
  <c r="H86" i="40"/>
  <c r="H87" i="40"/>
  <c r="H88" i="40"/>
  <c r="H89" i="40"/>
  <c r="H90" i="40"/>
  <c r="H91" i="40"/>
  <c r="H92" i="40"/>
  <c r="H93" i="40"/>
  <c r="H94" i="40"/>
  <c r="H95" i="40"/>
  <c r="H96" i="40"/>
  <c r="H97" i="40"/>
  <c r="H98" i="40"/>
  <c r="H99" i="40"/>
  <c r="H100" i="40"/>
  <c r="H101" i="40"/>
  <c r="H102" i="40"/>
  <c r="H103" i="40"/>
  <c r="H104" i="40"/>
  <c r="H105" i="40"/>
  <c r="H106" i="40"/>
  <c r="H107" i="40"/>
  <c r="H108" i="40"/>
  <c r="H109" i="40"/>
  <c r="H110" i="40"/>
  <c r="H111" i="40"/>
  <c r="H112" i="40"/>
  <c r="H113" i="40"/>
  <c r="H114" i="40"/>
  <c r="H115" i="40"/>
  <c r="H116" i="40"/>
  <c r="H117" i="40"/>
  <c r="H118" i="40"/>
  <c r="H119" i="40"/>
  <c r="H120" i="40"/>
  <c r="H121" i="40"/>
  <c r="H122" i="40"/>
  <c r="H123" i="40"/>
  <c r="H124" i="40"/>
  <c r="H125" i="40"/>
  <c r="H126" i="40"/>
  <c r="H127" i="40"/>
  <c r="H128" i="40"/>
  <c r="H129" i="40"/>
  <c r="H130" i="40"/>
  <c r="H131" i="40"/>
  <c r="H132" i="40"/>
  <c r="H133" i="40"/>
  <c r="H134" i="40"/>
  <c r="H135" i="40"/>
  <c r="H136" i="40"/>
  <c r="H137" i="40"/>
  <c r="H138" i="40"/>
  <c r="H139" i="40"/>
  <c r="H140" i="40"/>
  <c r="H141" i="40"/>
  <c r="H142" i="40"/>
  <c r="H143" i="40"/>
  <c r="H144" i="40"/>
  <c r="H145" i="40"/>
  <c r="H146" i="40"/>
  <c r="H147" i="40"/>
  <c r="H148" i="40"/>
  <c r="H149" i="40"/>
  <c r="H150" i="40"/>
  <c r="H151" i="40"/>
  <c r="H152" i="40"/>
  <c r="H153" i="40"/>
  <c r="H154" i="40"/>
  <c r="H155" i="40"/>
  <c r="H156" i="40"/>
  <c r="H157" i="40"/>
  <c r="H158" i="40"/>
  <c r="H159" i="40"/>
  <c r="H160" i="40"/>
  <c r="H161" i="40"/>
  <c r="H162" i="40"/>
  <c r="H163" i="40"/>
  <c r="H164" i="40"/>
  <c r="H165" i="40"/>
  <c r="H166" i="40"/>
  <c r="H167" i="40"/>
  <c r="H168" i="40"/>
  <c r="H169" i="40"/>
  <c r="H170" i="40"/>
  <c r="H171" i="40"/>
  <c r="H172" i="40"/>
  <c r="H173" i="40"/>
  <c r="H174" i="40"/>
  <c r="H175" i="40"/>
  <c r="H176" i="40"/>
  <c r="H177" i="40"/>
  <c r="H178" i="40"/>
  <c r="H179" i="40"/>
  <c r="H180" i="40"/>
  <c r="H181" i="40"/>
  <c r="H182" i="40"/>
  <c r="H183" i="40"/>
  <c r="H184" i="40"/>
  <c r="H185" i="40"/>
  <c r="H186" i="40"/>
  <c r="H187" i="40"/>
  <c r="H188" i="40"/>
  <c r="H189" i="40"/>
  <c r="H190" i="40"/>
  <c r="H191" i="40"/>
  <c r="H192" i="40"/>
  <c r="H193" i="40"/>
  <c r="H194" i="40"/>
  <c r="H195" i="40"/>
  <c r="H196" i="40"/>
  <c r="H197" i="40"/>
  <c r="H198" i="40"/>
  <c r="H199" i="40"/>
  <c r="H200" i="40"/>
  <c r="H201" i="40"/>
  <c r="H202" i="40"/>
  <c r="H203" i="40"/>
  <c r="H204" i="40"/>
  <c r="H205" i="40"/>
  <c r="H206" i="40"/>
  <c r="H207" i="40"/>
  <c r="H208" i="40"/>
  <c r="H209" i="40"/>
  <c r="H210" i="40"/>
  <c r="H211" i="40"/>
  <c r="H212" i="40"/>
  <c r="H213" i="40"/>
  <c r="H214" i="40"/>
  <c r="H219" i="40"/>
  <c r="H220" i="40"/>
  <c r="H221" i="40"/>
  <c r="H222" i="40"/>
  <c r="H223" i="40"/>
  <c r="H224" i="40"/>
  <c r="H225" i="40"/>
  <c r="H226" i="40"/>
  <c r="H227" i="40"/>
  <c r="C227" i="41" s="1"/>
  <c r="H228" i="40"/>
  <c r="H229" i="40"/>
  <c r="H230" i="40"/>
  <c r="H231" i="40"/>
  <c r="H232" i="40"/>
  <c r="H233" i="40"/>
  <c r="H234" i="40"/>
  <c r="H235" i="40"/>
  <c r="H236" i="40"/>
  <c r="H237" i="40"/>
  <c r="H238" i="40"/>
  <c r="H239" i="40"/>
  <c r="H240" i="40"/>
  <c r="H241" i="40"/>
  <c r="H242" i="40"/>
  <c r="H243" i="40"/>
  <c r="H244" i="40"/>
  <c r="H245" i="40"/>
  <c r="H246" i="40"/>
  <c r="H247" i="40"/>
  <c r="H248" i="40"/>
  <c r="H249" i="40"/>
  <c r="H250" i="40"/>
  <c r="H251" i="40"/>
  <c r="H252" i="40"/>
  <c r="H253" i="40"/>
  <c r="H254" i="40"/>
  <c r="H255" i="40"/>
  <c r="H256" i="40"/>
  <c r="H257" i="40"/>
  <c r="H258" i="40"/>
  <c r="H259" i="40"/>
  <c r="H260" i="40"/>
  <c r="H261" i="40"/>
  <c r="H262" i="40"/>
  <c r="H263" i="40"/>
  <c r="H264" i="40"/>
  <c r="H265" i="40"/>
  <c r="H266" i="40"/>
  <c r="H267" i="40"/>
  <c r="H268" i="40"/>
  <c r="H269" i="40"/>
  <c r="H270" i="40"/>
  <c r="H271" i="40"/>
  <c r="H272" i="40"/>
  <c r="H273" i="40"/>
  <c r="H274" i="40"/>
  <c r="H275" i="40"/>
  <c r="H276" i="40"/>
  <c r="H277" i="40"/>
  <c r="H278" i="40"/>
  <c r="H279" i="40"/>
  <c r="H280" i="40"/>
  <c r="H281" i="40"/>
  <c r="H282" i="40"/>
  <c r="H283" i="40"/>
  <c r="H284" i="40"/>
  <c r="H285" i="40"/>
  <c r="H286" i="40"/>
  <c r="H287" i="40"/>
  <c r="H288" i="40"/>
  <c r="H289" i="40"/>
  <c r="H290" i="40"/>
  <c r="H291" i="40"/>
  <c r="H292" i="40"/>
  <c r="H293" i="40"/>
  <c r="H294" i="40"/>
  <c r="H295" i="40"/>
  <c r="H296" i="40"/>
  <c r="H297" i="40"/>
  <c r="H298" i="40"/>
  <c r="H299" i="40"/>
  <c r="C299" i="41" s="1"/>
  <c r="G253" i="40"/>
  <c r="G254" i="40"/>
  <c r="G4" i="40"/>
  <c r="C3" i="42" l="1"/>
  <c r="C4" i="42"/>
  <c r="C5" i="42"/>
  <c r="C6" i="42"/>
  <c r="D6" i="42" s="1"/>
  <c r="B6" i="42" s="1"/>
  <c r="C7" i="42"/>
  <c r="D7" i="42" s="1"/>
  <c r="B7" i="42" s="1"/>
  <c r="C8" i="42"/>
  <c r="C9" i="42"/>
  <c r="C10" i="42"/>
  <c r="C11" i="42"/>
  <c r="D11" i="42" s="1"/>
  <c r="B11" i="42" s="1"/>
  <c r="C12" i="42"/>
  <c r="D12" i="42" s="1"/>
  <c r="B12" i="42" s="1"/>
  <c r="C13" i="42"/>
  <c r="C14" i="42"/>
  <c r="C15" i="42"/>
  <c r="C16" i="42"/>
  <c r="D16" i="42" s="1"/>
  <c r="B16" i="42" s="1"/>
  <c r="C17" i="42"/>
  <c r="D17" i="42" s="1"/>
  <c r="B17" i="42" s="1"/>
  <c r="C18" i="42"/>
  <c r="C19" i="42"/>
  <c r="C20" i="42"/>
  <c r="C21" i="42"/>
  <c r="D21" i="42" s="1"/>
  <c r="B21" i="42" s="1"/>
  <c r="C22" i="42"/>
  <c r="D22" i="42" s="1"/>
  <c r="B22" i="42" s="1"/>
  <c r="C23" i="42"/>
  <c r="C24" i="42"/>
  <c r="C25" i="42"/>
  <c r="C26" i="42"/>
  <c r="D26" i="42" s="1"/>
  <c r="B26" i="42" s="1"/>
  <c r="C27" i="42"/>
  <c r="D27" i="42" s="1"/>
  <c r="B27" i="42" s="1"/>
  <c r="C28" i="42"/>
  <c r="C29" i="42"/>
  <c r="C30" i="42"/>
  <c r="C31" i="42"/>
  <c r="D31" i="42" s="1"/>
  <c r="B31" i="42" s="1"/>
  <c r="C32" i="42"/>
  <c r="D32" i="42" s="1"/>
  <c r="B32" i="42" s="1"/>
  <c r="C33" i="42"/>
  <c r="C34" i="42"/>
  <c r="C35" i="42"/>
  <c r="C36" i="42"/>
  <c r="C37" i="42"/>
  <c r="D37" i="42" s="1"/>
  <c r="B37" i="42" s="1"/>
  <c r="C38" i="42"/>
  <c r="D38" i="42" s="1"/>
  <c r="B38" i="42" s="1"/>
  <c r="C39" i="42"/>
  <c r="C40" i="42"/>
  <c r="C41" i="42"/>
  <c r="C42" i="42"/>
  <c r="C43" i="42"/>
  <c r="D43" i="42" s="1"/>
  <c r="B43" i="42" s="1"/>
  <c r="C44" i="42"/>
  <c r="C45" i="42"/>
  <c r="D45" i="42" s="1"/>
  <c r="B45" i="42" s="1"/>
  <c r="C46" i="42"/>
  <c r="C47" i="42"/>
  <c r="C48" i="42"/>
  <c r="C49" i="42"/>
  <c r="C50" i="42"/>
  <c r="D50" i="42" s="1"/>
  <c r="B50" i="42" s="1"/>
  <c r="C51" i="42"/>
  <c r="D51" i="42" s="1"/>
  <c r="B51" i="42" s="1"/>
  <c r="C52" i="42"/>
  <c r="C53" i="42"/>
  <c r="C54" i="42"/>
  <c r="C55" i="42"/>
  <c r="C56" i="42"/>
  <c r="D56" i="42" s="1"/>
  <c r="B56" i="42" s="1"/>
  <c r="C57" i="42"/>
  <c r="D57" i="42" s="1"/>
  <c r="B57" i="42" s="1"/>
  <c r="C58" i="42"/>
  <c r="C59" i="42"/>
  <c r="C60" i="42"/>
  <c r="D60" i="42" s="1"/>
  <c r="B60" i="42" s="1"/>
  <c r="C61" i="42"/>
  <c r="D61" i="42" s="1"/>
  <c r="B61" i="42" s="1"/>
  <c r="C62" i="42"/>
  <c r="C63" i="42"/>
  <c r="C64" i="42"/>
  <c r="C65" i="42"/>
  <c r="C66" i="42"/>
  <c r="D66" i="42" s="1"/>
  <c r="B66" i="42" s="1"/>
  <c r="C67" i="42"/>
  <c r="D67" i="42" s="1"/>
  <c r="B67" i="42" s="1"/>
  <c r="C68" i="42"/>
  <c r="C69" i="42"/>
  <c r="C70" i="42"/>
  <c r="C71" i="42"/>
  <c r="C72" i="42"/>
  <c r="C73" i="42"/>
  <c r="D73" i="42" s="1"/>
  <c r="B73" i="42" s="1"/>
  <c r="C74" i="42"/>
  <c r="D74" i="42" s="1"/>
  <c r="B74" i="42" s="1"/>
  <c r="C75" i="42"/>
  <c r="C76" i="42"/>
  <c r="C77" i="42"/>
  <c r="C78" i="42"/>
  <c r="C79" i="42"/>
  <c r="C80" i="42"/>
  <c r="D80" i="42" s="1"/>
  <c r="B80" i="42" s="1"/>
  <c r="C81" i="42"/>
  <c r="D81" i="42" s="1"/>
  <c r="B81" i="42" s="1"/>
  <c r="C82" i="42"/>
  <c r="D82" i="42" s="1"/>
  <c r="B82" i="42" s="1"/>
  <c r="C83" i="42"/>
  <c r="D83" i="42" s="1"/>
  <c r="B83" i="42" s="1"/>
  <c r="C84" i="42"/>
  <c r="D84" i="42" s="1"/>
  <c r="B84" i="42" s="1"/>
  <c r="C85" i="42"/>
  <c r="C86" i="42"/>
  <c r="D86" i="42" s="1"/>
  <c r="B86" i="42" s="1"/>
  <c r="C87" i="42"/>
  <c r="C88" i="42"/>
  <c r="C89" i="42"/>
  <c r="D89" i="42" s="1"/>
  <c r="B89" i="42" s="1"/>
  <c r="C90" i="42"/>
  <c r="D90" i="42" s="1"/>
  <c r="B90" i="42" s="1"/>
  <c r="C91" i="42"/>
  <c r="C92" i="42"/>
  <c r="C93" i="42"/>
  <c r="D93" i="42" s="1"/>
  <c r="B93" i="42" s="1"/>
  <c r="C94" i="42"/>
  <c r="D94" i="42" s="1"/>
  <c r="B94" i="42" s="1"/>
  <c r="C95" i="42"/>
  <c r="C96" i="42"/>
  <c r="D96" i="42" s="1"/>
  <c r="B96" i="42" s="1"/>
  <c r="C97" i="42"/>
  <c r="D97" i="42" s="1"/>
  <c r="B97" i="42" s="1"/>
  <c r="C98" i="42"/>
  <c r="C99" i="42"/>
  <c r="C100" i="42"/>
  <c r="C101" i="42"/>
  <c r="C102" i="42"/>
  <c r="C103" i="42"/>
  <c r="C104" i="42"/>
  <c r="C105" i="42"/>
  <c r="D105" i="42" s="1"/>
  <c r="B105" i="42" s="1"/>
  <c r="C106" i="42"/>
  <c r="D106" i="42" s="1"/>
  <c r="B106" i="42" s="1"/>
  <c r="C107" i="42"/>
  <c r="C108" i="42"/>
  <c r="C109" i="42"/>
  <c r="C110" i="42"/>
  <c r="C111" i="42"/>
  <c r="C112" i="42"/>
  <c r="C113" i="42"/>
  <c r="C114" i="42"/>
  <c r="C115" i="42"/>
  <c r="C116" i="42"/>
  <c r="C117" i="42"/>
  <c r="C118" i="42"/>
  <c r="D118" i="42" s="1"/>
  <c r="B118" i="42" s="1"/>
  <c r="C119" i="42"/>
  <c r="D119" i="42" s="1"/>
  <c r="B119" i="42" s="1"/>
  <c r="C120" i="42"/>
  <c r="C121" i="42"/>
  <c r="C122" i="42"/>
  <c r="C123" i="42"/>
  <c r="C124" i="42"/>
  <c r="C125" i="42"/>
  <c r="C126" i="42"/>
  <c r="C127" i="42"/>
  <c r="C128" i="42"/>
  <c r="C129" i="42"/>
  <c r="C130" i="42"/>
  <c r="C131" i="42"/>
  <c r="D131" i="42" s="1"/>
  <c r="B131" i="42" s="1"/>
  <c r="C132" i="42"/>
  <c r="D132" i="42" s="1"/>
  <c r="B132" i="42" s="1"/>
  <c r="C133" i="42"/>
  <c r="C134" i="42"/>
  <c r="C135" i="42"/>
  <c r="C136" i="42"/>
  <c r="D136" i="42" s="1"/>
  <c r="B136" i="42" s="1"/>
  <c r="C137" i="42"/>
  <c r="C138" i="42"/>
  <c r="D138" i="42" s="1"/>
  <c r="B138" i="42" s="1"/>
  <c r="C139" i="42"/>
  <c r="C140" i="42"/>
  <c r="C141" i="42"/>
  <c r="C142" i="42"/>
  <c r="C143" i="42"/>
  <c r="C144" i="42"/>
  <c r="D144" i="42" s="1"/>
  <c r="B144" i="42" s="1"/>
  <c r="C145" i="42"/>
  <c r="D145" i="42" s="1"/>
  <c r="B145" i="42" s="1"/>
  <c r="C146" i="42"/>
  <c r="C147" i="42"/>
  <c r="C148" i="42"/>
  <c r="C149" i="42"/>
  <c r="C150" i="42"/>
  <c r="C151" i="42"/>
  <c r="D151" i="42" s="1"/>
  <c r="B151" i="42" s="1"/>
  <c r="C152" i="42"/>
  <c r="D152" i="42" s="1"/>
  <c r="B152" i="42" s="1"/>
  <c r="C153" i="42"/>
  <c r="C154" i="42"/>
  <c r="C155" i="42"/>
  <c r="D155" i="42" s="1"/>
  <c r="B155" i="42" s="1"/>
  <c r="C156" i="42"/>
  <c r="D156" i="42" s="1"/>
  <c r="B156" i="42" s="1"/>
  <c r="C157" i="42"/>
  <c r="C158" i="42"/>
  <c r="C159" i="42"/>
  <c r="C160" i="42"/>
  <c r="C161" i="42"/>
  <c r="D161" i="42" s="1"/>
  <c r="B161" i="42" s="1"/>
  <c r="C162" i="42"/>
  <c r="D162" i="42" s="1"/>
  <c r="B162" i="42" s="1"/>
  <c r="C163" i="42"/>
  <c r="C164" i="42"/>
  <c r="C165" i="42"/>
  <c r="C166" i="42"/>
  <c r="C167" i="42"/>
  <c r="D167" i="42" s="1"/>
  <c r="B167" i="42" s="1"/>
  <c r="C168" i="42"/>
  <c r="D168" i="42" s="1"/>
  <c r="B168" i="42" s="1"/>
  <c r="C169" i="42"/>
  <c r="C170" i="42"/>
  <c r="C171" i="42"/>
  <c r="C172" i="42"/>
  <c r="D172" i="42" s="1"/>
  <c r="B172" i="42" s="1"/>
  <c r="C173" i="42"/>
  <c r="C174" i="42"/>
  <c r="D174" i="42" s="1"/>
  <c r="B174" i="42" s="1"/>
  <c r="C175" i="42"/>
  <c r="C176" i="42"/>
  <c r="C177" i="42"/>
  <c r="C178" i="42"/>
  <c r="D178" i="42" s="1"/>
  <c r="B178" i="42" s="1"/>
  <c r="C179" i="42"/>
  <c r="D179" i="42" s="1"/>
  <c r="B179" i="42" s="1"/>
  <c r="C180" i="42"/>
  <c r="C181" i="42"/>
  <c r="C182" i="42"/>
  <c r="C183" i="42"/>
  <c r="D183" i="42" s="1"/>
  <c r="B183" i="42" s="1"/>
  <c r="C184" i="42"/>
  <c r="D184" i="42" s="1"/>
  <c r="B184" i="42" s="1"/>
  <c r="C185" i="42"/>
  <c r="C186" i="42"/>
  <c r="C187" i="42"/>
  <c r="D187" i="42" s="1"/>
  <c r="B187" i="42" s="1"/>
  <c r="C188" i="42"/>
  <c r="D188" i="42" s="1"/>
  <c r="B188" i="42" s="1"/>
  <c r="C189" i="42"/>
  <c r="C190" i="42"/>
  <c r="C191" i="42"/>
  <c r="C192" i="42"/>
  <c r="D192" i="42" s="1"/>
  <c r="B192" i="42" s="1"/>
  <c r="C193" i="42"/>
  <c r="D193" i="42" s="1"/>
  <c r="B193" i="42" s="1"/>
  <c r="C194" i="42"/>
  <c r="C195" i="42"/>
  <c r="C196" i="42"/>
  <c r="C197" i="42"/>
  <c r="D197" i="42" s="1"/>
  <c r="B197" i="42" s="1"/>
  <c r="C198" i="42"/>
  <c r="D198" i="42" s="1"/>
  <c r="B198" i="42" s="1"/>
  <c r="C199" i="42"/>
  <c r="C200" i="42"/>
  <c r="C201" i="42"/>
  <c r="D201" i="42" s="1"/>
  <c r="B201" i="42" s="1"/>
  <c r="C202" i="42"/>
  <c r="D202" i="42" s="1"/>
  <c r="B202" i="42" s="1"/>
  <c r="C203" i="42"/>
  <c r="C204" i="42"/>
  <c r="D204" i="42" s="1"/>
  <c r="B204" i="42" s="1"/>
  <c r="C205" i="42"/>
  <c r="C206" i="42"/>
  <c r="D206" i="42" s="1"/>
  <c r="B206" i="42" s="1"/>
  <c r="C207" i="42"/>
  <c r="C208" i="42"/>
  <c r="C209" i="42"/>
  <c r="D209" i="42" s="1"/>
  <c r="B209" i="42" s="1"/>
  <c r="C210" i="42"/>
  <c r="D210" i="42" s="1"/>
  <c r="B210" i="42" s="1"/>
  <c r="C211" i="42"/>
  <c r="C212" i="42"/>
  <c r="C213" i="42"/>
  <c r="D213" i="42" s="1"/>
  <c r="B213" i="42" s="1"/>
  <c r="C214" i="42"/>
  <c r="D214" i="42" s="1"/>
  <c r="B214" i="42" s="1"/>
  <c r="C215" i="42"/>
  <c r="C216" i="42"/>
  <c r="C217" i="42"/>
  <c r="C218" i="42"/>
  <c r="C219" i="42"/>
  <c r="C220" i="42"/>
  <c r="D220" i="42" s="1"/>
  <c r="B220" i="42" s="1"/>
  <c r="C221" i="42"/>
  <c r="D221" i="42" s="1"/>
  <c r="B221" i="42" s="1"/>
  <c r="C222" i="42"/>
  <c r="C223" i="42"/>
  <c r="C224" i="42"/>
  <c r="C225" i="42"/>
  <c r="C226" i="42"/>
  <c r="C227" i="42"/>
  <c r="D227" i="42" s="1"/>
  <c r="B227" i="42" s="1"/>
  <c r="C228" i="42"/>
  <c r="D228" i="42" s="1"/>
  <c r="B228" i="42" s="1"/>
  <c r="C229" i="42"/>
  <c r="C230" i="42"/>
  <c r="C231" i="42"/>
  <c r="C232" i="42"/>
  <c r="C233" i="42"/>
  <c r="D233" i="42" s="1"/>
  <c r="B233" i="42" s="1"/>
  <c r="C234" i="42"/>
  <c r="D234" i="42" s="1"/>
  <c r="B234" i="42" s="1"/>
  <c r="C235" i="42"/>
  <c r="C236" i="42"/>
  <c r="C237" i="42"/>
  <c r="C238" i="42"/>
  <c r="C239" i="42"/>
  <c r="C240" i="42"/>
  <c r="D240" i="42" s="1"/>
  <c r="B240" i="42" s="1"/>
  <c r="C241" i="42"/>
  <c r="D241" i="42" s="1"/>
  <c r="B241" i="42" s="1"/>
  <c r="C242" i="42"/>
  <c r="C243" i="42"/>
  <c r="C244" i="42"/>
  <c r="C245" i="42"/>
  <c r="C246" i="42"/>
  <c r="C247" i="42"/>
  <c r="D247" i="42" s="1"/>
  <c r="B247" i="42" s="1"/>
  <c r="C248" i="42"/>
  <c r="D248" i="42" s="1"/>
  <c r="B248" i="42" s="1"/>
  <c r="C249" i="42"/>
  <c r="C250" i="42"/>
  <c r="C251" i="42"/>
  <c r="C252" i="42"/>
  <c r="D252" i="42" s="1"/>
  <c r="B252" i="42" s="1"/>
  <c r="C253" i="42"/>
  <c r="C254" i="42"/>
  <c r="D254" i="42" s="1"/>
  <c r="B254" i="42" s="1"/>
  <c r="C255" i="42"/>
  <c r="C256" i="42"/>
  <c r="C257" i="42"/>
  <c r="C258" i="42"/>
  <c r="C259" i="42"/>
  <c r="C260" i="42"/>
  <c r="C261" i="42"/>
  <c r="D261" i="42" s="1"/>
  <c r="B261" i="42" s="1"/>
  <c r="C262" i="42"/>
  <c r="D262" i="42" s="1"/>
  <c r="B262" i="42" s="1"/>
  <c r="C263" i="42"/>
  <c r="C264" i="42"/>
  <c r="C265" i="42"/>
  <c r="C266" i="42"/>
  <c r="C267" i="42"/>
  <c r="C268" i="42"/>
  <c r="C269" i="42"/>
  <c r="C270" i="42"/>
  <c r="C271" i="42"/>
  <c r="C272" i="42"/>
  <c r="C273" i="42"/>
  <c r="D273" i="42" s="1"/>
  <c r="B273" i="42" s="1"/>
  <c r="C274" i="42"/>
  <c r="D274" i="42" s="1"/>
  <c r="B274" i="42" s="1"/>
  <c r="C275" i="42"/>
  <c r="C276" i="42"/>
  <c r="C277" i="42"/>
  <c r="C278" i="42"/>
  <c r="C279" i="42"/>
  <c r="C280" i="42"/>
  <c r="C281" i="42"/>
  <c r="C282" i="42"/>
  <c r="C283" i="42"/>
  <c r="C284" i="42"/>
  <c r="C285" i="42"/>
  <c r="D285" i="42" s="1"/>
  <c r="B285" i="42" s="1"/>
  <c r="C286" i="42"/>
  <c r="D286" i="42" s="1"/>
  <c r="B286" i="42" s="1"/>
  <c r="C287" i="42"/>
  <c r="C288" i="42"/>
  <c r="C289" i="42"/>
  <c r="C290" i="42"/>
  <c r="C291" i="42"/>
  <c r="D291" i="42" s="1"/>
  <c r="B291" i="42" s="1"/>
  <c r="C292" i="42"/>
  <c r="D292" i="42" s="1"/>
  <c r="B292" i="42" s="1"/>
  <c r="C293" i="42"/>
  <c r="C294" i="42"/>
  <c r="D294" i="42" s="1"/>
  <c r="B294" i="42" s="1"/>
  <c r="C295" i="42"/>
  <c r="D295" i="42" s="1"/>
  <c r="B295" i="42" s="1"/>
  <c r="C296" i="42"/>
  <c r="C297" i="42"/>
  <c r="D297" i="42" s="1"/>
  <c r="B297" i="42" s="1"/>
  <c r="C298" i="42"/>
  <c r="D298" i="42" s="1"/>
  <c r="B298" i="42" s="1"/>
  <c r="C299" i="42"/>
  <c r="D299" i="42" s="1"/>
  <c r="B299" i="42" s="1"/>
  <c r="C300" i="42"/>
  <c r="D300" i="42" s="1"/>
  <c r="B300" i="42" s="1"/>
  <c r="C301" i="42"/>
  <c r="D301" i="42" s="1"/>
  <c r="B301" i="42" s="1"/>
  <c r="C302" i="42"/>
  <c r="C303" i="42"/>
  <c r="D303" i="42" s="1"/>
  <c r="B303" i="42" s="1"/>
  <c r="C304" i="42"/>
  <c r="C305" i="42"/>
  <c r="C306" i="42"/>
  <c r="D306" i="42" s="1"/>
  <c r="B306" i="42" s="1"/>
  <c r="C307" i="42"/>
  <c r="D307" i="42" s="1"/>
  <c r="B307" i="42" s="1"/>
  <c r="C308" i="42"/>
  <c r="C309" i="42"/>
  <c r="C310" i="42"/>
  <c r="D310" i="42" s="1"/>
  <c r="B310" i="42" s="1"/>
  <c r="C311" i="42"/>
  <c r="D311" i="42" s="1"/>
  <c r="B311" i="42" s="1"/>
  <c r="C312" i="42"/>
  <c r="C313" i="42"/>
  <c r="C314" i="42"/>
  <c r="D314" i="42" s="1"/>
  <c r="B314" i="42" s="1"/>
  <c r="C315" i="42"/>
  <c r="D315" i="42" s="1"/>
  <c r="B315" i="42" s="1"/>
  <c r="C316" i="42"/>
  <c r="C317" i="42"/>
  <c r="C318" i="42"/>
  <c r="D318" i="42" s="1"/>
  <c r="B318" i="42" s="1"/>
  <c r="C319" i="42"/>
  <c r="D319" i="42" s="1"/>
  <c r="B319" i="42" s="1"/>
  <c r="C320" i="42"/>
  <c r="C321" i="42"/>
  <c r="C322" i="42"/>
  <c r="D322" i="42" s="1"/>
  <c r="B322" i="42" s="1"/>
  <c r="C323" i="42"/>
  <c r="D323" i="42" s="1"/>
  <c r="B323" i="42" s="1"/>
  <c r="C324" i="42"/>
  <c r="C325" i="42"/>
  <c r="C326" i="42"/>
  <c r="D326" i="42" s="1"/>
  <c r="B326" i="42" s="1"/>
  <c r="C327" i="42"/>
  <c r="D327" i="42" s="1"/>
  <c r="B327" i="42" s="1"/>
  <c r="C328" i="42"/>
  <c r="D328" i="42" s="1"/>
  <c r="B328" i="42" s="1"/>
  <c r="C329" i="42"/>
  <c r="D329" i="42" s="1"/>
  <c r="B329" i="42" s="1"/>
  <c r="C330" i="42"/>
  <c r="D330" i="42" s="1"/>
  <c r="B330" i="42" s="1"/>
  <c r="C331" i="42"/>
  <c r="C332" i="42"/>
  <c r="D332" i="42" s="1"/>
  <c r="B332" i="42" s="1"/>
  <c r="C333" i="42"/>
  <c r="C334" i="42"/>
  <c r="C335" i="42"/>
  <c r="D335" i="42" s="1"/>
  <c r="B335" i="42" s="1"/>
  <c r="C336" i="42"/>
  <c r="D336" i="42" s="1"/>
  <c r="B336" i="42" s="1"/>
  <c r="C337" i="42"/>
  <c r="C338" i="42"/>
  <c r="C339" i="42"/>
  <c r="D339" i="42" s="1"/>
  <c r="B339" i="42" s="1"/>
  <c r="C340" i="42"/>
  <c r="D340" i="42" s="1"/>
  <c r="B340" i="42" s="1"/>
  <c r="C341" i="42"/>
  <c r="C342" i="42"/>
  <c r="C343" i="42"/>
  <c r="D343" i="42" s="1"/>
  <c r="B343" i="42" s="1"/>
  <c r="C344" i="42"/>
  <c r="D344" i="42" s="1"/>
  <c r="B344" i="42" s="1"/>
  <c r="C345" i="42"/>
  <c r="C346" i="42"/>
  <c r="C347" i="42"/>
  <c r="D347" i="42" s="1"/>
  <c r="B347" i="42" s="1"/>
  <c r="C348" i="42"/>
  <c r="D348" i="42" s="1"/>
  <c r="B348" i="42" s="1"/>
  <c r="C349" i="42"/>
  <c r="C350" i="42"/>
  <c r="C351" i="42"/>
  <c r="D351" i="42" s="1"/>
  <c r="B351" i="42" s="1"/>
  <c r="C352" i="42"/>
  <c r="D352" i="42" s="1"/>
  <c r="B352" i="42" s="1"/>
  <c r="C353" i="42"/>
  <c r="C354" i="42"/>
  <c r="C355" i="42"/>
  <c r="D355" i="42" s="1"/>
  <c r="B355" i="42" s="1"/>
  <c r="C356" i="42"/>
  <c r="D356" i="42" s="1"/>
  <c r="B356" i="42" s="1"/>
  <c r="C357" i="42"/>
  <c r="C358" i="42"/>
  <c r="D358" i="42" s="1"/>
  <c r="B358" i="42" s="1"/>
  <c r="C359" i="42"/>
  <c r="D359" i="42" s="1"/>
  <c r="B359" i="42" s="1"/>
  <c r="C360" i="42"/>
  <c r="C361" i="42"/>
  <c r="D361" i="42" s="1"/>
  <c r="B361" i="42" s="1"/>
  <c r="C362" i="42"/>
  <c r="C363" i="42"/>
  <c r="D363" i="42" s="1"/>
  <c r="B363" i="42" s="1"/>
  <c r="C364" i="42"/>
  <c r="C365" i="42"/>
  <c r="C366" i="42"/>
  <c r="D366" i="42" s="1"/>
  <c r="B366" i="42" s="1"/>
  <c r="C367" i="42"/>
  <c r="D367" i="42" s="1"/>
  <c r="B367" i="42" s="1"/>
  <c r="C368" i="42"/>
  <c r="C369" i="42"/>
  <c r="C370" i="42"/>
  <c r="D370" i="42" s="1"/>
  <c r="B370" i="42" s="1"/>
  <c r="C371" i="42"/>
  <c r="D371" i="42" s="1"/>
  <c r="B371" i="42" s="1"/>
  <c r="C372" i="42"/>
  <c r="C373" i="42"/>
  <c r="C374" i="42"/>
  <c r="D374" i="42" s="1"/>
  <c r="B374" i="42" s="1"/>
  <c r="C375" i="42"/>
  <c r="D375" i="42" s="1"/>
  <c r="B375" i="42" s="1"/>
  <c r="C376" i="42"/>
  <c r="C377" i="42"/>
  <c r="C378" i="42"/>
  <c r="D378" i="42" s="1"/>
  <c r="B378" i="42" s="1"/>
  <c r="C379" i="42"/>
  <c r="D379" i="42" s="1"/>
  <c r="B379" i="42" s="1"/>
  <c r="C380" i="42"/>
  <c r="C381" i="42"/>
  <c r="C382" i="42"/>
  <c r="D382" i="42" s="1"/>
  <c r="B382" i="42" s="1"/>
  <c r="C383" i="42"/>
  <c r="D383" i="42" s="1"/>
  <c r="B383" i="42" s="1"/>
  <c r="C384" i="42"/>
  <c r="C385" i="42"/>
  <c r="C386" i="42"/>
  <c r="D386" i="42" s="1"/>
  <c r="B386" i="42" s="1"/>
  <c r="C387" i="42"/>
  <c r="D387" i="42" s="1"/>
  <c r="B387" i="42" s="1"/>
  <c r="C388" i="42"/>
  <c r="D388" i="42" s="1"/>
  <c r="B388" i="42" s="1"/>
  <c r="C389" i="42"/>
  <c r="D389" i="42" s="1"/>
  <c r="B389" i="42" s="1"/>
  <c r="C390" i="42"/>
  <c r="D390" i="42" s="1"/>
  <c r="B390" i="42" s="1"/>
  <c r="C391" i="42"/>
  <c r="C392" i="42"/>
  <c r="D392" i="42" s="1"/>
  <c r="B392" i="42" s="1"/>
  <c r="C393" i="42"/>
  <c r="C394" i="42"/>
  <c r="C395" i="42"/>
  <c r="D395" i="42" s="1"/>
  <c r="B395" i="42" s="1"/>
  <c r="C396" i="42"/>
  <c r="D396" i="42" s="1"/>
  <c r="B396" i="42" s="1"/>
  <c r="C397" i="42"/>
  <c r="C398" i="42"/>
  <c r="C399" i="42"/>
  <c r="D399" i="42" s="1"/>
  <c r="B399" i="42" s="1"/>
  <c r="C400" i="42"/>
  <c r="D400" i="42" s="1"/>
  <c r="B400" i="42" s="1"/>
  <c r="C401" i="42"/>
  <c r="C402" i="42"/>
  <c r="C403" i="42"/>
  <c r="D403" i="42" s="1"/>
  <c r="B403" i="42" s="1"/>
  <c r="C404" i="42"/>
  <c r="D404" i="42" s="1"/>
  <c r="B404" i="42" s="1"/>
  <c r="C405" i="42"/>
  <c r="C406" i="42"/>
  <c r="C407" i="42"/>
  <c r="D407" i="42" s="1"/>
  <c r="B407" i="42" s="1"/>
  <c r="C408" i="42"/>
  <c r="D408" i="42" s="1"/>
  <c r="B408" i="42" s="1"/>
  <c r="C409" i="42"/>
  <c r="C410" i="42"/>
  <c r="C411" i="42"/>
  <c r="D411" i="42" s="1"/>
  <c r="B411" i="42" s="1"/>
  <c r="C412" i="42"/>
  <c r="D412" i="42" s="1"/>
  <c r="B412" i="42" s="1"/>
  <c r="C413" i="42"/>
  <c r="C414" i="42"/>
  <c r="C415" i="42"/>
  <c r="D415" i="42" s="1"/>
  <c r="B415" i="42" s="1"/>
  <c r="C416" i="42"/>
  <c r="D416" i="42" s="1"/>
  <c r="B416" i="42" s="1"/>
  <c r="C417" i="42"/>
  <c r="D417" i="42" s="1"/>
  <c r="B417" i="42" s="1"/>
  <c r="C418" i="42"/>
  <c r="D418" i="42" s="1"/>
  <c r="B418" i="42" s="1"/>
  <c r="C419" i="42"/>
  <c r="D419" i="42" s="1"/>
  <c r="B419" i="42" s="1"/>
  <c r="C420" i="42"/>
  <c r="C421" i="42"/>
  <c r="D421" i="42" s="1"/>
  <c r="B421" i="42" s="1"/>
  <c r="C422" i="42"/>
  <c r="C423" i="42"/>
  <c r="D423" i="42" s="1"/>
  <c r="B423" i="42" s="1"/>
  <c r="C424" i="42"/>
  <c r="D424" i="42" s="1"/>
  <c r="B424" i="42" s="1"/>
  <c r="C425" i="42"/>
  <c r="C426" i="42"/>
  <c r="D426" i="42" s="1"/>
  <c r="B426" i="42" s="1"/>
  <c r="C427" i="42"/>
  <c r="D427" i="42" s="1"/>
  <c r="B427" i="42" s="1"/>
  <c r="C428" i="42"/>
  <c r="D428" i="42" s="1"/>
  <c r="B428" i="42" s="1"/>
  <c r="C429" i="42"/>
  <c r="D429" i="42" s="1"/>
  <c r="B429" i="42" s="1"/>
  <c r="C430" i="42"/>
  <c r="D430" i="42" s="1"/>
  <c r="B430" i="42" s="1"/>
  <c r="C431" i="42"/>
  <c r="D431" i="42" s="1"/>
  <c r="B431" i="42" s="1"/>
  <c r="C432" i="42"/>
  <c r="D432" i="42" s="1"/>
  <c r="B432" i="42" s="1"/>
  <c r="C433" i="42"/>
  <c r="D433" i="42" s="1"/>
  <c r="B433" i="42" s="1"/>
  <c r="C434" i="42"/>
  <c r="D434" i="42" s="1"/>
  <c r="B434" i="42" s="1"/>
  <c r="C435" i="42"/>
  <c r="D435" i="42" s="1"/>
  <c r="B435" i="42" s="1"/>
  <c r="C436" i="42"/>
  <c r="D436" i="42" s="1"/>
  <c r="B436" i="42" s="1"/>
  <c r="C437" i="42"/>
  <c r="C438" i="42"/>
  <c r="D438" i="42" s="1"/>
  <c r="B438" i="42" s="1"/>
  <c r="C439" i="42"/>
  <c r="C440" i="42"/>
  <c r="C441" i="42"/>
  <c r="D441" i="42" s="1"/>
  <c r="B441" i="42" s="1"/>
  <c r="C442" i="42"/>
  <c r="D442" i="42" s="1"/>
  <c r="B442" i="42" s="1"/>
  <c r="C443" i="42"/>
  <c r="C444" i="42"/>
  <c r="C445" i="42"/>
  <c r="C446" i="42"/>
  <c r="D446" i="42" s="1"/>
  <c r="B446" i="42" s="1"/>
  <c r="C447" i="42"/>
  <c r="D447" i="42" s="1"/>
  <c r="B447" i="42" s="1"/>
  <c r="C448" i="42"/>
  <c r="C449" i="42"/>
  <c r="C450" i="42"/>
  <c r="C451" i="42"/>
  <c r="D451" i="42" s="1"/>
  <c r="B451" i="42" s="1"/>
  <c r="C452" i="42"/>
  <c r="D452" i="42" s="1"/>
  <c r="B452" i="42" s="1"/>
  <c r="C453" i="42"/>
  <c r="C454" i="42"/>
  <c r="C455" i="42"/>
  <c r="C456" i="42"/>
  <c r="D456" i="42" s="1"/>
  <c r="B456" i="42" s="1"/>
  <c r="C457" i="42"/>
  <c r="D457" i="42" s="1"/>
  <c r="B457" i="42" s="1"/>
  <c r="C458" i="42"/>
  <c r="C459" i="42"/>
  <c r="D459" i="42" s="1"/>
  <c r="B459" i="42" s="1"/>
  <c r="C460" i="42"/>
  <c r="D460" i="42" s="1"/>
  <c r="B460" i="42" s="1"/>
  <c r="C461" i="42"/>
  <c r="C462" i="42"/>
  <c r="D462" i="42" s="1"/>
  <c r="B462" i="42" s="1"/>
  <c r="C463" i="42"/>
  <c r="D463" i="42" s="1"/>
  <c r="B463" i="42" s="1"/>
  <c r="C464" i="42"/>
  <c r="C465" i="42"/>
  <c r="D465" i="42" s="1"/>
  <c r="B465" i="42" s="1"/>
  <c r="C466" i="42"/>
  <c r="D466" i="42" s="1"/>
  <c r="B466" i="42" s="1"/>
  <c r="C467" i="42"/>
  <c r="C468" i="42"/>
  <c r="D468" i="42" s="1"/>
  <c r="B468" i="42" s="1"/>
  <c r="C469" i="42"/>
  <c r="C470" i="42"/>
  <c r="D470" i="42" s="1"/>
  <c r="B470" i="42" s="1"/>
  <c r="C471" i="42"/>
  <c r="C472" i="42"/>
  <c r="C473" i="42"/>
  <c r="D473" i="42" s="1"/>
  <c r="B473" i="42" s="1"/>
  <c r="C474" i="42"/>
  <c r="D474" i="42" s="1"/>
  <c r="B474" i="42" s="1"/>
  <c r="C475" i="42"/>
  <c r="C476" i="42"/>
  <c r="C477" i="42"/>
  <c r="C478" i="42"/>
  <c r="D478" i="42" s="1"/>
  <c r="B478" i="42" s="1"/>
  <c r="C479" i="42"/>
  <c r="D479" i="42" s="1"/>
  <c r="B479" i="42" s="1"/>
  <c r="C480" i="42"/>
  <c r="C481" i="42"/>
  <c r="D481" i="42" s="1"/>
  <c r="B481" i="42" s="1"/>
  <c r="C482" i="42"/>
  <c r="D482" i="42" s="1"/>
  <c r="B482" i="42" s="1"/>
  <c r="C483" i="42"/>
  <c r="C484" i="42"/>
  <c r="D484" i="42" s="1"/>
  <c r="B484" i="42" s="1"/>
  <c r="C485" i="42"/>
  <c r="D485" i="42" s="1"/>
  <c r="B485" i="42" s="1"/>
  <c r="C486" i="42"/>
  <c r="C487" i="42"/>
  <c r="D487" i="42" s="1"/>
  <c r="B487" i="42" s="1"/>
  <c r="C488" i="42"/>
  <c r="D488" i="42" s="1"/>
  <c r="B488" i="42" s="1"/>
  <c r="C489" i="42"/>
  <c r="C490" i="42"/>
  <c r="D490" i="42" s="1"/>
  <c r="B490" i="42" s="1"/>
  <c r="C491" i="42"/>
  <c r="D491" i="42" s="1"/>
  <c r="B491" i="42" s="1"/>
  <c r="C492" i="42"/>
  <c r="C493" i="42"/>
  <c r="D493" i="42" s="1"/>
  <c r="B493" i="42" s="1"/>
  <c r="C494" i="42"/>
  <c r="D494" i="42" s="1"/>
  <c r="B494" i="42" s="1"/>
  <c r="C495" i="42"/>
  <c r="C496" i="42"/>
  <c r="D496" i="42" s="1"/>
  <c r="B496" i="42" s="1"/>
  <c r="C497" i="42"/>
  <c r="C498" i="42"/>
  <c r="D498" i="42" s="1"/>
  <c r="B498" i="42" s="1"/>
  <c r="C499" i="42"/>
  <c r="C500" i="42"/>
  <c r="C501" i="42"/>
  <c r="C502" i="42"/>
  <c r="D502" i="42" s="1"/>
  <c r="B502" i="42" s="1"/>
  <c r="C503" i="42"/>
  <c r="D503" i="42" s="1"/>
  <c r="B503" i="42" s="1"/>
  <c r="C504" i="42"/>
  <c r="C505" i="42"/>
  <c r="C506" i="42"/>
  <c r="D506" i="42" s="1"/>
  <c r="B506" i="42" s="1"/>
  <c r="C507" i="42"/>
  <c r="D507" i="42" s="1"/>
  <c r="B507" i="42" s="1"/>
  <c r="C508" i="42"/>
  <c r="C509" i="42"/>
  <c r="D509" i="42" s="1"/>
  <c r="B509" i="42" s="1"/>
  <c r="C510" i="42"/>
  <c r="D510" i="42" s="1"/>
  <c r="B510" i="42" s="1"/>
  <c r="C511" i="42"/>
  <c r="C512" i="42"/>
  <c r="D512" i="42" s="1"/>
  <c r="B512" i="42" s="1"/>
  <c r="C513" i="42"/>
  <c r="D513" i="42" s="1"/>
  <c r="B513" i="42" s="1"/>
  <c r="C514" i="42"/>
  <c r="C515" i="42"/>
  <c r="D515" i="42" s="1"/>
  <c r="B515" i="42" s="1"/>
  <c r="C516" i="42"/>
  <c r="D516" i="42" s="1"/>
  <c r="B516" i="42" s="1"/>
  <c r="C517" i="42"/>
  <c r="C518" i="42"/>
  <c r="D518" i="42" s="1"/>
  <c r="B518" i="42" s="1"/>
  <c r="C519" i="42"/>
  <c r="D519" i="42" s="1"/>
  <c r="B519" i="42" s="1"/>
  <c r="C520" i="42"/>
  <c r="C521" i="42"/>
  <c r="D521" i="42" s="1"/>
  <c r="B521" i="42" s="1"/>
  <c r="C522" i="42"/>
  <c r="D522" i="42" s="1"/>
  <c r="B522" i="42" s="1"/>
  <c r="C523" i="42"/>
  <c r="C524" i="42"/>
  <c r="D524" i="42" s="1"/>
  <c r="B524" i="42" s="1"/>
  <c r="C525" i="42"/>
  <c r="C526" i="42"/>
  <c r="D526" i="42" s="1"/>
  <c r="B526" i="42" s="1"/>
  <c r="C527" i="42"/>
  <c r="C528" i="42"/>
  <c r="D528" i="42" s="1"/>
  <c r="B528" i="42" s="1"/>
  <c r="C529" i="42"/>
  <c r="D529" i="42" s="1"/>
  <c r="B529" i="42" s="1"/>
  <c r="C530" i="42"/>
  <c r="C531" i="42"/>
  <c r="D531" i="42" s="1"/>
  <c r="B531" i="42" s="1"/>
  <c r="C532" i="42"/>
  <c r="D532" i="42" s="1"/>
  <c r="B532" i="42" s="1"/>
  <c r="C533" i="42"/>
  <c r="C534" i="42"/>
  <c r="D534" i="42" s="1"/>
  <c r="B534" i="42" s="1"/>
  <c r="C535" i="42"/>
  <c r="D535" i="42" s="1"/>
  <c r="B535" i="42" s="1"/>
  <c r="C536" i="42"/>
  <c r="C537" i="42"/>
  <c r="D537" i="42" s="1"/>
  <c r="B537" i="42" s="1"/>
  <c r="C538" i="42"/>
  <c r="D538" i="42" s="1"/>
  <c r="B538" i="42" s="1"/>
  <c r="C539" i="42"/>
  <c r="C540" i="42"/>
  <c r="D540" i="42" s="1"/>
  <c r="B540" i="42" s="1"/>
  <c r="C541" i="42"/>
  <c r="D541" i="42" s="1"/>
  <c r="B541" i="42" s="1"/>
  <c r="C542" i="42"/>
  <c r="C543" i="42"/>
  <c r="D543" i="42" s="1"/>
  <c r="B543" i="42" s="1"/>
  <c r="C544" i="42"/>
  <c r="D544" i="42" s="1"/>
  <c r="B544" i="42" s="1"/>
  <c r="C545" i="42"/>
  <c r="C546" i="42"/>
  <c r="D546" i="42" s="1"/>
  <c r="B546" i="42" s="1"/>
  <c r="C547" i="42"/>
  <c r="D547" i="42" s="1"/>
  <c r="B547" i="42" s="1"/>
  <c r="C548" i="42"/>
  <c r="C2" i="42"/>
  <c r="D2" i="42" s="1"/>
  <c r="B2" i="42" s="1"/>
  <c r="J283" i="41" l="1"/>
  <c r="J282" i="41"/>
  <c r="J281" i="41"/>
  <c r="J280" i="41"/>
  <c r="J279" i="41"/>
  <c r="J278" i="41"/>
  <c r="J277" i="41"/>
  <c r="J276" i="41"/>
  <c r="J275" i="41"/>
  <c r="J274" i="41"/>
  <c r="J273" i="41"/>
  <c r="J272" i="41"/>
  <c r="J271" i="41"/>
  <c r="J270" i="41"/>
  <c r="J269" i="41"/>
  <c r="J268" i="41"/>
  <c r="J267" i="41"/>
  <c r="J266" i="41"/>
  <c r="J265" i="41"/>
  <c r="J264" i="41"/>
  <c r="J263" i="41"/>
  <c r="J262" i="41"/>
  <c r="J261" i="41"/>
  <c r="J260" i="41"/>
  <c r="J259" i="41"/>
  <c r="J258" i="41"/>
  <c r="J257" i="41"/>
  <c r="J256" i="41"/>
  <c r="J255" i="41"/>
  <c r="J254" i="41"/>
  <c r="J253" i="41"/>
  <c r="J252" i="41"/>
  <c r="J251" i="41"/>
  <c r="J250" i="41"/>
  <c r="J249" i="41"/>
  <c r="J248" i="41"/>
  <c r="J247" i="41"/>
  <c r="J246" i="41"/>
  <c r="J245" i="41"/>
  <c r="J244" i="41"/>
  <c r="J243" i="41"/>
  <c r="J242" i="41"/>
  <c r="J241" i="41"/>
  <c r="J240" i="41"/>
  <c r="J239" i="41"/>
  <c r="J238" i="41"/>
  <c r="J237" i="41"/>
  <c r="J236" i="41"/>
  <c r="J235" i="41"/>
  <c r="J234" i="41"/>
  <c r="J233" i="41"/>
  <c r="J232" i="41"/>
  <c r="J231" i="41"/>
  <c r="J230" i="41"/>
  <c r="J229" i="41"/>
  <c r="J228" i="41"/>
  <c r="J227" i="41"/>
  <c r="J226" i="41"/>
  <c r="J225" i="41"/>
  <c r="J224" i="41"/>
  <c r="J223" i="41"/>
  <c r="J222" i="41"/>
  <c r="J221" i="41"/>
  <c r="J220" i="41"/>
  <c r="J219" i="41"/>
  <c r="J218" i="41"/>
  <c r="J217" i="41"/>
  <c r="J216" i="41"/>
  <c r="J215" i="41"/>
  <c r="J214" i="41"/>
  <c r="J213" i="41"/>
  <c r="J212" i="41"/>
  <c r="J211" i="41"/>
  <c r="J210" i="41"/>
  <c r="J209" i="41"/>
  <c r="J208" i="41"/>
  <c r="J207" i="41"/>
  <c r="J206" i="41"/>
  <c r="J205" i="41"/>
  <c r="J204" i="41"/>
  <c r="J203" i="41"/>
  <c r="J202" i="41"/>
  <c r="J201" i="41"/>
  <c r="J200" i="41"/>
  <c r="J199" i="41"/>
  <c r="J198" i="41"/>
  <c r="J197" i="41"/>
  <c r="J196" i="41"/>
  <c r="J195" i="41"/>
  <c r="J194" i="41"/>
  <c r="J193" i="41"/>
  <c r="J192" i="41"/>
  <c r="J191" i="41"/>
  <c r="J190" i="41"/>
  <c r="J189" i="41"/>
  <c r="J188" i="41"/>
  <c r="J187" i="41"/>
  <c r="J186" i="41"/>
  <c r="J185" i="41"/>
  <c r="J184" i="41"/>
  <c r="J183" i="41"/>
  <c r="J182" i="41"/>
  <c r="J181" i="41"/>
  <c r="J180" i="41"/>
  <c r="J179" i="41"/>
  <c r="J178" i="41"/>
  <c r="J177" i="41"/>
  <c r="J176" i="41"/>
  <c r="J175" i="41"/>
  <c r="J174" i="41"/>
  <c r="J173" i="41"/>
  <c r="J172" i="41"/>
  <c r="J171" i="41"/>
  <c r="J170" i="41"/>
  <c r="J169" i="41"/>
  <c r="J168" i="41"/>
  <c r="J167" i="41"/>
  <c r="J166" i="41"/>
  <c r="J165" i="41"/>
  <c r="J164" i="41"/>
  <c r="J163" i="41"/>
  <c r="J162" i="41"/>
  <c r="J161" i="41"/>
  <c r="J160" i="41"/>
  <c r="J159" i="41"/>
  <c r="J158" i="41"/>
  <c r="J157" i="41"/>
  <c r="J156" i="41"/>
  <c r="J155" i="41"/>
  <c r="J154" i="41"/>
  <c r="J153" i="41"/>
  <c r="J152" i="41"/>
  <c r="J151" i="41"/>
  <c r="J150" i="41"/>
  <c r="J149" i="41"/>
  <c r="J148" i="41"/>
  <c r="J147" i="41"/>
  <c r="J146" i="41"/>
  <c r="J145" i="41"/>
  <c r="J144" i="41"/>
  <c r="J143" i="41"/>
  <c r="J142" i="41"/>
  <c r="J141" i="41"/>
  <c r="J140" i="41"/>
  <c r="J139" i="41"/>
  <c r="J138" i="41"/>
  <c r="J137" i="41"/>
  <c r="J136" i="41"/>
  <c r="J135" i="41"/>
  <c r="J134" i="41"/>
  <c r="J133" i="41"/>
  <c r="J132" i="41"/>
  <c r="J131" i="41"/>
  <c r="J130" i="41"/>
  <c r="J129" i="41"/>
  <c r="J128" i="41"/>
  <c r="J127" i="41"/>
  <c r="J126" i="41"/>
  <c r="J125" i="41"/>
  <c r="J124" i="41"/>
  <c r="J123" i="41"/>
  <c r="J122" i="41"/>
  <c r="J121" i="41"/>
  <c r="J120" i="41"/>
  <c r="J119" i="41"/>
  <c r="J118" i="41"/>
  <c r="J117" i="41"/>
  <c r="J116" i="41"/>
  <c r="J115" i="41"/>
  <c r="J114" i="41"/>
  <c r="J113" i="41"/>
  <c r="J112" i="41"/>
  <c r="J111" i="41"/>
  <c r="J110" i="41"/>
  <c r="J109" i="41"/>
  <c r="J108" i="41"/>
  <c r="J107" i="41"/>
  <c r="J106" i="41"/>
  <c r="J105" i="41"/>
  <c r="J104" i="41"/>
  <c r="J103" i="41"/>
  <c r="J102" i="41"/>
  <c r="J101" i="41"/>
  <c r="J100" i="41"/>
  <c r="J99" i="41"/>
  <c r="J98" i="41"/>
  <c r="J97" i="41"/>
  <c r="J96" i="41"/>
  <c r="J95" i="41"/>
  <c r="J94" i="41"/>
  <c r="J93" i="41"/>
  <c r="J92" i="41"/>
  <c r="J91" i="41"/>
  <c r="J90" i="41"/>
  <c r="J89" i="41"/>
  <c r="J88" i="41"/>
  <c r="J87" i="41"/>
  <c r="J86" i="41"/>
  <c r="J85" i="41"/>
  <c r="J84" i="41"/>
  <c r="J83" i="41"/>
  <c r="J82" i="41"/>
  <c r="J81" i="41"/>
  <c r="J80" i="41"/>
  <c r="J79" i="41"/>
  <c r="J78" i="41"/>
  <c r="J77" i="41"/>
  <c r="J76" i="41"/>
  <c r="J75" i="41"/>
  <c r="J74" i="41"/>
  <c r="J73" i="41"/>
  <c r="J72" i="41"/>
  <c r="J71" i="41"/>
  <c r="J70" i="41"/>
  <c r="J69" i="41"/>
  <c r="J36" i="41"/>
  <c r="J35" i="41"/>
  <c r="J34" i="41"/>
  <c r="J33" i="41"/>
  <c r="J32" i="41"/>
  <c r="J31" i="41"/>
  <c r="J30" i="41"/>
  <c r="J29" i="41"/>
  <c r="J28" i="41"/>
  <c r="J27" i="41"/>
  <c r="J26" i="41"/>
  <c r="J25" i="41"/>
  <c r="J24" i="41"/>
  <c r="J23" i="41"/>
  <c r="J22" i="41"/>
  <c r="J21" i="41"/>
  <c r="J20" i="41"/>
  <c r="J19" i="41"/>
  <c r="J18" i="41"/>
  <c r="J17" i="41"/>
  <c r="J16" i="41"/>
  <c r="J15" i="41"/>
  <c r="J14" i="41"/>
  <c r="J13" i="41"/>
  <c r="J12" i="41"/>
  <c r="J11" i="41"/>
  <c r="J10" i="41"/>
  <c r="J9" i="41"/>
  <c r="J8" i="41"/>
  <c r="J7" i="41"/>
  <c r="J6" i="41"/>
  <c r="J5" i="41"/>
  <c r="J4" i="41"/>
  <c r="G86" i="40" l="1"/>
  <c r="G87" i="40"/>
  <c r="G88" i="40"/>
  <c r="G89" i="40"/>
  <c r="G90" i="40"/>
  <c r="G91" i="40"/>
  <c r="G92" i="40"/>
  <c r="G93" i="40"/>
  <c r="G94" i="40"/>
  <c r="G95" i="40"/>
  <c r="G96" i="40"/>
  <c r="G97" i="40"/>
  <c r="G98" i="40"/>
  <c r="G99" i="40"/>
  <c r="G100" i="40"/>
  <c r="G101" i="40"/>
  <c r="G102" i="40"/>
  <c r="G103" i="40"/>
  <c r="G104" i="40"/>
  <c r="G105" i="40"/>
  <c r="G106" i="40"/>
  <c r="G107" i="40"/>
  <c r="G108" i="40"/>
  <c r="G109" i="40"/>
  <c r="G110" i="40"/>
  <c r="G111" i="40"/>
  <c r="G112" i="40"/>
  <c r="G113" i="40"/>
  <c r="G114" i="40"/>
  <c r="G115" i="40"/>
  <c r="G116" i="40"/>
  <c r="G117" i="40"/>
  <c r="G118" i="40"/>
  <c r="G119" i="40"/>
  <c r="G120" i="40"/>
  <c r="G294" i="40" l="1"/>
  <c r="G29" i="40" l="1"/>
  <c r="G5" i="40"/>
  <c r="G6" i="40"/>
  <c r="G7" i="40"/>
  <c r="G8" i="40"/>
  <c r="G9" i="40"/>
  <c r="G10" i="40"/>
  <c r="G11" i="40"/>
  <c r="G12" i="40"/>
  <c r="G13" i="40"/>
  <c r="G14" i="40"/>
  <c r="G15" i="40"/>
  <c r="G16" i="40"/>
  <c r="G17" i="40"/>
  <c r="G18" i="40"/>
  <c r="G19" i="40"/>
  <c r="G20" i="40"/>
  <c r="G21" i="40"/>
  <c r="G22" i="40"/>
  <c r="G23" i="40"/>
  <c r="G24" i="40"/>
  <c r="G25" i="40"/>
  <c r="G26" i="40"/>
  <c r="G27" i="40"/>
  <c r="G28" i="40"/>
  <c r="G30" i="40"/>
  <c r="G31" i="40"/>
  <c r="G32" i="40"/>
  <c r="G33" i="40"/>
  <c r="G34" i="40"/>
  <c r="G35" i="40"/>
  <c r="G36" i="40"/>
  <c r="G37" i="40"/>
  <c r="G69" i="40"/>
  <c r="G70" i="40"/>
  <c r="G71" i="40"/>
  <c r="G72" i="40"/>
  <c r="G73" i="40"/>
  <c r="G74" i="40"/>
  <c r="G75" i="40"/>
  <c r="G76" i="40"/>
  <c r="G77" i="40"/>
  <c r="G78" i="40"/>
  <c r="G79" i="40"/>
  <c r="G80" i="40"/>
  <c r="G81" i="40"/>
  <c r="G82" i="40"/>
  <c r="G83" i="40"/>
  <c r="G84" i="40"/>
  <c r="G85" i="40"/>
  <c r="G121" i="40"/>
  <c r="G122" i="40"/>
  <c r="G123" i="40"/>
  <c r="G124" i="40"/>
  <c r="G125" i="40"/>
  <c r="G126" i="40"/>
  <c r="G127" i="40"/>
  <c r="G128" i="40"/>
  <c r="G129" i="40"/>
  <c r="G130" i="40"/>
  <c r="G131" i="40"/>
  <c r="G132" i="40"/>
  <c r="G133" i="40"/>
  <c r="G134" i="40"/>
  <c r="G135" i="40"/>
  <c r="G136" i="40"/>
  <c r="G137" i="40"/>
  <c r="G138" i="40"/>
  <c r="G139" i="40"/>
  <c r="G140" i="40"/>
  <c r="G141" i="40"/>
  <c r="G142" i="40"/>
  <c r="G143" i="40"/>
  <c r="G144" i="40"/>
  <c r="G145" i="40"/>
  <c r="G146" i="40"/>
  <c r="G147" i="40"/>
  <c r="G148" i="40"/>
  <c r="G149" i="40"/>
  <c r="G150" i="40"/>
  <c r="G151" i="40"/>
  <c r="G152" i="40"/>
  <c r="G153" i="40"/>
  <c r="G154" i="40"/>
  <c r="G155" i="40"/>
  <c r="G156" i="40"/>
  <c r="G157" i="40"/>
  <c r="G158" i="40"/>
  <c r="G159" i="40"/>
  <c r="G160" i="40"/>
  <c r="G161" i="40"/>
  <c r="G162" i="40"/>
  <c r="G163" i="40"/>
  <c r="G164" i="40"/>
  <c r="G165" i="40"/>
  <c r="G166" i="40"/>
  <c r="G167" i="40"/>
  <c r="G168" i="40"/>
  <c r="G169" i="40"/>
  <c r="G170" i="40"/>
  <c r="G171" i="40"/>
  <c r="G172" i="40"/>
  <c r="G173" i="40"/>
  <c r="G174" i="40"/>
  <c r="G175" i="40"/>
  <c r="G176" i="40"/>
  <c r="G177" i="40"/>
  <c r="G178" i="40"/>
  <c r="G179" i="40"/>
  <c r="G180" i="40"/>
  <c r="G181" i="40"/>
  <c r="G182" i="40"/>
  <c r="G183" i="40"/>
  <c r="G184" i="40"/>
  <c r="G185" i="40"/>
  <c r="G186" i="40"/>
  <c r="G187" i="40"/>
  <c r="G188" i="40"/>
  <c r="G189" i="40"/>
  <c r="G190" i="40"/>
  <c r="G191" i="40"/>
  <c r="G192" i="40"/>
  <c r="G193" i="40"/>
  <c r="G194" i="40"/>
  <c r="G195" i="40"/>
  <c r="G196" i="40"/>
  <c r="G197" i="40"/>
  <c r="G198" i="40"/>
  <c r="G199" i="40"/>
  <c r="G200" i="40"/>
  <c r="G201" i="40"/>
  <c r="G202" i="40"/>
  <c r="G203" i="40"/>
  <c r="G204" i="40"/>
  <c r="G205" i="40"/>
  <c r="G206" i="40"/>
  <c r="G207" i="40"/>
  <c r="G208" i="40"/>
  <c r="G209" i="40"/>
  <c r="G210" i="40"/>
  <c r="G211" i="40"/>
  <c r="G212" i="40"/>
  <c r="G213" i="40"/>
  <c r="G214" i="40"/>
  <c r="G219" i="40"/>
  <c r="G220" i="40"/>
  <c r="G221" i="40"/>
  <c r="G222" i="40"/>
  <c r="G223" i="40"/>
  <c r="G224" i="40"/>
  <c r="G225" i="40"/>
  <c r="G226" i="40"/>
  <c r="G227" i="40"/>
  <c r="G228" i="40"/>
  <c r="G229" i="40"/>
  <c r="G230" i="40"/>
  <c r="G231" i="40"/>
  <c r="G232" i="40"/>
  <c r="G233" i="40"/>
  <c r="G234" i="40"/>
  <c r="G235" i="40"/>
  <c r="G236" i="40"/>
  <c r="G237" i="40"/>
  <c r="G238" i="40"/>
  <c r="G239" i="40"/>
  <c r="G240" i="40"/>
  <c r="G241" i="40"/>
  <c r="G242" i="40"/>
  <c r="G243" i="40"/>
  <c r="G244" i="40"/>
  <c r="G245" i="40"/>
  <c r="G246" i="40"/>
  <c r="G247" i="40"/>
  <c r="G248" i="40"/>
  <c r="G249" i="40"/>
  <c r="G250" i="40"/>
  <c r="G251" i="40"/>
  <c r="G252" i="40"/>
  <c r="G255" i="40"/>
  <c r="G256" i="40"/>
  <c r="G257" i="40"/>
  <c r="G258" i="40"/>
  <c r="G259" i="40"/>
  <c r="G260" i="40"/>
  <c r="G261" i="40"/>
  <c r="G262" i="40"/>
  <c r="G263" i="40"/>
  <c r="G264" i="40"/>
  <c r="G265" i="40"/>
  <c r="G266" i="40"/>
  <c r="G267" i="40"/>
  <c r="G268" i="40"/>
  <c r="G269" i="40"/>
  <c r="G270" i="40"/>
  <c r="G271" i="40"/>
  <c r="G272" i="40"/>
  <c r="G273" i="40"/>
  <c r="G274" i="40"/>
  <c r="G275" i="40"/>
  <c r="G276" i="40"/>
  <c r="G277" i="40"/>
  <c r="G278" i="40"/>
  <c r="G279" i="40"/>
  <c r="G280" i="40"/>
  <c r="G281" i="40"/>
  <c r="G282" i="40"/>
  <c r="G283" i="40"/>
  <c r="G284" i="40"/>
  <c r="G285" i="40"/>
  <c r="G286" i="40"/>
  <c r="G287" i="40"/>
  <c r="G288" i="40"/>
  <c r="G289" i="40"/>
  <c r="G290" i="40"/>
  <c r="G291" i="40"/>
  <c r="G292" i="40"/>
  <c r="G293" i="40"/>
  <c r="G295" i="40"/>
  <c r="G296" i="40"/>
  <c r="G297" i="40"/>
  <c r="G298" i="40"/>
  <c r="D523" i="42" l="1"/>
  <c r="B523" i="42" s="1"/>
  <c r="D107" i="42"/>
  <c r="B107" i="42" s="1"/>
  <c r="D401" i="42"/>
  <c r="B401" i="42" s="1"/>
  <c r="D321" i="42"/>
  <c r="B321" i="42" s="1"/>
  <c r="D225" i="42"/>
  <c r="B225" i="42" s="1"/>
  <c r="D121" i="42"/>
  <c r="B121" i="42" s="1"/>
  <c r="D475" i="42"/>
  <c r="B475" i="42" s="1"/>
  <c r="D504" i="42"/>
  <c r="B504" i="42" s="1"/>
  <c r="D368" i="42"/>
  <c r="B368" i="42" s="1"/>
  <c r="D272" i="42"/>
  <c r="B272" i="42" s="1"/>
  <c r="D176" i="42"/>
  <c r="B176" i="42" s="1"/>
  <c r="D64" i="42"/>
  <c r="B64" i="42" s="1"/>
  <c r="D263" i="42"/>
  <c r="B263" i="42" s="1"/>
  <c r="D191" i="42"/>
  <c r="B191" i="42" s="1"/>
  <c r="D95" i="42"/>
  <c r="B95" i="42" s="1"/>
  <c r="D23" i="42"/>
  <c r="B23" i="42" s="1"/>
  <c r="D414" i="42"/>
  <c r="B414" i="42" s="1"/>
  <c r="D270" i="42"/>
  <c r="B270" i="42" s="1"/>
  <c r="D158" i="42"/>
  <c r="B158" i="42" s="1"/>
  <c r="D70" i="42"/>
  <c r="B70" i="42" s="1"/>
  <c r="D275" i="42"/>
  <c r="B275" i="42" s="1"/>
  <c r="D533" i="42"/>
  <c r="B533" i="42" s="1"/>
  <c r="D445" i="42"/>
  <c r="B445" i="42" s="1"/>
  <c r="D357" i="42"/>
  <c r="B357" i="42" s="1"/>
  <c r="D277" i="42"/>
  <c r="B277" i="42" s="1"/>
  <c r="D181" i="42"/>
  <c r="B181" i="42" s="1"/>
  <c r="D117" i="42"/>
  <c r="B117" i="42" s="1"/>
  <c r="D13" i="42"/>
  <c r="B13" i="42" s="1"/>
  <c r="D380" i="42"/>
  <c r="B380" i="42" s="1"/>
  <c r="D268" i="42"/>
  <c r="B268" i="42" s="1"/>
  <c r="D148" i="42"/>
  <c r="B148" i="42" s="1"/>
  <c r="D68" i="42"/>
  <c r="B68" i="42" s="1"/>
  <c r="D483" i="42"/>
  <c r="B483" i="42" s="1"/>
  <c r="D3" i="42"/>
  <c r="B3" i="42" s="1"/>
  <c r="D450" i="42"/>
  <c r="B450" i="42" s="1"/>
  <c r="D194" i="42"/>
  <c r="B194" i="42" s="1"/>
  <c r="D150" i="42"/>
  <c r="B150" i="42" s="1"/>
  <c r="D525" i="42"/>
  <c r="B525" i="42" s="1"/>
  <c r="D269" i="42"/>
  <c r="B269" i="42" s="1"/>
  <c r="D109" i="42"/>
  <c r="B109" i="42" s="1"/>
  <c r="D372" i="42"/>
  <c r="B372" i="42" s="1"/>
  <c r="D267" i="42"/>
  <c r="B267" i="42" s="1"/>
  <c r="D186" i="42"/>
  <c r="B186" i="42" s="1"/>
  <c r="D530" i="42"/>
  <c r="B530" i="42" s="1"/>
  <c r="D137" i="42"/>
  <c r="B137" i="42" s="1"/>
  <c r="D208" i="42"/>
  <c r="B208" i="42" s="1"/>
  <c r="D111" i="42"/>
  <c r="B111" i="42" s="1"/>
  <c r="D548" i="42"/>
  <c r="B548" i="42" s="1"/>
  <c r="D133" i="42"/>
  <c r="B133" i="42" s="1"/>
  <c r="D115" i="42"/>
  <c r="B115" i="42" s="1"/>
  <c r="D499" i="42"/>
  <c r="B499" i="42" s="1"/>
  <c r="D545" i="42"/>
  <c r="B545" i="42" s="1"/>
  <c r="D393" i="42"/>
  <c r="B393" i="42" s="1"/>
  <c r="D313" i="42"/>
  <c r="B313" i="42" s="1"/>
  <c r="D217" i="42"/>
  <c r="B217" i="42" s="1"/>
  <c r="D113" i="42"/>
  <c r="B113" i="42" s="1"/>
  <c r="D331" i="42"/>
  <c r="B331" i="42" s="1"/>
  <c r="D480" i="42"/>
  <c r="B480" i="42" s="1"/>
  <c r="D360" i="42"/>
  <c r="B360" i="42" s="1"/>
  <c r="D264" i="42"/>
  <c r="B264" i="42" s="1"/>
  <c r="D160" i="42"/>
  <c r="B160" i="42" s="1"/>
  <c r="D48" i="42"/>
  <c r="B48" i="42" s="1"/>
  <c r="D255" i="42"/>
  <c r="B255" i="42" s="1"/>
  <c r="D175" i="42"/>
  <c r="B175" i="42" s="1"/>
  <c r="D87" i="42"/>
  <c r="B87" i="42" s="1"/>
  <c r="D15" i="42"/>
  <c r="B15" i="42" s="1"/>
  <c r="D246" i="42"/>
  <c r="B246" i="42" s="1"/>
  <c r="D243" i="42"/>
  <c r="B243" i="42" s="1"/>
  <c r="D437" i="42"/>
  <c r="B437" i="42" s="1"/>
  <c r="D173" i="42"/>
  <c r="B173" i="42" s="1"/>
  <c r="D140" i="42"/>
  <c r="B140" i="42" s="1"/>
  <c r="D75" i="42"/>
  <c r="B75" i="42" s="1"/>
  <c r="D410" i="42"/>
  <c r="B410" i="42" s="1"/>
  <c r="D58" i="42"/>
  <c r="B58" i="42" s="1"/>
  <c r="D242" i="42"/>
  <c r="B242" i="42" s="1"/>
  <c r="D171" i="42"/>
  <c r="B171" i="42" s="1"/>
  <c r="D536" i="42"/>
  <c r="B536" i="42" s="1"/>
  <c r="D207" i="42"/>
  <c r="B207" i="42" s="1"/>
  <c r="D102" i="42"/>
  <c r="B102" i="42" s="1"/>
  <c r="D205" i="42"/>
  <c r="B205" i="42" s="1"/>
  <c r="D92" i="42"/>
  <c r="B92" i="42" s="1"/>
  <c r="D122" i="42"/>
  <c r="B122" i="42" s="1"/>
  <c r="D443" i="42"/>
  <c r="B443" i="42" s="1"/>
  <c r="D505" i="42"/>
  <c r="B505" i="42" s="1"/>
  <c r="D385" i="42"/>
  <c r="B385" i="42" s="1"/>
  <c r="D305" i="42"/>
  <c r="B305" i="42" s="1"/>
  <c r="D185" i="42"/>
  <c r="B185" i="42" s="1"/>
  <c r="D65" i="42"/>
  <c r="B65" i="42" s="1"/>
  <c r="D251" i="42"/>
  <c r="B251" i="42" s="1"/>
  <c r="D472" i="42"/>
  <c r="B472" i="42" s="1"/>
  <c r="D320" i="42"/>
  <c r="B320" i="42" s="1"/>
  <c r="D256" i="42"/>
  <c r="B256" i="42" s="1"/>
  <c r="D128" i="42"/>
  <c r="B128" i="42" s="1"/>
  <c r="D40" i="42"/>
  <c r="B40" i="42" s="1"/>
  <c r="D239" i="42"/>
  <c r="B239" i="42" s="1"/>
  <c r="D159" i="42"/>
  <c r="B159" i="42" s="1"/>
  <c r="D79" i="42"/>
  <c r="B79" i="42" s="1"/>
  <c r="D511" i="42"/>
  <c r="B511" i="42" s="1"/>
  <c r="D398" i="42"/>
  <c r="B398" i="42" s="1"/>
  <c r="D238" i="42"/>
  <c r="B238" i="42" s="1"/>
  <c r="D142" i="42"/>
  <c r="B142" i="42" s="1"/>
  <c r="D54" i="42"/>
  <c r="B54" i="42" s="1"/>
  <c r="D211" i="42"/>
  <c r="B211" i="42" s="1"/>
  <c r="D517" i="42"/>
  <c r="B517" i="42" s="1"/>
  <c r="D413" i="42"/>
  <c r="B413" i="42" s="1"/>
  <c r="D341" i="42"/>
  <c r="B341" i="42" s="1"/>
  <c r="D253" i="42"/>
  <c r="B253" i="42" s="1"/>
  <c r="D165" i="42"/>
  <c r="B165" i="42" s="1"/>
  <c r="D101" i="42"/>
  <c r="B101" i="42" s="1"/>
  <c r="D508" i="42"/>
  <c r="B508" i="42" s="1"/>
  <c r="D364" i="42"/>
  <c r="B364" i="42" s="1"/>
  <c r="D244" i="42"/>
  <c r="B244" i="42" s="1"/>
  <c r="D124" i="42"/>
  <c r="B124" i="42" s="1"/>
  <c r="D44" i="42"/>
  <c r="B44" i="42" s="1"/>
  <c r="D235" i="42"/>
  <c r="B235" i="42" s="1"/>
  <c r="D59" i="42"/>
  <c r="B59" i="42" s="1"/>
  <c r="D402" i="42"/>
  <c r="B402" i="42" s="1"/>
  <c r="D266" i="42"/>
  <c r="B266" i="42" s="1"/>
  <c r="D170" i="42"/>
  <c r="B170" i="42" s="1"/>
  <c r="D42" i="42"/>
  <c r="B42" i="42" s="1"/>
  <c r="D154" i="42"/>
  <c r="B154" i="42" s="1"/>
  <c r="D139" i="42"/>
  <c r="B139" i="42" s="1"/>
  <c r="D19" i="42"/>
  <c r="B19" i="42" s="1"/>
  <c r="D250" i="42"/>
  <c r="B250" i="42" s="1"/>
  <c r="D146" i="42"/>
  <c r="B146" i="42" s="1"/>
  <c r="D265" i="42"/>
  <c r="B265" i="42" s="1"/>
  <c r="D440" i="42"/>
  <c r="B440" i="42" s="1"/>
  <c r="D104" i="42"/>
  <c r="B104" i="42" s="1"/>
  <c r="D127" i="42"/>
  <c r="B127" i="42" s="1"/>
  <c r="D334" i="42"/>
  <c r="B334" i="42" s="1"/>
  <c r="D14" i="42"/>
  <c r="B14" i="42" s="1"/>
  <c r="D381" i="42"/>
  <c r="B381" i="42" s="1"/>
  <c r="D141" i="42"/>
  <c r="B141" i="42" s="1"/>
  <c r="D308" i="42"/>
  <c r="B308" i="42" s="1"/>
  <c r="D123" i="42"/>
  <c r="B123" i="42" s="1"/>
  <c r="D10" i="42"/>
  <c r="B10" i="42" s="1"/>
  <c r="D345" i="42"/>
  <c r="B345" i="42" s="1"/>
  <c r="D88" i="42"/>
  <c r="B88" i="42" s="1"/>
  <c r="D302" i="42"/>
  <c r="B302" i="42" s="1"/>
  <c r="D461" i="42"/>
  <c r="B461" i="42" s="1"/>
  <c r="D53" i="42"/>
  <c r="B53" i="42" s="1"/>
  <c r="D514" i="42"/>
  <c r="B514" i="42" s="1"/>
  <c r="D283" i="42"/>
  <c r="B283" i="42" s="1"/>
  <c r="D497" i="42"/>
  <c r="B497" i="42" s="1"/>
  <c r="D377" i="42"/>
  <c r="B377" i="42" s="1"/>
  <c r="D289" i="42"/>
  <c r="B289" i="42" s="1"/>
  <c r="D177" i="42"/>
  <c r="B177" i="42" s="1"/>
  <c r="D49" i="42"/>
  <c r="B49" i="42" s="1"/>
  <c r="D219" i="42"/>
  <c r="B219" i="42" s="1"/>
  <c r="D464" i="42"/>
  <c r="B464" i="42" s="1"/>
  <c r="D312" i="42"/>
  <c r="B312" i="42" s="1"/>
  <c r="D232" i="42"/>
  <c r="B232" i="42" s="1"/>
  <c r="D120" i="42"/>
  <c r="B120" i="42" s="1"/>
  <c r="D24" i="42"/>
  <c r="B24" i="42" s="1"/>
  <c r="D231" i="42"/>
  <c r="B231" i="42" s="1"/>
  <c r="D143" i="42"/>
  <c r="B143" i="42" s="1"/>
  <c r="D71" i="42"/>
  <c r="B71" i="42" s="1"/>
  <c r="D439" i="42"/>
  <c r="B439" i="42" s="1"/>
  <c r="D350" i="42"/>
  <c r="B350" i="42" s="1"/>
  <c r="D230" i="42"/>
  <c r="B230" i="42" s="1"/>
  <c r="D134" i="42"/>
  <c r="B134" i="42" s="1"/>
  <c r="D46" i="42"/>
  <c r="B46" i="42" s="1"/>
  <c r="D527" i="42"/>
  <c r="B527" i="42" s="1"/>
  <c r="D501" i="42"/>
  <c r="B501" i="42" s="1"/>
  <c r="D405" i="42"/>
  <c r="B405" i="42" s="1"/>
  <c r="D333" i="42"/>
  <c r="B333" i="42" s="1"/>
  <c r="D245" i="42"/>
  <c r="B245" i="42" s="1"/>
  <c r="D157" i="42"/>
  <c r="B157" i="42" s="1"/>
  <c r="D85" i="42"/>
  <c r="B85" i="42" s="1"/>
  <c r="D500" i="42"/>
  <c r="B500" i="42" s="1"/>
  <c r="D324" i="42"/>
  <c r="B324" i="42" s="1"/>
  <c r="D236" i="42"/>
  <c r="B236" i="42" s="1"/>
  <c r="D116" i="42"/>
  <c r="B116" i="42" s="1"/>
  <c r="D36" i="42"/>
  <c r="B36" i="42" s="1"/>
  <c r="D163" i="42"/>
  <c r="B163" i="42" s="1"/>
  <c r="D35" i="42"/>
  <c r="B35" i="42" s="1"/>
  <c r="D394" i="42"/>
  <c r="B394" i="42" s="1"/>
  <c r="D258" i="42"/>
  <c r="B258" i="42" s="1"/>
  <c r="D34" i="42"/>
  <c r="B34" i="42" s="1"/>
  <c r="D362" i="42"/>
  <c r="B362" i="42" s="1"/>
  <c r="D18" i="42"/>
  <c r="B18" i="42" s="1"/>
  <c r="D153" i="42"/>
  <c r="B153" i="42" s="1"/>
  <c r="D216" i="42"/>
  <c r="B216" i="42" s="1"/>
  <c r="D215" i="42"/>
  <c r="B215" i="42" s="1"/>
  <c r="D55" i="42"/>
  <c r="B55" i="42" s="1"/>
  <c r="D190" i="42"/>
  <c r="B190" i="42" s="1"/>
  <c r="D110" i="42"/>
  <c r="B110" i="42" s="1"/>
  <c r="D469" i="42"/>
  <c r="B469" i="42" s="1"/>
  <c r="D229" i="42"/>
  <c r="B229" i="42" s="1"/>
  <c r="D69" i="42"/>
  <c r="B69" i="42" s="1"/>
  <c r="D20" i="42"/>
  <c r="B20" i="42" s="1"/>
  <c r="D425" i="42"/>
  <c r="B425" i="42" s="1"/>
  <c r="D384" i="42"/>
  <c r="B384" i="42" s="1"/>
  <c r="D454" i="42"/>
  <c r="B454" i="42" s="1"/>
  <c r="D373" i="42"/>
  <c r="B373" i="42" s="1"/>
  <c r="D180" i="42"/>
  <c r="B180" i="42" s="1"/>
  <c r="D226" i="42"/>
  <c r="B226" i="42" s="1"/>
  <c r="D259" i="42"/>
  <c r="B259" i="42" s="1"/>
  <c r="D489" i="42"/>
  <c r="B489" i="42" s="1"/>
  <c r="D369" i="42"/>
  <c r="B369" i="42" s="1"/>
  <c r="D281" i="42"/>
  <c r="B281" i="42" s="1"/>
  <c r="D169" i="42"/>
  <c r="B169" i="42" s="1"/>
  <c r="D41" i="42"/>
  <c r="B41" i="42" s="1"/>
  <c r="D195" i="42"/>
  <c r="B195" i="42" s="1"/>
  <c r="D448" i="42"/>
  <c r="B448" i="42" s="1"/>
  <c r="D304" i="42"/>
  <c r="B304" i="42" s="1"/>
  <c r="D224" i="42"/>
  <c r="B224" i="42" s="1"/>
  <c r="D112" i="42"/>
  <c r="B112" i="42" s="1"/>
  <c r="D8" i="42"/>
  <c r="B8" i="42" s="1"/>
  <c r="D223" i="42"/>
  <c r="B223" i="42" s="1"/>
  <c r="D135" i="42"/>
  <c r="B135" i="42" s="1"/>
  <c r="D63" i="42"/>
  <c r="B63" i="42" s="1"/>
  <c r="D542" i="42"/>
  <c r="B542" i="42" s="1"/>
  <c r="D342" i="42"/>
  <c r="B342" i="42" s="1"/>
  <c r="D222" i="42"/>
  <c r="B222" i="42" s="1"/>
  <c r="D126" i="42"/>
  <c r="B126" i="42" s="1"/>
  <c r="D30" i="42"/>
  <c r="B30" i="42" s="1"/>
  <c r="D495" i="42"/>
  <c r="B495" i="42" s="1"/>
  <c r="D477" i="42"/>
  <c r="B477" i="42" s="1"/>
  <c r="D397" i="42"/>
  <c r="B397" i="42" s="1"/>
  <c r="D325" i="42"/>
  <c r="B325" i="42" s="1"/>
  <c r="D237" i="42"/>
  <c r="B237" i="42" s="1"/>
  <c r="D149" i="42"/>
  <c r="B149" i="42" s="1"/>
  <c r="D77" i="42"/>
  <c r="B77" i="42" s="1"/>
  <c r="D492" i="42"/>
  <c r="B492" i="42" s="1"/>
  <c r="D316" i="42"/>
  <c r="B316" i="42" s="1"/>
  <c r="D212" i="42"/>
  <c r="B212" i="42" s="1"/>
  <c r="D108" i="42"/>
  <c r="B108" i="42" s="1"/>
  <c r="D28" i="42"/>
  <c r="B28" i="42" s="1"/>
  <c r="D203" i="42"/>
  <c r="B203" i="42" s="1"/>
  <c r="D449" i="42"/>
  <c r="B449" i="42" s="1"/>
  <c r="D353" i="42"/>
  <c r="B353" i="42" s="1"/>
  <c r="D33" i="42"/>
  <c r="B33" i="42" s="1"/>
  <c r="D99" i="42"/>
  <c r="B99" i="42" s="1"/>
  <c r="D296" i="42"/>
  <c r="B296" i="42" s="1"/>
  <c r="D287" i="42"/>
  <c r="B287" i="42" s="1"/>
  <c r="D486" i="42"/>
  <c r="B486" i="42" s="1"/>
  <c r="D471" i="42"/>
  <c r="B471" i="42" s="1"/>
  <c r="D317" i="42"/>
  <c r="B317" i="42" s="1"/>
  <c r="D476" i="42"/>
  <c r="B476" i="42" s="1"/>
  <c r="D196" i="42"/>
  <c r="B196" i="42" s="1"/>
  <c r="D130" i="42"/>
  <c r="B130" i="42" s="1"/>
  <c r="D25" i="42"/>
  <c r="B25" i="42" s="1"/>
  <c r="D279" i="42"/>
  <c r="B279" i="42" s="1"/>
  <c r="D182" i="42"/>
  <c r="B182" i="42" s="1"/>
  <c r="D309" i="42"/>
  <c r="B309" i="42" s="1"/>
  <c r="D284" i="42"/>
  <c r="B284" i="42" s="1"/>
  <c r="D346" i="42"/>
  <c r="B346" i="42" s="1"/>
  <c r="D147" i="42"/>
  <c r="B147" i="42" s="1"/>
  <c r="D409" i="42"/>
  <c r="B409" i="42" s="1"/>
  <c r="D337" i="42"/>
  <c r="B337" i="42" s="1"/>
  <c r="D249" i="42"/>
  <c r="B249" i="42" s="1"/>
  <c r="D129" i="42"/>
  <c r="B129" i="42" s="1"/>
  <c r="D9" i="42"/>
  <c r="B9" i="42" s="1"/>
  <c r="D520" i="42"/>
  <c r="B520" i="42" s="1"/>
  <c r="D376" i="42"/>
  <c r="B376" i="42" s="1"/>
  <c r="D280" i="42"/>
  <c r="B280" i="42" s="1"/>
  <c r="D200" i="42"/>
  <c r="B200" i="42" s="1"/>
  <c r="D72" i="42"/>
  <c r="B72" i="42" s="1"/>
  <c r="D271" i="42"/>
  <c r="B271" i="42" s="1"/>
  <c r="D199" i="42"/>
  <c r="B199" i="42" s="1"/>
  <c r="D103" i="42"/>
  <c r="B103" i="42" s="1"/>
  <c r="D39" i="42"/>
  <c r="B39" i="42" s="1"/>
  <c r="D422" i="42"/>
  <c r="B422" i="42" s="1"/>
  <c r="D278" i="42"/>
  <c r="B278" i="42" s="1"/>
  <c r="D166" i="42"/>
  <c r="B166" i="42" s="1"/>
  <c r="D78" i="42"/>
  <c r="B78" i="42" s="1"/>
  <c r="D467" i="42"/>
  <c r="B467" i="42" s="1"/>
  <c r="D391" i="42"/>
  <c r="B391" i="42" s="1"/>
  <c r="D453" i="42"/>
  <c r="B453" i="42" s="1"/>
  <c r="D365" i="42"/>
  <c r="B365" i="42" s="1"/>
  <c r="D293" i="42"/>
  <c r="B293" i="42" s="1"/>
  <c r="D189" i="42"/>
  <c r="B189" i="42" s="1"/>
  <c r="D125" i="42"/>
  <c r="B125" i="42" s="1"/>
  <c r="D29" i="42"/>
  <c r="B29" i="42" s="1"/>
  <c r="D420" i="42"/>
  <c r="B420" i="42" s="1"/>
  <c r="D276" i="42"/>
  <c r="B276" i="42" s="1"/>
  <c r="D164" i="42"/>
  <c r="B164" i="42" s="1"/>
  <c r="D76" i="42"/>
  <c r="B76" i="42" s="1"/>
  <c r="D539" i="42"/>
  <c r="B539" i="42" s="1"/>
  <c r="D91" i="42"/>
  <c r="B91" i="42" s="1"/>
  <c r="D458" i="42"/>
  <c r="B458" i="42" s="1"/>
  <c r="D338" i="42"/>
  <c r="B338" i="42" s="1"/>
  <c r="D218" i="42"/>
  <c r="B218" i="42" s="1"/>
  <c r="D114" i="42"/>
  <c r="B114" i="42" s="1"/>
  <c r="D290" i="42"/>
  <c r="B290" i="42" s="1"/>
  <c r="D98" i="42"/>
  <c r="B98" i="42" s="1"/>
  <c r="D406" i="42"/>
  <c r="B406" i="42" s="1"/>
  <c r="D62" i="42"/>
  <c r="B62" i="42" s="1"/>
  <c r="D349" i="42"/>
  <c r="B349" i="42" s="1"/>
  <c r="D5" i="42"/>
  <c r="B5" i="42" s="1"/>
  <c r="D260" i="42"/>
  <c r="B260" i="42" s="1"/>
  <c r="D52" i="42"/>
  <c r="B52" i="42" s="1"/>
  <c r="D282" i="42"/>
  <c r="B282" i="42" s="1"/>
  <c r="D100" i="42"/>
  <c r="B100" i="42" s="1"/>
  <c r="D354" i="42"/>
  <c r="B354" i="42" s="1"/>
  <c r="D257" i="42"/>
  <c r="B257" i="42" s="1"/>
  <c r="D288" i="42"/>
  <c r="B288" i="42" s="1"/>
  <c r="D47" i="42"/>
  <c r="B47" i="42" s="1"/>
  <c r="D455" i="42"/>
  <c r="B455" i="42" s="1"/>
  <c r="D444" i="42"/>
  <c r="B444" i="42" s="1"/>
  <c r="D4" i="42"/>
  <c r="B4" i="42" s="1"/>
</calcChain>
</file>

<file path=xl/comments1.xml><?xml version="1.0" encoding="utf-8"?>
<comments xmlns="http://schemas.openxmlformats.org/spreadsheetml/2006/main">
  <authors>
    <author>MS60 CCLi0</author>
  </authors>
  <commentList>
    <comment ref="A1" authorId="0" shapeId="0">
      <text>
        <r>
          <rPr>
            <sz val="9"/>
            <color indexed="81"/>
            <rFont val="Tahoma"/>
            <family val="2"/>
          </rPr>
          <t>The package name must have a one-to-one relationship with the part number on the second page (Package Type). In addition, the first half is the name of the show for customers, and the ones in parentheses are used for distinction.</t>
        </r>
      </text>
    </comment>
    <comment ref="N1" authorId="0" shapeId="0">
      <text>
        <r>
          <rPr>
            <sz val="9"/>
            <color indexed="81"/>
            <rFont val="Tahoma"/>
            <family val="2"/>
          </rPr>
          <t>If there are different packages and different function definitions, please follow this format. The package must be the same as before</t>
        </r>
        <r>
          <rPr>
            <sz val="9"/>
            <color indexed="81"/>
            <rFont val="細明體"/>
            <family val="3"/>
            <charset val="136"/>
          </rPr>
          <t>。</t>
        </r>
      </text>
    </comment>
    <comment ref="Q1" authorId="0" shapeId="0">
      <text>
        <r>
          <rPr>
            <sz val="9"/>
            <color indexed="81"/>
            <rFont val="Tahoma"/>
            <family val="2"/>
          </rPr>
          <t>The value after the MFP is meaningful, and its value should have a corresponding relationship with the martix of the following Bit.
E.g.:
P2_ALT[7]  P2_MFP[7] P2.7  Function
0                0                      GPIO P2.7
1                0                      SPI_CLK0
1                1                      RTS1
In the above example, P2.7 has three MFP functions, they will be filled in excel:
MFP0          MFP2          MFP3
P2.7            SPI_CLK0    RTS1
Bit Martix:
Bit1            Bit0
P2_ALT[7]   P2_MFP[7]
Please note that use the field name, but use the bit of the entire register to represent it.
Follow above the format, use square brackets to enclose the corresponding bit.</t>
        </r>
      </text>
    </comment>
    <comment ref="X1" authorId="0" shapeId="0">
      <text>
        <r>
          <rPr>
            <sz val="9"/>
            <color indexed="81"/>
            <rFont val="Tahoma"/>
            <family val="2"/>
          </rPr>
          <t>The Bits related to this Multi function Pin are arranged from left to right in the order of MSB to LSB. For example, if there are at most 5 related bits, start from Bit4. For this example has at most 4 related bits, start from Bit3.</t>
        </r>
      </text>
    </comment>
    <comment ref="F2" authorId="0" shapeId="0">
      <text>
        <r>
          <rPr>
            <sz val="9"/>
            <color indexed="81"/>
            <rFont val="Tahoma"/>
            <family val="2"/>
          </rPr>
          <t>Tools will display PIN NAME, PAD NAME column is for internal reference only</t>
        </r>
      </text>
    </comment>
    <comment ref="I2" authorId="0" shapeId="0">
      <text>
        <r>
          <rPr>
            <sz val="9"/>
            <color indexed="81"/>
            <rFont val="Tahoma"/>
            <family val="2"/>
          </rPr>
          <t>SD0_*: names with the same prefix means it belongs to the same group in pinConfig tool</t>
        </r>
      </text>
    </comment>
    <comment ref="S2" authorId="0" shapeId="0">
      <text>
        <r>
          <rPr>
            <sz val="9"/>
            <color indexed="81"/>
            <rFont val="Tahoma"/>
            <family val="2"/>
          </rPr>
          <t>Analog pin function list:
If there are multiple analog pin function in MFP1, List all of them to these columns and fill analog* keyword to MFP1 column.
E.g.: Analog0 -&gt; EADC0_CH5 or ACMP1_N
EADC0_CH5 and ACMP1_N will show in tool UI or pin diagram. Analog* is a tag to represent that the MFP value has multiple functions and will not show in tool UI or pin diagram.</t>
        </r>
      </text>
    </comment>
    <comment ref="AA3" authorId="0" shapeId="0">
      <text>
        <r>
          <rPr>
            <sz val="9"/>
            <color indexed="81"/>
            <rFont val="Tahoma"/>
            <family val="2"/>
          </rPr>
          <t>Format: Register[Bit]
Don't use Field Name</t>
        </r>
      </text>
    </comment>
    <comment ref="K4" authorId="0" shapeId="0">
      <text>
        <r>
          <rPr>
            <sz val="9"/>
            <color indexed="81"/>
            <rFont val="Tahoma"/>
            <family val="2"/>
          </rPr>
          <t>If there is a situation where a certain MFP function is only available in a specific package, please use parentheses to add some packages after the function name. If there are more than two packages, use the underscore _ to distinguish them. The package must be consistent with the package as before.</t>
        </r>
      </text>
    </comment>
    <comment ref="C16" authorId="0" shapeId="0">
      <text>
        <r>
          <rPr>
            <sz val="9"/>
            <color indexed="81"/>
            <rFont val="Tahoma"/>
            <family val="2"/>
          </rPr>
          <t>The order of the GPIO pins can be arbitrary and does not have to be in incremental form, but each pin must be specified.</t>
        </r>
      </text>
    </comment>
    <comment ref="F16" authorId="0" shapeId="0">
      <text>
        <r>
          <rPr>
            <sz val="9"/>
            <color indexed="81"/>
            <rFont val="Tahoma"/>
            <family val="2"/>
          </rPr>
          <t>The format of GPIO is: Px.xx.
There should be no other words in the back, for example:
PF.0 (X32KI). Should be changed to PF.0</t>
        </r>
      </text>
    </comment>
    <comment ref="I20" authorId="0" shapeId="0">
      <text>
        <r>
          <rPr>
            <sz val="9"/>
            <color indexed="81"/>
            <rFont val="Tahoma"/>
            <family val="2"/>
          </rPr>
          <t>Function should start with Group and be distinguished by the bottom line _. You want to be grouped together not for this rule. E.g:
BRAKE00, BRAKE01, BRAKE10, BRAKE11 want to use BRAKE as its Group. For the cases, the designer must add a new page (Special Group Name), and then specifically describe these cases.</t>
        </r>
      </text>
    </comment>
    <comment ref="F75" authorId="0" shapeId="0">
      <text>
        <r>
          <rPr>
            <sz val="9"/>
            <color indexed="81"/>
            <rFont val="Tahoma"/>
            <family val="2"/>
          </rPr>
          <t>NC_ToolNotShow keyword: the pin does not show on UI or diagram</t>
        </r>
      </text>
    </comment>
    <comment ref="F78" authorId="0" shapeId="0">
      <text>
        <r>
          <rPr>
            <sz val="9"/>
            <color indexed="81"/>
            <rFont val="Tahoma"/>
            <family val="2"/>
          </rPr>
          <t>NC keyword: the pin function does not be used</t>
        </r>
      </text>
    </comment>
  </commentList>
</comments>
</file>

<file path=xl/comments2.xml><?xml version="1.0" encoding="utf-8"?>
<comments xmlns="http://schemas.openxmlformats.org/spreadsheetml/2006/main">
  <authors>
    <author>MS60 CCLi0</author>
  </authors>
  <commentList>
    <comment ref="F4" authorId="0" shapeId="0">
      <text>
        <r>
          <rPr>
            <sz val="9"/>
            <color indexed="81"/>
            <rFont val="Tahoma"/>
            <family val="2"/>
          </rPr>
          <t>List all part no. and package in mapping table</t>
        </r>
      </text>
    </comment>
    <comment ref="E10" authorId="0" shapeId="0">
      <text>
        <r>
          <rPr>
            <sz val="9"/>
            <color indexed="81"/>
            <rFont val="Tahoma"/>
            <family val="2"/>
          </rPr>
          <t>Package name mapping table
The name should be the same with package name in MFP worksheet</t>
        </r>
      </text>
    </comment>
    <comment ref="E11" authorId="0" shapeId="0">
      <text>
        <r>
          <rPr>
            <sz val="9"/>
            <color indexed="81"/>
            <rFont val="Tahoma"/>
            <family val="2"/>
          </rPr>
          <t>The name corresponds to the package name of part no. above</t>
        </r>
      </text>
    </comment>
    <comment ref="E13" authorId="0" shapeId="0">
      <text>
        <r>
          <rPr>
            <sz val="9"/>
            <color indexed="81"/>
            <rFont val="Tahoma"/>
            <family val="2"/>
          </rPr>
          <t>List the power pin of Vbat or VDDIO</t>
        </r>
      </text>
    </comment>
  </commentList>
</comments>
</file>

<file path=xl/comments3.xml><?xml version="1.0" encoding="utf-8"?>
<comments xmlns="http://schemas.openxmlformats.org/spreadsheetml/2006/main">
  <authors>
    <author>作成者</author>
  </authors>
  <commentList>
    <comment ref="G1" authorId="0" shapeId="0">
      <text>
        <r>
          <rPr>
            <sz val="9"/>
            <color indexed="81"/>
            <rFont val="Tahoma"/>
            <family val="2"/>
          </rPr>
          <t>Fill in the corresponding multi-function pin worksheet name</t>
        </r>
      </text>
    </comment>
    <comment ref="G2" authorId="0" shapeId="0">
      <text>
        <r>
          <rPr>
            <sz val="9"/>
            <color indexed="81"/>
            <rFont val="Tahoma"/>
            <family val="2"/>
          </rPr>
          <t>Fill in the corresponding part no. in Package Type worksheet</t>
        </r>
      </text>
    </comment>
    <comment ref="G3" authorId="0" shapeId="0">
      <text>
        <r>
          <rPr>
            <sz val="9"/>
            <color indexed="81"/>
            <rFont val="Tahoma"/>
            <family val="2"/>
          </rPr>
          <t>Fill in the corresponding package in Package Type worksheet. The package name should be the same with the package name in multi-function pin worksheet</t>
        </r>
      </text>
    </comment>
    <comment ref="H3" authorId="0" shapeId="0">
      <text>
        <r>
          <rPr>
            <sz val="9"/>
            <color indexed="81"/>
            <rFont val="Tahoma"/>
            <family val="2"/>
          </rPr>
          <t>List the pin number of each direction if package pin is asymmetric
D10R14U10L14: 
10pin in down side
14pin in right side
10pin in up side
14pin in left side</t>
        </r>
      </text>
    </comment>
    <comment ref="B4" authorId="0" shapeId="0">
      <text>
        <r>
          <rPr>
            <sz val="9"/>
            <color indexed="81"/>
            <rFont val="Tahoma"/>
            <family val="2"/>
          </rPr>
          <t>Some IP didn't support in certain package. (lack of pin counts) Need to list here.</t>
        </r>
      </text>
    </comment>
  </commentList>
</comments>
</file>

<file path=xl/sharedStrings.xml><?xml version="1.0" encoding="utf-8"?>
<sst xmlns="http://schemas.openxmlformats.org/spreadsheetml/2006/main" count="4741" uniqueCount="2117">
  <si>
    <t>MFP1</t>
    <phoneticPr fontId="13" type="noConversion"/>
  </si>
  <si>
    <t>MFP2</t>
    <phoneticPr fontId="13" type="noConversion"/>
  </si>
  <si>
    <t>MFP3</t>
    <phoneticPr fontId="13" type="noConversion"/>
  </si>
  <si>
    <t>MFP5</t>
    <phoneticPr fontId="13" type="noConversion"/>
  </si>
  <si>
    <t>MFP6</t>
    <phoneticPr fontId="13" type="noConversion"/>
  </si>
  <si>
    <t>MFP7</t>
    <phoneticPr fontId="13" type="noConversion"/>
  </si>
  <si>
    <t>MFP31</t>
    <phoneticPr fontId="13" type="noConversion"/>
  </si>
  <si>
    <t>Pin Name</t>
    <phoneticPr fontId="13" type="noConversion"/>
  </si>
  <si>
    <t>Bit3</t>
    <phoneticPr fontId="13" type="noConversion"/>
  </si>
  <si>
    <t>Bit2</t>
    <phoneticPr fontId="13" type="noConversion"/>
  </si>
  <si>
    <t>Bit1</t>
    <phoneticPr fontId="13" type="noConversion"/>
  </si>
  <si>
    <t>Bit0</t>
    <phoneticPr fontId="13" type="noConversion"/>
  </si>
  <si>
    <t>MFPA[3]</t>
    <phoneticPr fontId="13" type="noConversion"/>
  </si>
  <si>
    <t>MFPA[2]</t>
    <phoneticPr fontId="13" type="noConversion"/>
  </si>
  <si>
    <t>MFPA[1]</t>
    <phoneticPr fontId="13" type="noConversion"/>
  </si>
  <si>
    <t>MFPA[0]</t>
    <phoneticPr fontId="13" type="noConversion"/>
  </si>
  <si>
    <t>ALT1[1]</t>
    <phoneticPr fontId="13" type="noConversion"/>
  </si>
  <si>
    <t>MFP1[1]</t>
    <phoneticPr fontId="13" type="noConversion"/>
  </si>
  <si>
    <t>ALT[5]</t>
    <phoneticPr fontId="13" type="noConversion"/>
  </si>
  <si>
    <t>SPI0_SCLK_O</t>
    <phoneticPr fontId="13" type="noConversion"/>
  </si>
  <si>
    <t xml:space="preserve">I2C0_CL </t>
    <phoneticPr fontId="13" type="noConversion"/>
  </si>
  <si>
    <t>PC.1</t>
  </si>
  <si>
    <t xml:space="preserve">I2C0_DA </t>
    <phoneticPr fontId="13" type="noConversion"/>
  </si>
  <si>
    <t>PC.2</t>
  </si>
  <si>
    <t>PC.3</t>
  </si>
  <si>
    <t>PC.4</t>
  </si>
  <si>
    <t>PC.6</t>
  </si>
  <si>
    <t>PC.7</t>
  </si>
  <si>
    <t>PC.8</t>
  </si>
  <si>
    <t>PC.9</t>
  </si>
  <si>
    <t>PC.11</t>
  </si>
  <si>
    <t>PC.12</t>
  </si>
  <si>
    <t>PC.13</t>
  </si>
  <si>
    <t>PD.1</t>
  </si>
  <si>
    <t>PD.2</t>
  </si>
  <si>
    <t>PD.3</t>
  </si>
  <si>
    <t>PD.4</t>
  </si>
  <si>
    <t>PD.5</t>
  </si>
  <si>
    <t>PD.6</t>
  </si>
  <si>
    <t>PD.7</t>
  </si>
  <si>
    <t>PD.8</t>
  </si>
  <si>
    <t>PD.10</t>
  </si>
  <si>
    <t>PD.11</t>
  </si>
  <si>
    <t>PD.12</t>
  </si>
  <si>
    <t>RTC_CKO</t>
    <phoneticPr fontId="13" type="noConversion"/>
  </si>
  <si>
    <t>PE.1</t>
  </si>
  <si>
    <t>PE.2</t>
  </si>
  <si>
    <t>PE.3</t>
  </si>
  <si>
    <t>PE.4</t>
  </si>
  <si>
    <t>PE.5</t>
  </si>
  <si>
    <t>PE.6</t>
  </si>
  <si>
    <t>PE.7</t>
  </si>
  <si>
    <t>PA.9</t>
  </si>
  <si>
    <t>PA.10</t>
  </si>
  <si>
    <t>PA.11</t>
  </si>
  <si>
    <t>PA.12</t>
  </si>
  <si>
    <t>I2C0_CL</t>
    <phoneticPr fontId="13" type="noConversion"/>
  </si>
  <si>
    <t>PA.13</t>
  </si>
  <si>
    <t>I2C0_DA</t>
    <phoneticPr fontId="13" type="noConversion"/>
  </si>
  <si>
    <t>PA.14</t>
  </si>
  <si>
    <t>PA.15</t>
  </si>
  <si>
    <t>PB.1</t>
  </si>
  <si>
    <t>PB.2</t>
  </si>
  <si>
    <t>PB.3</t>
  </si>
  <si>
    <t>Group Name</t>
    <phoneticPr fontId="13" type="noConversion"/>
  </si>
  <si>
    <t xml:space="preserve">MFP Function </t>
    <phoneticPr fontId="13" type="noConversion"/>
  </si>
  <si>
    <t>MFP8(LQFP64)</t>
    <phoneticPr fontId="13" type="noConversion"/>
  </si>
  <si>
    <t>MFP8(LQFP128)</t>
    <phoneticPr fontId="13" type="noConversion"/>
  </si>
  <si>
    <t>GPB[5]</t>
  </si>
  <si>
    <t>PB.5</t>
  </si>
  <si>
    <t>GPB[4]</t>
  </si>
  <si>
    <t>PB.4</t>
  </si>
  <si>
    <t>GPB[3]</t>
  </si>
  <si>
    <t>GPB[2]</t>
  </si>
  <si>
    <t>GPC[12]</t>
  </si>
  <si>
    <t>GPC[11]</t>
  </si>
  <si>
    <t>GPC[10]</t>
  </si>
  <si>
    <t>PC.10</t>
  </si>
  <si>
    <t>GPC[9]</t>
  </si>
  <si>
    <t>GPB[1]</t>
  </si>
  <si>
    <t>GPB[0]</t>
  </si>
  <si>
    <t>PB.0</t>
  </si>
  <si>
    <t>VSSPST</t>
  </si>
  <si>
    <t>VDDPST</t>
  </si>
  <si>
    <t>GPA[11]</t>
  </si>
  <si>
    <t>GPA[10]</t>
  </si>
  <si>
    <t>GPA[9]</t>
  </si>
  <si>
    <t>GPA[8]</t>
  </si>
  <si>
    <t>PA.8</t>
  </si>
  <si>
    <t>GPC[13]</t>
  </si>
  <si>
    <t>GPD[12]</t>
  </si>
  <si>
    <t>GPD[11]</t>
  </si>
  <si>
    <t>GPD[10]</t>
  </si>
  <si>
    <t>GPG[0]</t>
  </si>
  <si>
    <t>PG.0</t>
  </si>
  <si>
    <t>GPG[1]</t>
  </si>
  <si>
    <t>PG.1</t>
  </si>
  <si>
    <t>GPG[2]</t>
  </si>
  <si>
    <t>PG.2</t>
  </si>
  <si>
    <t>GPG[3]</t>
  </si>
  <si>
    <t>PG.3</t>
  </si>
  <si>
    <t>GPG[4]</t>
  </si>
  <si>
    <t>PG.4</t>
  </si>
  <si>
    <t>GPF[11]</t>
  </si>
  <si>
    <t>PF.11</t>
  </si>
  <si>
    <t>GPF[10]</t>
  </si>
  <si>
    <t>PF.10</t>
  </si>
  <si>
    <t>GPF[9]</t>
  </si>
  <si>
    <t>PF.9</t>
  </si>
  <si>
    <t>GPF[8]</t>
  </si>
  <si>
    <t>PF.8</t>
  </si>
  <si>
    <t>GPF[7]</t>
  </si>
  <si>
    <t>PF.7</t>
  </si>
  <si>
    <t>GPF[6]</t>
  </si>
  <si>
    <t>PF.6</t>
  </si>
  <si>
    <t>VBAT</t>
  </si>
  <si>
    <t>GPF[5]</t>
  </si>
  <si>
    <t>PF.5</t>
  </si>
  <si>
    <t>GPF[4]</t>
  </si>
  <si>
    <t>PF.4</t>
  </si>
  <si>
    <t>GPH[0]</t>
  </si>
  <si>
    <t>PH.0</t>
  </si>
  <si>
    <t>GPH[1]</t>
  </si>
  <si>
    <t>PH.1</t>
  </si>
  <si>
    <t>GPH[2]</t>
  </si>
  <si>
    <t>PH.2</t>
  </si>
  <si>
    <t>GPH[3]</t>
  </si>
  <si>
    <t>PH.3</t>
  </si>
  <si>
    <t>GPH[4]</t>
  </si>
  <si>
    <t>PH.4</t>
  </si>
  <si>
    <t>GPH[5]</t>
  </si>
  <si>
    <t>PH.5</t>
  </si>
  <si>
    <t>GPH[6]</t>
  </si>
  <si>
    <t>PH.6</t>
  </si>
  <si>
    <t>GPH[7]</t>
  </si>
  <si>
    <t>PH.7</t>
  </si>
  <si>
    <t>GPF[3]</t>
  </si>
  <si>
    <t>PF.3</t>
  </si>
  <si>
    <t>GPF[2]</t>
  </si>
  <si>
    <t>PF.2</t>
  </si>
  <si>
    <t>GPE[8]</t>
  </si>
  <si>
    <t>PE.8</t>
  </si>
  <si>
    <t>GPE[9]</t>
  </si>
  <si>
    <t>PE.9</t>
  </si>
  <si>
    <t>GPE[10]</t>
  </si>
  <si>
    <t>PE.10</t>
  </si>
  <si>
    <t>GPE[11]</t>
  </si>
  <si>
    <t>PE.11</t>
  </si>
  <si>
    <t>GPE[12]</t>
  </si>
  <si>
    <t>PE.12</t>
  </si>
  <si>
    <t>GPE[13]</t>
  </si>
  <si>
    <t>PE.13</t>
  </si>
  <si>
    <t>GPC[8]</t>
  </si>
  <si>
    <t>GPC[7]</t>
  </si>
  <si>
    <t>GPC[6]</t>
  </si>
  <si>
    <t>GPA[7]</t>
  </si>
  <si>
    <t>PA.7</t>
  </si>
  <si>
    <t>GPA[6]</t>
  </si>
  <si>
    <t>PA.6</t>
  </si>
  <si>
    <t>LDO_CAP</t>
  </si>
  <si>
    <t>GPA[5]</t>
  </si>
  <si>
    <t>PA.5</t>
  </si>
  <si>
    <t>GPA[4]</t>
  </si>
  <si>
    <t>PA.4</t>
  </si>
  <si>
    <t>GPA[3]</t>
  </si>
  <si>
    <t>PA.3</t>
  </si>
  <si>
    <t>GPA[2]</t>
  </si>
  <si>
    <t>PA.2</t>
  </si>
  <si>
    <t>GPA[1]</t>
  </si>
  <si>
    <t>PA.1</t>
  </si>
  <si>
    <t>GPA[0]</t>
  </si>
  <si>
    <t>PA.0</t>
  </si>
  <si>
    <t>VDDPST_IO18</t>
  </si>
  <si>
    <t>GPE[14]</t>
  </si>
  <si>
    <t>PE.14</t>
  </si>
  <si>
    <t>GPE[15]</t>
  </si>
  <si>
    <t>PE.15</t>
  </si>
  <si>
    <t>nRESET</t>
  </si>
  <si>
    <t>GPF[0]</t>
  </si>
  <si>
    <t>PF.0</t>
  </si>
  <si>
    <t>GPF[1]</t>
  </si>
  <si>
    <t>GPD[9]</t>
  </si>
  <si>
    <t>GPD[8]</t>
  </si>
  <si>
    <t>GPC[4]</t>
  </si>
  <si>
    <t>GPC[3]</t>
  </si>
  <si>
    <t>GPC[2]</t>
  </si>
  <si>
    <t>GPC[1]</t>
  </si>
  <si>
    <t>GPC[0]</t>
  </si>
  <si>
    <t>PC.0</t>
  </si>
  <si>
    <t>GPG[9]</t>
  </si>
  <si>
    <t>PG.9</t>
  </si>
  <si>
    <t>GPG[10]</t>
  </si>
  <si>
    <t>PG.10</t>
  </si>
  <si>
    <t>GPG[11]</t>
  </si>
  <si>
    <t>PG.11</t>
  </si>
  <si>
    <t>GPG[12]</t>
  </si>
  <si>
    <t>PG.12</t>
  </si>
  <si>
    <t>GPG[13]</t>
  </si>
  <si>
    <t>PG.13</t>
  </si>
  <si>
    <t>GPG[14]</t>
  </si>
  <si>
    <t>PG.14</t>
  </si>
  <si>
    <t>GPG[15]</t>
  </si>
  <si>
    <t>PG.15</t>
  </si>
  <si>
    <t>GPD[7]</t>
  </si>
  <si>
    <t>GPD[6]</t>
  </si>
  <si>
    <t>GPD[5]</t>
  </si>
  <si>
    <t>GPD[4]</t>
  </si>
  <si>
    <t>GPD[3]</t>
  </si>
  <si>
    <t>GPD[2]</t>
  </si>
  <si>
    <t>GPD[1]</t>
  </si>
  <si>
    <t>GPD[0]</t>
  </si>
  <si>
    <t>PD.0</t>
  </si>
  <si>
    <t>GPD[13]</t>
  </si>
  <si>
    <t>PD.13</t>
  </si>
  <si>
    <t>GPA[12]</t>
  </si>
  <si>
    <t>GPA[13]</t>
  </si>
  <si>
    <t>GPA[14]</t>
  </si>
  <si>
    <t>GPA[15]</t>
  </si>
  <si>
    <t>HSUSB_VDD12_CAP</t>
  </si>
  <si>
    <t>GPE[7]</t>
  </si>
  <si>
    <t>GPE[6]</t>
  </si>
  <si>
    <t>GPE[5]</t>
  </si>
  <si>
    <t>GPE[4]</t>
  </si>
  <si>
    <t>GPE[3]</t>
  </si>
  <si>
    <t>GPE[2]</t>
  </si>
  <si>
    <t>GPE[1]</t>
  </si>
  <si>
    <t>GPE[0]</t>
  </si>
  <si>
    <t>PE.0</t>
  </si>
  <si>
    <t>GPH[8]</t>
  </si>
  <si>
    <t>PH.8</t>
  </si>
  <si>
    <t>GPH[9]</t>
  </si>
  <si>
    <t>PH.9</t>
  </si>
  <si>
    <t>GPH[10]</t>
  </si>
  <si>
    <t>PH.10</t>
  </si>
  <si>
    <t>GPH[11]</t>
  </si>
  <si>
    <t>PH.11</t>
  </si>
  <si>
    <t>GPD[14]</t>
  </si>
  <si>
    <t>PD.14</t>
  </si>
  <si>
    <t>GPG[5]]</t>
  </si>
  <si>
    <t>PG.5</t>
  </si>
  <si>
    <t>VSS</t>
  </si>
  <si>
    <t>VDD</t>
  </si>
  <si>
    <t>VDDIO</t>
  </si>
  <si>
    <t>HSUSB_VRES</t>
  </si>
  <si>
    <t>HSUSB_VDD33</t>
  </si>
  <si>
    <t>HSUSB_VBUS</t>
  </si>
  <si>
    <t>HSUSB_D-</t>
  </si>
  <si>
    <t>HSUSB_VSS</t>
  </si>
  <si>
    <t>HSUSB_D+</t>
  </si>
  <si>
    <t>HSUSB_ID</t>
  </si>
  <si>
    <t>NC_ToolNotShow</t>
  </si>
  <si>
    <t>NC</t>
    <phoneticPr fontId="13" type="noConversion"/>
  </si>
  <si>
    <t>Analog0</t>
  </si>
  <si>
    <t>EBI_ADR0</t>
  </si>
  <si>
    <t>SD0_DAT3</t>
  </si>
  <si>
    <t>EMAC_RMII_REFCLK</t>
  </si>
  <si>
    <t>Analog1</t>
  </si>
  <si>
    <t>EBI_ADR1</t>
  </si>
  <si>
    <t>SD0_DAT2</t>
  </si>
  <si>
    <t>EMAC_RMII_RXD0</t>
  </si>
  <si>
    <t>Analog2</t>
  </si>
  <si>
    <t>EBI_ADR2</t>
  </si>
  <si>
    <t>SD0_DAT1</t>
  </si>
  <si>
    <t>EMAC_RMII_RXD1</t>
  </si>
  <si>
    <t>Analog3</t>
  </si>
  <si>
    <t>EBI_ADR3</t>
  </si>
  <si>
    <t>SD0_DAT0</t>
  </si>
  <si>
    <t>EMAC_RMII_CRSDV</t>
  </si>
  <si>
    <t>EBI_ADR4</t>
  </si>
  <si>
    <t>UART0_TXD</t>
  </si>
  <si>
    <t>I2C0_SCL</t>
  </si>
  <si>
    <t>EBI_ADR5</t>
  </si>
  <si>
    <t>UART0_RXD</t>
  </si>
  <si>
    <t>I2C0_SDA</t>
  </si>
  <si>
    <t>EBI_ADR6</t>
  </si>
  <si>
    <t>EBI_ADR7</t>
  </si>
  <si>
    <t>Analog4</t>
  </si>
  <si>
    <t>EBI_ADR8</t>
  </si>
  <si>
    <t>SD0_CLK</t>
  </si>
  <si>
    <t>EMAC_RMII_RXERR</t>
  </si>
  <si>
    <t>Analog5</t>
  </si>
  <si>
    <t>EBI_ADR9</t>
  </si>
  <si>
    <t>SD0_CMD</t>
  </si>
  <si>
    <t>Analog6</t>
  </si>
  <si>
    <t>EBI_nRD</t>
  </si>
  <si>
    <t>SC2_PWR</t>
  </si>
  <si>
    <t>SPI2_SS</t>
  </si>
  <si>
    <t>Analog7</t>
  </si>
  <si>
    <t>EBI_nWR</t>
  </si>
  <si>
    <t>SC2_RST</t>
  </si>
  <si>
    <t>SPI2_CLK</t>
  </si>
  <si>
    <t>EBI_MCLK</t>
  </si>
  <si>
    <t>SC2_DAT</t>
  </si>
  <si>
    <t>SPI2_MISO</t>
  </si>
  <si>
    <t>EBI_ALE</t>
  </si>
  <si>
    <t>SC2_CLK</t>
  </si>
  <si>
    <t>SPI2_MOSI</t>
  </si>
  <si>
    <t>EBI_ADR10</t>
  </si>
  <si>
    <t>SC2_nCD</t>
  </si>
  <si>
    <t>SPI2_I2SMCLK</t>
  </si>
  <si>
    <t>EBI_nCS0</t>
  </si>
  <si>
    <t>EBI_nCS1</t>
  </si>
  <si>
    <t>UART1_TXD</t>
  </si>
  <si>
    <t>CAN0_TXD</t>
  </si>
  <si>
    <t>EBI_nCS2</t>
  </si>
  <si>
    <t>UART1_RXD</t>
  </si>
  <si>
    <t>CAN0_RXD</t>
  </si>
  <si>
    <t>EBI_ADR11</t>
  </si>
  <si>
    <t>I2C0_SMBAL</t>
  </si>
  <si>
    <t>EBI_ADR12</t>
  </si>
  <si>
    <t>I2C0_SMBSUS</t>
  </si>
  <si>
    <t>EBI_ADR13</t>
  </si>
  <si>
    <t>EBI_ADR14</t>
  </si>
  <si>
    <t>EBI_ADR15</t>
  </si>
  <si>
    <t>SC0_nCD</t>
  </si>
  <si>
    <t>I2S0_BCLK</t>
  </si>
  <si>
    <t>EBI_ADR16</t>
  </si>
  <si>
    <t>SC0_PWR</t>
  </si>
  <si>
    <t>I2S0_MCLK</t>
  </si>
  <si>
    <t>EBI_ADR17</t>
  </si>
  <si>
    <t>SC0_RST</t>
  </si>
  <si>
    <t>I2S0_DI</t>
  </si>
  <si>
    <t>EBI_ADR18</t>
  </si>
  <si>
    <t>SC0_DAT</t>
  </si>
  <si>
    <t>I2S0_DO</t>
  </si>
  <si>
    <t>EBI_ADR19</t>
  </si>
  <si>
    <t>SC0_CLK</t>
  </si>
  <si>
    <t>I2S0_LRCK</t>
  </si>
  <si>
    <t>UART2_RXD</t>
  </si>
  <si>
    <t>UART2_nCTS</t>
  </si>
  <si>
    <t>UART2_TXD</t>
  </si>
  <si>
    <t>UART2_nRTS</t>
  </si>
  <si>
    <t>UART5_TXD</t>
  </si>
  <si>
    <t>UART5_RXD</t>
  </si>
  <si>
    <t>UART5_nRTS</t>
  </si>
  <si>
    <t>SPI1_I2SMCLK</t>
  </si>
  <si>
    <t>UART5_nCTS</t>
  </si>
  <si>
    <t>SPI1_MISO</t>
  </si>
  <si>
    <t>SPI1_MOSI</t>
  </si>
  <si>
    <t>SPI1_CLK</t>
  </si>
  <si>
    <t>SPI1_SS</t>
  </si>
  <si>
    <t>EMAC_RMII_MDC</t>
  </si>
  <si>
    <t>EMAC_RMII_MDIO</t>
  </si>
  <si>
    <t>EMAC_RMII_TXD0</t>
  </si>
  <si>
    <t>EMAC_RMII_TXD1</t>
  </si>
  <si>
    <t>EMAC_RMII_TXEN</t>
  </si>
  <si>
    <t>EMAC_PPS</t>
  </si>
  <si>
    <t>EBI_AD9</t>
  </si>
  <si>
    <t>EBI_AD8</t>
  </si>
  <si>
    <t>EBI_AD7</t>
  </si>
  <si>
    <t>EBI_AD6</t>
  </si>
  <si>
    <t>SPIM_D2</t>
  </si>
  <si>
    <t>QSPI0_MISO1</t>
  </si>
  <si>
    <t>SPIM_D3</t>
  </si>
  <si>
    <t>QSPI0_MOSI1</t>
  </si>
  <si>
    <t>SPI0_I2SMCLK</t>
  </si>
  <si>
    <t>SPIM_SS</t>
  </si>
  <si>
    <t>QSPI0_SS</t>
  </si>
  <si>
    <t>SPI0_SS</t>
  </si>
  <si>
    <t>SPIM_CLK</t>
  </si>
  <si>
    <t>QSPI0_CLK</t>
  </si>
  <si>
    <t>SPI0_CLK</t>
  </si>
  <si>
    <t>SPIM_MISO</t>
  </si>
  <si>
    <t>QSPI0_MISO0</t>
  </si>
  <si>
    <t>SPI0_MISO</t>
  </si>
  <si>
    <t>SPIM_MOSI</t>
  </si>
  <si>
    <t>QSPI0_MOSI0</t>
  </si>
  <si>
    <t>SPI0_MOSI</t>
  </si>
  <si>
    <t>I2C1_SCL</t>
  </si>
  <si>
    <t>I2C1_SDA</t>
  </si>
  <si>
    <t>I2C2_SCL</t>
  </si>
  <si>
    <t>I2C2_SDA</t>
  </si>
  <si>
    <t>EBI_AD5</t>
  </si>
  <si>
    <t>EBI_AD4</t>
  </si>
  <si>
    <t>EBI_AD3</t>
  </si>
  <si>
    <t>EBI_AD2</t>
  </si>
  <si>
    <t>EBI_AD1</t>
  </si>
  <si>
    <t>EBI_AD0</t>
  </si>
  <si>
    <t>SD1_DAT3</t>
  </si>
  <si>
    <t>SD1_DAT2</t>
  </si>
  <si>
    <t>SD1_DAT1</t>
  </si>
  <si>
    <t>SD1_DAT0</t>
  </si>
  <si>
    <t>SD1_CMD</t>
  </si>
  <si>
    <t>SD1_CLK</t>
  </si>
  <si>
    <t>SD1_nCD</t>
  </si>
  <si>
    <t>USCI0_CTL0</t>
  </si>
  <si>
    <t>EBI_AD10</t>
  </si>
  <si>
    <t>USCI0_CTL1</t>
  </si>
  <si>
    <t>EBI_AD11</t>
  </si>
  <si>
    <t>USCI0_DAT1</t>
  </si>
  <si>
    <t>EBI_AD12</t>
  </si>
  <si>
    <t>USCI0_DAT0</t>
  </si>
  <si>
    <t>EBI_AD13</t>
  </si>
  <si>
    <t>USCI0_CLK</t>
  </si>
  <si>
    <t>SD0_nCD</t>
  </si>
  <si>
    <t>UART4_TXD</t>
  </si>
  <si>
    <t>UART4_RXD</t>
  </si>
  <si>
    <t>EBI_AD14</t>
  </si>
  <si>
    <t>EBI_AD15</t>
  </si>
  <si>
    <t>SPI3_I2SMCLK</t>
  </si>
  <si>
    <t>SC1_nCD</t>
  </si>
  <si>
    <t>SPI3_SS</t>
  </si>
  <si>
    <t>SC1_PWR</t>
  </si>
  <si>
    <t>MFP1</t>
  </si>
  <si>
    <t>ADC</t>
  </si>
  <si>
    <t>ACMP0</t>
  </si>
  <si>
    <t>ACMP1</t>
  </si>
  <si>
    <t>EADC0_CH5</t>
  </si>
  <si>
    <t>EADC0_CH4</t>
  </si>
  <si>
    <t>ACMP1_P1</t>
  </si>
  <si>
    <t>EADC0_CH3</t>
  </si>
  <si>
    <t>ACMP0_N</t>
  </si>
  <si>
    <t>ACMP0_P1</t>
  </si>
  <si>
    <t>ACMP0_P0</t>
  </si>
  <si>
    <t>ACMP1_P0</t>
  </si>
  <si>
    <t>Part No.</t>
  </si>
  <si>
    <t xml:space="preserve">All </t>
    <phoneticPr fontId="13" type="noConversion"/>
  </si>
  <si>
    <t>MFP</t>
    <phoneticPr fontId="13" type="noConversion"/>
  </si>
  <si>
    <t>LCD_SEG33</t>
    <phoneticPr fontId="13" type="noConversion"/>
  </si>
  <si>
    <t>LCD_SEG32</t>
    <phoneticPr fontId="13" type="noConversion"/>
  </si>
  <si>
    <t>LCD_SEG31</t>
    <phoneticPr fontId="13" type="noConversion"/>
  </si>
  <si>
    <t>LCD_SEG30</t>
    <phoneticPr fontId="13" type="noConversion"/>
  </si>
  <si>
    <t>LCD_SEG29</t>
    <phoneticPr fontId="13" type="noConversion"/>
  </si>
  <si>
    <t>LCD_SEG28</t>
    <phoneticPr fontId="13" type="noConversion"/>
  </si>
  <si>
    <t>LCD_SEG27</t>
    <phoneticPr fontId="13" type="noConversion"/>
  </si>
  <si>
    <t>LCD_SEG26</t>
    <phoneticPr fontId="13" type="noConversion"/>
  </si>
  <si>
    <t>LCD_SEG24</t>
    <phoneticPr fontId="13" type="noConversion"/>
  </si>
  <si>
    <t>LCD_SEG25</t>
    <phoneticPr fontId="13" type="noConversion"/>
  </si>
  <si>
    <t>LCD_SEG23</t>
    <phoneticPr fontId="13" type="noConversion"/>
  </si>
  <si>
    <t>LCD_SEG22</t>
    <phoneticPr fontId="13" type="noConversion"/>
  </si>
  <si>
    <t>LCD_SEG21</t>
    <phoneticPr fontId="13" type="noConversion"/>
  </si>
  <si>
    <t>LCD_SEG20</t>
    <phoneticPr fontId="13" type="noConversion"/>
  </si>
  <si>
    <t>LCD_SEG19</t>
    <phoneticPr fontId="13" type="noConversion"/>
  </si>
  <si>
    <t>LCD_SEG18</t>
    <phoneticPr fontId="13" type="noConversion"/>
  </si>
  <si>
    <t>LCD_SEG17</t>
    <phoneticPr fontId="13" type="noConversion"/>
  </si>
  <si>
    <t>LCD_SEG16</t>
    <phoneticPr fontId="13" type="noConversion"/>
  </si>
  <si>
    <t>LCD_SEG15</t>
    <phoneticPr fontId="13" type="noConversion"/>
  </si>
  <si>
    <t>LCD_SEG14</t>
    <phoneticPr fontId="13" type="noConversion"/>
  </si>
  <si>
    <t>LCD_SEG13</t>
    <phoneticPr fontId="13" type="noConversion"/>
  </si>
  <si>
    <t>LCD_SEG9</t>
    <phoneticPr fontId="13" type="noConversion"/>
  </si>
  <si>
    <t>LCD_SEG10</t>
    <phoneticPr fontId="13" type="noConversion"/>
  </si>
  <si>
    <t>LCD_SEG11</t>
    <phoneticPr fontId="13" type="noConversion"/>
  </si>
  <si>
    <t>LCD_SEG12</t>
    <phoneticPr fontId="13" type="noConversion"/>
  </si>
  <si>
    <t>MFP8(ULQFP128)</t>
    <phoneticPr fontId="13" type="noConversion"/>
  </si>
  <si>
    <t>SPI0_SS[ULQFP64(7*7)]</t>
    <phoneticPr fontId="13" type="noConversion"/>
  </si>
  <si>
    <t>LQFP64(7*7)</t>
    <phoneticPr fontId="13" type="noConversion"/>
  </si>
  <si>
    <t>ULQFP64(7*7)</t>
    <phoneticPr fontId="13" type="noConversion"/>
  </si>
  <si>
    <t>LQFP128(14*14)</t>
    <phoneticPr fontId="13" type="noConversion"/>
  </si>
  <si>
    <t>ULQFP128(14*14)</t>
    <phoneticPr fontId="13" type="noConversion"/>
  </si>
  <si>
    <t>BRAKE00</t>
  </si>
  <si>
    <t>BRAKE01</t>
  </si>
  <si>
    <t>MFP4</t>
    <phoneticPr fontId="13" type="noConversion"/>
  </si>
  <si>
    <t>PAD Name</t>
    <phoneticPr fontId="13" type="noConversion"/>
  </si>
  <si>
    <t>PAD#</t>
  </si>
  <si>
    <t>MFP2</t>
  </si>
  <si>
    <t>MFP3</t>
  </si>
  <si>
    <t>MFP4</t>
  </si>
  <si>
    <t>MFP5</t>
  </si>
  <si>
    <t>MFP6</t>
  </si>
  <si>
    <t>MFP7</t>
  </si>
  <si>
    <t>GP0[0]</t>
  </si>
  <si>
    <t>IRQ00</t>
  </si>
  <si>
    <t>GP0[1]</t>
  </si>
  <si>
    <t>IRQ01</t>
  </si>
  <si>
    <t>TRCSWO</t>
  </si>
  <si>
    <t>GP0[2]</t>
  </si>
  <si>
    <t>IRQ02</t>
  </si>
  <si>
    <t>TM00A</t>
  </si>
  <si>
    <t>GP0[3]</t>
  </si>
  <si>
    <t>IRQ03</t>
  </si>
  <si>
    <t>TM00B</t>
  </si>
  <si>
    <t>GP0[4]</t>
  </si>
  <si>
    <t>IRQ04</t>
  </si>
  <si>
    <t>TM01A</t>
  </si>
  <si>
    <t>GP0[5]</t>
  </si>
  <si>
    <t>IRQ05</t>
  </si>
  <si>
    <t>TM01B</t>
  </si>
  <si>
    <t>GP0[6]</t>
  </si>
  <si>
    <t>IRQ06</t>
  </si>
  <si>
    <t>TM02A</t>
  </si>
  <si>
    <t>GP0[7]</t>
  </si>
  <si>
    <t>IRQ07</t>
  </si>
  <si>
    <t>TM02B</t>
  </si>
  <si>
    <t>NRST</t>
  </si>
  <si>
    <t>GP6[0]</t>
  </si>
  <si>
    <t>TM03A</t>
  </si>
  <si>
    <t>GP6[1]</t>
  </si>
  <si>
    <t>TM03B</t>
  </si>
  <si>
    <t>GP6[2]</t>
  </si>
  <si>
    <t>TM04A</t>
  </si>
  <si>
    <t>GP6[3]</t>
  </si>
  <si>
    <t>TM04B</t>
  </si>
  <si>
    <t>GP6[4]</t>
  </si>
  <si>
    <t>TM05A</t>
  </si>
  <si>
    <t>GP6[5]</t>
  </si>
  <si>
    <t>TM05B</t>
  </si>
  <si>
    <t>SWDCLK</t>
  </si>
  <si>
    <t>SWDD</t>
  </si>
  <si>
    <t>OSCI</t>
  </si>
  <si>
    <t>OSCO</t>
  </si>
  <si>
    <t>GPWM60</t>
  </si>
  <si>
    <t>GPWM61</t>
  </si>
  <si>
    <t>GPWM70</t>
  </si>
  <si>
    <t>GPWM71</t>
  </si>
  <si>
    <t>GP6[6]</t>
  </si>
  <si>
    <t>GP6[7]</t>
  </si>
  <si>
    <t>GP8[0]</t>
  </si>
  <si>
    <t>GP8[1]</t>
  </si>
  <si>
    <t>GPWM01</t>
  </si>
  <si>
    <t>GP8[2]</t>
  </si>
  <si>
    <t>GPWM10</t>
  </si>
  <si>
    <t>GP8[3]</t>
  </si>
  <si>
    <t>GPWM11</t>
  </si>
  <si>
    <t>GP8[4]</t>
  </si>
  <si>
    <t>GPWM20</t>
  </si>
  <si>
    <t>GP8[5]</t>
  </si>
  <si>
    <t>GPWM21</t>
  </si>
  <si>
    <t>GP8[6]</t>
  </si>
  <si>
    <t>TM06A</t>
  </si>
  <si>
    <t>GP8[7]</t>
  </si>
  <si>
    <t>TM06B</t>
  </si>
  <si>
    <t>GPWM30</t>
  </si>
  <si>
    <t>GPWM31</t>
  </si>
  <si>
    <t>GPWM40</t>
  </si>
  <si>
    <t>GPWM41</t>
  </si>
  <si>
    <t>GPWM50</t>
  </si>
  <si>
    <t>GPWM51</t>
  </si>
  <si>
    <t>GP1[0]</t>
  </si>
  <si>
    <t>IRQ08</t>
  </si>
  <si>
    <t>GP1[1]</t>
  </si>
  <si>
    <t>IRQ09</t>
  </si>
  <si>
    <t>GP1[2]</t>
  </si>
  <si>
    <t>IRQ10</t>
  </si>
  <si>
    <t>TM07A</t>
  </si>
  <si>
    <t>GP1[3]</t>
  </si>
  <si>
    <t>IRQ11</t>
  </si>
  <si>
    <t>TM07B</t>
  </si>
  <si>
    <t>IRQ12</t>
  </si>
  <si>
    <t>TM08A</t>
  </si>
  <si>
    <t>IRQ13</t>
  </si>
  <si>
    <t>TM08B</t>
  </si>
  <si>
    <t>GP7[0]</t>
  </si>
  <si>
    <t>TM09A</t>
  </si>
  <si>
    <t>GP7[1]</t>
  </si>
  <si>
    <t>TM09B</t>
  </si>
  <si>
    <t>GP7[2]</t>
  </si>
  <si>
    <t>TM10A</t>
  </si>
  <si>
    <t>GP7[3]</t>
  </si>
  <si>
    <t>TM10B</t>
  </si>
  <si>
    <t>AVSS</t>
  </si>
  <si>
    <t>ADIN24</t>
  </si>
  <si>
    <t>ADIN25</t>
  </si>
  <si>
    <t>ADIN18</t>
  </si>
  <si>
    <t>ADIN19</t>
  </si>
  <si>
    <t>ADIN20</t>
  </si>
  <si>
    <t>ADIN21</t>
  </si>
  <si>
    <t>ADIN22</t>
  </si>
  <si>
    <t>ADIN23</t>
  </si>
  <si>
    <t>ADIN10</t>
  </si>
  <si>
    <t>ADIN11</t>
  </si>
  <si>
    <t>ADIN12</t>
  </si>
  <si>
    <t>ADIN13</t>
  </si>
  <si>
    <t>ADIN14</t>
  </si>
  <si>
    <t>ADIN15</t>
  </si>
  <si>
    <t>ADIN04</t>
  </si>
  <si>
    <t>ADIN05</t>
  </si>
  <si>
    <t>ADIN06</t>
  </si>
  <si>
    <t>ADIN07</t>
  </si>
  <si>
    <t>AVDD</t>
  </si>
  <si>
    <t>GP3[4]</t>
  </si>
  <si>
    <t>GP3[5]</t>
  </si>
  <si>
    <t>GP3[6]</t>
  </si>
  <si>
    <t>GP4[0]</t>
  </si>
  <si>
    <t>GP4[1]</t>
  </si>
  <si>
    <t>GP4[2]</t>
  </si>
  <si>
    <t>GP5[2]</t>
  </si>
  <si>
    <t>GP5[3]</t>
  </si>
  <si>
    <t>GP5[4]</t>
  </si>
  <si>
    <t>GP5[5]</t>
  </si>
  <si>
    <t>GP5[6]</t>
  </si>
  <si>
    <t>GP5[7]</t>
  </si>
  <si>
    <t>GP7[4]</t>
  </si>
  <si>
    <t>TM11A</t>
  </si>
  <si>
    <t>GP7[5]</t>
  </si>
  <si>
    <t>TM11B</t>
  </si>
  <si>
    <t>GP7[6]</t>
  </si>
  <si>
    <t>GP7[7]</t>
  </si>
  <si>
    <t>GP3[0]</t>
  </si>
  <si>
    <t>GP3[1]</t>
  </si>
  <si>
    <t>GP3[2]</t>
  </si>
  <si>
    <t>GP2[0]</t>
  </si>
  <si>
    <t>IRQ14</t>
  </si>
  <si>
    <t>TM12A</t>
  </si>
  <si>
    <t>GP2[1]</t>
  </si>
  <si>
    <t>IRQ15</t>
  </si>
  <si>
    <t>TM12B</t>
  </si>
  <si>
    <t>GP2[2]</t>
  </si>
  <si>
    <t>GP5[0]</t>
  </si>
  <si>
    <t>GP5[1]</t>
  </si>
  <si>
    <t>GP2[4]</t>
  </si>
  <si>
    <t>GP2[5]</t>
  </si>
  <si>
    <t>GP2[6]</t>
  </si>
  <si>
    <t>TM13A</t>
  </si>
  <si>
    <t>GP2[7]</t>
  </si>
  <si>
    <t>TM13B</t>
  </si>
  <si>
    <t>GP4[4]</t>
  </si>
  <si>
    <t>GP4[5]</t>
  </si>
  <si>
    <t>GP4[6]</t>
  </si>
  <si>
    <t>GP4[7]</t>
  </si>
  <si>
    <t>P0.0</t>
  </si>
  <si>
    <t>P0.1</t>
  </si>
  <si>
    <t>P0.2</t>
  </si>
  <si>
    <t>P0.3</t>
  </si>
  <si>
    <t>P0.4</t>
  </si>
  <si>
    <t>P0.5</t>
  </si>
  <si>
    <t>P0.6</t>
  </si>
  <si>
    <t>P0.7</t>
  </si>
  <si>
    <t>P6.0</t>
  </si>
  <si>
    <t>P6.1</t>
  </si>
  <si>
    <t>P6.2</t>
  </si>
  <si>
    <t>P6.3</t>
  </si>
  <si>
    <t>P6.4</t>
  </si>
  <si>
    <t>P6.5</t>
  </si>
  <si>
    <t>P6.6</t>
  </si>
  <si>
    <t>P6.7</t>
  </si>
  <si>
    <t>P8.0</t>
  </si>
  <si>
    <t>P8.1</t>
  </si>
  <si>
    <t>P8.2</t>
  </si>
  <si>
    <t>P8.3</t>
  </si>
  <si>
    <t>P8.4</t>
  </si>
  <si>
    <t>P8.5</t>
  </si>
  <si>
    <t>P8.6</t>
  </si>
  <si>
    <t>P8.7</t>
  </si>
  <si>
    <t>P1.0</t>
  </si>
  <si>
    <t>P1.1</t>
  </si>
  <si>
    <t>P1.2</t>
  </si>
  <si>
    <t>P1.3</t>
  </si>
  <si>
    <t>P7.0</t>
  </si>
  <si>
    <t>P7.1</t>
  </si>
  <si>
    <t>P7.2</t>
  </si>
  <si>
    <t>P7.3</t>
  </si>
  <si>
    <t>P3.4</t>
  </si>
  <si>
    <t>P3.5</t>
  </si>
  <si>
    <t>P3.6</t>
  </si>
  <si>
    <t>P4.0</t>
  </si>
  <si>
    <t>P4.1</t>
  </si>
  <si>
    <t>P4.2</t>
  </si>
  <si>
    <t>P5.2</t>
  </si>
  <si>
    <t>P5.3</t>
  </si>
  <si>
    <t>P5.4</t>
  </si>
  <si>
    <t>P5.5</t>
  </si>
  <si>
    <t>P5.6</t>
  </si>
  <si>
    <t>P5.7</t>
  </si>
  <si>
    <t>P7.4</t>
  </si>
  <si>
    <t>P7.5</t>
  </si>
  <si>
    <t>P7.6</t>
  </si>
  <si>
    <t>P7.7</t>
  </si>
  <si>
    <t>P3.0</t>
  </si>
  <si>
    <t>P3.1</t>
  </si>
  <si>
    <t>P3.2</t>
  </si>
  <si>
    <t>P2.0</t>
  </si>
  <si>
    <t>P2.1</t>
  </si>
  <si>
    <t>P2.2</t>
  </si>
  <si>
    <t>P5.0</t>
  </si>
  <si>
    <t>P5.1</t>
  </si>
  <si>
    <t>P2.4</t>
  </si>
  <si>
    <t>P2.5</t>
  </si>
  <si>
    <t>P2.6</t>
  </si>
  <si>
    <t>P2.7</t>
  </si>
  <si>
    <t>P4.4</t>
  </si>
  <si>
    <t>P4.5</t>
  </si>
  <si>
    <t>P4.6</t>
  </si>
  <si>
    <t>P4.7</t>
  </si>
  <si>
    <t>IOP0MD[0]</t>
  </si>
  <si>
    <t>IOP6MD[0]</t>
  </si>
  <si>
    <t>IOP8MD[0]</t>
  </si>
  <si>
    <t>IOP1MD[0]</t>
  </si>
  <si>
    <t>IOP7MD[0]</t>
  </si>
  <si>
    <t>IOP3MD[0]</t>
  </si>
  <si>
    <t>IOP4MD[0]</t>
  </si>
  <si>
    <t>IOP5MD[0]</t>
  </si>
  <si>
    <t>IOP2MD[0]</t>
  </si>
  <si>
    <t>NC_ToolNotShow</t>
    <phoneticPr fontId="56"/>
  </si>
  <si>
    <t>Port Control Register</t>
    <phoneticPr fontId="13" type="noConversion"/>
  </si>
  <si>
    <t>Address</t>
    <phoneticPr fontId="13" type="noConversion"/>
  </si>
  <si>
    <t>IOP0MD[3]</t>
  </si>
  <si>
    <t>IOP0MD[2]</t>
  </si>
  <si>
    <t>IOP0MD[1]</t>
  </si>
  <si>
    <t>IOP6MD[1]</t>
  </si>
  <si>
    <t>IOP8MD[1]</t>
  </si>
  <si>
    <t>IOP1MD[1]</t>
  </si>
  <si>
    <t>IOP7MD[1]</t>
  </si>
  <si>
    <t>IOP3MD[1]</t>
  </si>
  <si>
    <t>IOP4MD[1]</t>
  </si>
  <si>
    <t>IOP5MD[1]</t>
  </si>
  <si>
    <t>IOP2MD[1]</t>
  </si>
  <si>
    <t>IOP6MD[2]</t>
  </si>
  <si>
    <t>IOP8MD[2]</t>
  </si>
  <si>
    <t>IOP1MD[2]</t>
  </si>
  <si>
    <t>IOP7MD[2]</t>
  </si>
  <si>
    <t>IOP3MD[2]</t>
  </si>
  <si>
    <t>IOP4MD[2]</t>
  </si>
  <si>
    <t>IOP5MD[2]</t>
  </si>
  <si>
    <t>IOP2MD[2]</t>
  </si>
  <si>
    <t>IOP6MD[3]</t>
  </si>
  <si>
    <t>IOP8MD[3]</t>
  </si>
  <si>
    <t>IOP1MD[3]</t>
  </si>
  <si>
    <t>IOP7MD[3]</t>
  </si>
  <si>
    <t>IOP3MD[3]</t>
  </si>
  <si>
    <t>IOP4MD[3]</t>
  </si>
  <si>
    <t>IOP5MD[3]</t>
  </si>
  <si>
    <t>IOP2MD[3]</t>
  </si>
  <si>
    <t>MFP</t>
  </si>
  <si>
    <t>no specific power domin</t>
    <phoneticPr fontId="13" type="noConversion"/>
  </si>
  <si>
    <t>GPWM7</t>
  </si>
  <si>
    <t>SPI3</t>
  </si>
  <si>
    <t>UART3</t>
  </si>
  <si>
    <t>Power Control PWM</t>
    <phoneticPr fontId="13" type="noConversion"/>
  </si>
  <si>
    <t>Analog8</t>
  </si>
  <si>
    <t>ADIN16</t>
  </si>
  <si>
    <t>ADIN17</t>
  </si>
  <si>
    <t>ADIN08</t>
  </si>
  <si>
    <t>ADIN09</t>
  </si>
  <si>
    <t>ADIN00</t>
  </si>
  <si>
    <t>ADIN01</t>
  </si>
  <si>
    <t>ADIN02</t>
  </si>
  <si>
    <t>ADIN03</t>
  </si>
  <si>
    <t>RX1</t>
  </si>
  <si>
    <t>SBI2</t>
  </si>
  <si>
    <t>RX2</t>
  </si>
  <si>
    <t>SBI3</t>
  </si>
  <si>
    <t>RX3</t>
  </si>
  <si>
    <t>RX6</t>
  </si>
  <si>
    <t>SBI5</t>
  </si>
  <si>
    <t>RX5</t>
  </si>
  <si>
    <t>ACMP1_N</t>
    <phoneticPr fontId="56"/>
  </si>
  <si>
    <t>EADC0_CH2</t>
    <phoneticPr fontId="56"/>
  </si>
  <si>
    <t>EADC0_CH1</t>
    <phoneticPr fontId="56"/>
  </si>
  <si>
    <t>EADC0_CH0</t>
    <phoneticPr fontId="56"/>
  </si>
  <si>
    <t>SD0_DAT3</t>
    <phoneticPr fontId="56"/>
  </si>
  <si>
    <t>表示名案</t>
    <phoneticPr fontId="58"/>
  </si>
  <si>
    <t>GPWM0</t>
  </si>
  <si>
    <t>GPWM1</t>
  </si>
  <si>
    <t>GPWM2</t>
  </si>
  <si>
    <t>GPWM3</t>
  </si>
  <si>
    <t>GPWM4</t>
  </si>
  <si>
    <t>GPWM5</t>
  </si>
  <si>
    <t>GPWM6</t>
  </si>
  <si>
    <t>SPI4</t>
  </si>
  <si>
    <t>SPI5</t>
  </si>
  <si>
    <t>SPI6</t>
  </si>
  <si>
    <t>UART2</t>
  </si>
  <si>
    <t>UART4</t>
  </si>
  <si>
    <t>UART5</t>
  </si>
  <si>
    <t>UART6</t>
  </si>
  <si>
    <t>SMBUS</t>
    <phoneticPr fontId="58"/>
  </si>
  <si>
    <t>Analog9</t>
  </si>
  <si>
    <t>Analog10</t>
  </si>
  <si>
    <t>Analog12</t>
  </si>
  <si>
    <t>Analog13</t>
  </si>
  <si>
    <t>Analog14</t>
  </si>
  <si>
    <t>Analog15</t>
  </si>
  <si>
    <t>Analog16</t>
  </si>
  <si>
    <t>Analog17</t>
  </si>
  <si>
    <t>Analog18</t>
  </si>
  <si>
    <t>Analog19</t>
  </si>
  <si>
    <t>Analog20</t>
  </si>
  <si>
    <t>Analog21</t>
  </si>
  <si>
    <t>Analog22</t>
  </si>
  <si>
    <t>Analog23</t>
  </si>
  <si>
    <t>Analog24</t>
  </si>
  <si>
    <t>Analog25</t>
  </si>
  <si>
    <t>Analog26</t>
  </si>
  <si>
    <t>Bit0</t>
  </si>
  <si>
    <t>IOP0MD[4]</t>
  </si>
  <si>
    <t>IOP0MD[8]</t>
  </si>
  <si>
    <t>IOP0MD[12]</t>
  </si>
  <si>
    <t>IOP0MD[16]</t>
  </si>
  <si>
    <t>IOP0MD[20]</t>
  </si>
  <si>
    <t>IOP0MD[24]</t>
  </si>
  <si>
    <t>IOP0MD[28]</t>
  </si>
  <si>
    <t>IOP6MD[4]</t>
  </si>
  <si>
    <t>IOP6MD[8]</t>
  </si>
  <si>
    <t>IOP6MD[12]</t>
  </si>
  <si>
    <t>IOP6MD[16]</t>
  </si>
  <si>
    <t>IOP6MD[20]</t>
  </si>
  <si>
    <t>IOP6MD[24]</t>
  </si>
  <si>
    <t>IOP6MD[28]</t>
  </si>
  <si>
    <t>IOP8MD[4]</t>
  </si>
  <si>
    <t>IOP8MD[8]</t>
  </si>
  <si>
    <t>IOP8MD[12]</t>
  </si>
  <si>
    <t>IOP8MD[16]</t>
  </si>
  <si>
    <t>IOP8MD[20]</t>
  </si>
  <si>
    <t>IOP8MD[24]</t>
  </si>
  <si>
    <t>IOP8MD[28]</t>
  </si>
  <si>
    <t>IOP1MD[4]</t>
  </si>
  <si>
    <t>IOP1MD[8]</t>
  </si>
  <si>
    <t>IOP1MD[12]</t>
  </si>
  <si>
    <t>IOP7MD[4]</t>
  </si>
  <si>
    <t>IOP7MD[8]</t>
  </si>
  <si>
    <t>IOP7MD[12]</t>
  </si>
  <si>
    <t>IOP3MD[16]</t>
  </si>
  <si>
    <t>IOP3MD[20]</t>
  </si>
  <si>
    <t>IOP3MD[24]</t>
  </si>
  <si>
    <t>IOP4MD[4]</t>
  </si>
  <si>
    <t>IOP4MD[8]</t>
  </si>
  <si>
    <t>IOP5MD[8]</t>
  </si>
  <si>
    <t>IOP5MD[12]</t>
  </si>
  <si>
    <t>IOP5MD[16]</t>
  </si>
  <si>
    <t>IOP5MD[20]</t>
  </si>
  <si>
    <t>IOP5MD[24]</t>
  </si>
  <si>
    <t>IOP5MD[28]</t>
  </si>
  <si>
    <t>IOP7MD[16]</t>
  </si>
  <si>
    <t>IOP7MD[20]</t>
  </si>
  <si>
    <t>IOP7MD[24]</t>
  </si>
  <si>
    <t>IOP7MD[28]</t>
  </si>
  <si>
    <t>IOP3MD[4]</t>
  </si>
  <si>
    <t>IOP3MD[8]</t>
  </si>
  <si>
    <t>IOP2MD[4]</t>
  </si>
  <si>
    <t>IOP2MD[8]</t>
  </si>
  <si>
    <t>IOP5MD[4]</t>
  </si>
  <si>
    <t>IOP2MD[16]</t>
  </si>
  <si>
    <t>IOP2MD[20]</t>
  </si>
  <si>
    <t>IOP2MD[24]</t>
  </si>
  <si>
    <t>IOP2MD[28]</t>
  </si>
  <si>
    <t>IOP4MD[16]</t>
  </si>
  <si>
    <t>IOP4MD[20]</t>
  </si>
  <si>
    <t>IOP4MD[24]</t>
  </si>
  <si>
    <t>IOP4MD[28]</t>
  </si>
  <si>
    <t>IOP0MD[5]</t>
  </si>
  <si>
    <t>IOP0MD[9]</t>
  </si>
  <si>
    <t>IOP0MD[13]</t>
  </si>
  <si>
    <t>IOP0MD[17]</t>
  </si>
  <si>
    <t>IOP0MD[21]</t>
  </si>
  <si>
    <t>IOP0MD[25]</t>
  </si>
  <si>
    <t>IOP0MD[29]</t>
  </si>
  <si>
    <t>IOP6MD[5]</t>
  </si>
  <si>
    <t>IOP6MD[9]</t>
  </si>
  <si>
    <t>IOP6MD[13]</t>
  </si>
  <si>
    <t>IOP6MD[17]</t>
  </si>
  <si>
    <t>IOP6MD[21]</t>
  </si>
  <si>
    <t>IOP6MD[25]</t>
  </si>
  <si>
    <t>IOP6MD[29]</t>
  </si>
  <si>
    <t>IOP8MD[5]</t>
  </si>
  <si>
    <t>IOP8MD[9]</t>
  </si>
  <si>
    <t>IOP8MD[13]</t>
  </si>
  <si>
    <t>IOP8MD[17]</t>
  </si>
  <si>
    <t>IOP8MD[21]</t>
  </si>
  <si>
    <t>IOP8MD[25]</t>
  </si>
  <si>
    <t>IOP8MD[29]</t>
  </si>
  <si>
    <t>IOP1MD[5]</t>
  </si>
  <si>
    <t>IOP1MD[9]</t>
  </si>
  <si>
    <t>IOP1MD[13]</t>
  </si>
  <si>
    <t>IOP7MD[5]</t>
  </si>
  <si>
    <t>IOP7MD[9]</t>
  </si>
  <si>
    <t>IOP7MD[13]</t>
  </si>
  <si>
    <t>IOP3MD[17]</t>
  </si>
  <si>
    <t>IOP3MD[21]</t>
  </si>
  <si>
    <t>IOP3MD[25]</t>
  </si>
  <si>
    <t>IOP4MD[5]</t>
  </si>
  <si>
    <t>IOP4MD[9]</t>
  </si>
  <si>
    <t>IOP5MD[9]</t>
  </si>
  <si>
    <t>IOP5MD[13]</t>
  </si>
  <si>
    <t>IOP5MD[17]</t>
  </si>
  <si>
    <t>IOP5MD[21]</t>
  </si>
  <si>
    <t>IOP5MD[25]</t>
  </si>
  <si>
    <t>IOP5MD[29]</t>
  </si>
  <si>
    <t>IOP7MD[17]</t>
  </si>
  <si>
    <t>IOP7MD[21]</t>
  </si>
  <si>
    <t>IOP7MD[25]</t>
  </si>
  <si>
    <t>IOP7MD[29]</t>
  </si>
  <si>
    <t>IOP3MD[5]</t>
  </si>
  <si>
    <t>IOP3MD[9]</t>
  </si>
  <si>
    <t>IOP2MD[5]</t>
  </si>
  <si>
    <t>IOP2MD[9]</t>
  </si>
  <si>
    <t>IOP5MD[5]</t>
  </si>
  <si>
    <t>IOP2MD[17]</t>
  </si>
  <si>
    <t>IOP2MD[21]</t>
  </si>
  <si>
    <t>IOP2MD[25]</t>
  </si>
  <si>
    <t>IOP2MD[29]</t>
  </si>
  <si>
    <t>IOP4MD[17]</t>
  </si>
  <si>
    <t>IOP4MD[21]</t>
  </si>
  <si>
    <t>IOP4MD[25]</t>
  </si>
  <si>
    <t>IOP4MD[29]</t>
  </si>
  <si>
    <t>IOP0MD[6]</t>
  </si>
  <si>
    <t>IOP0MD[10]</t>
  </si>
  <si>
    <t>IOP0MD[14]</t>
  </si>
  <si>
    <t>IOP0MD[18]</t>
  </si>
  <si>
    <t>IOP0MD[22]</t>
  </si>
  <si>
    <t>IOP0MD[26]</t>
  </si>
  <si>
    <t>IOP0MD[30]</t>
  </si>
  <si>
    <t>IOP6MD[6]</t>
  </si>
  <si>
    <t>IOP6MD[10]</t>
  </si>
  <si>
    <t>IOP6MD[14]</t>
  </si>
  <si>
    <t>IOP6MD[18]</t>
  </si>
  <si>
    <t>IOP6MD[22]</t>
  </si>
  <si>
    <t>IOP6MD[26]</t>
  </si>
  <si>
    <t>IOP6MD[30]</t>
  </si>
  <si>
    <t>IOP8MD[6]</t>
  </si>
  <si>
    <t>IOP8MD[10]</t>
  </si>
  <si>
    <t>IOP8MD[14]</t>
  </si>
  <si>
    <t>IOP8MD[18]</t>
  </si>
  <si>
    <t>IOP8MD[22]</t>
  </si>
  <si>
    <t>IOP8MD[26]</t>
  </si>
  <si>
    <t>IOP8MD[30]</t>
  </si>
  <si>
    <t>IOP1MD[6]</t>
  </si>
  <si>
    <t>IOP1MD[10]</t>
  </si>
  <si>
    <t>IOP1MD[14]</t>
  </si>
  <si>
    <t>IOP7MD[6]</t>
  </si>
  <si>
    <t>IOP7MD[10]</t>
  </si>
  <si>
    <t>IOP7MD[14]</t>
  </si>
  <si>
    <t>IOP3MD[18]</t>
  </si>
  <si>
    <t>IOP3MD[22]</t>
  </si>
  <si>
    <t>IOP3MD[26]</t>
  </si>
  <si>
    <t>IOP4MD[6]</t>
  </si>
  <si>
    <t>IOP4MD[10]</t>
  </si>
  <si>
    <t>IOP5MD[10]</t>
  </si>
  <si>
    <t>IOP5MD[14]</t>
  </si>
  <si>
    <t>IOP5MD[18]</t>
  </si>
  <si>
    <t>IOP5MD[22]</t>
  </si>
  <si>
    <t>IOP5MD[26]</t>
  </si>
  <si>
    <t>IOP5MD[30]</t>
  </si>
  <si>
    <t>IOP7MD[18]</t>
  </si>
  <si>
    <t>IOP7MD[22]</t>
  </si>
  <si>
    <t>IOP7MD[26]</t>
  </si>
  <si>
    <t>IOP7MD[30]</t>
  </si>
  <si>
    <t>IOP3MD[6]</t>
  </si>
  <si>
    <t>IOP3MD[10]</t>
  </si>
  <si>
    <t>IOP2MD[6]</t>
  </si>
  <si>
    <t>IOP2MD[10]</t>
  </si>
  <si>
    <t>IOP5MD[6]</t>
  </si>
  <si>
    <t>IOP2MD[18]</t>
  </si>
  <si>
    <t>IOP2MD[22]</t>
  </si>
  <si>
    <t>IOP2MD[26]</t>
  </si>
  <si>
    <t>IOP2MD[30]</t>
  </si>
  <si>
    <t>IOP4MD[18]</t>
  </si>
  <si>
    <t>IOP4MD[22]</t>
  </si>
  <si>
    <t>IOP4MD[26]</t>
  </si>
  <si>
    <t>IOP4MD[30]</t>
  </si>
  <si>
    <t>IOP0MD[7]</t>
  </si>
  <si>
    <t>IOP0MD[11]</t>
  </si>
  <si>
    <t>IOP0MD[15]</t>
  </si>
  <si>
    <t>IOP0MD[19]</t>
  </si>
  <si>
    <t>IOP0MD[23]</t>
  </si>
  <si>
    <t>IOP0MD[27]</t>
  </si>
  <si>
    <t>IOP0MD[31]</t>
  </si>
  <si>
    <t>IOP6MD[7]</t>
  </si>
  <si>
    <t>IOP6MD[11]</t>
  </si>
  <si>
    <t>IOP6MD[15]</t>
  </si>
  <si>
    <t>IOP6MD[19]</t>
  </si>
  <si>
    <t>IOP6MD[23]</t>
  </si>
  <si>
    <t>IOP6MD[27]</t>
  </si>
  <si>
    <t>IOP6MD[31]</t>
  </si>
  <si>
    <t>IOP8MD[7]</t>
  </si>
  <si>
    <t>IOP8MD[11]</t>
  </si>
  <si>
    <t>IOP8MD[15]</t>
  </si>
  <si>
    <t>IOP8MD[19]</t>
  </si>
  <si>
    <t>IOP8MD[23]</t>
  </si>
  <si>
    <t>IOP8MD[27]</t>
  </si>
  <si>
    <t>IOP8MD[31]</t>
  </si>
  <si>
    <t>IOP1MD[7]</t>
  </si>
  <si>
    <t>IOP1MD[11]</t>
  </si>
  <si>
    <t>IOP1MD[15]</t>
  </si>
  <si>
    <t>IOP7MD[7]</t>
  </si>
  <si>
    <t>IOP7MD[11]</t>
  </si>
  <si>
    <t>IOP7MD[15]</t>
  </si>
  <si>
    <t>IOP3MD[19]</t>
  </si>
  <si>
    <t>IOP3MD[23]</t>
  </si>
  <si>
    <t>IOP3MD[27]</t>
  </si>
  <si>
    <t>IOP4MD[7]</t>
  </si>
  <si>
    <t>IOP4MD[11]</t>
  </si>
  <si>
    <t>IOP5MD[11]</t>
  </si>
  <si>
    <t>IOP5MD[15]</t>
  </si>
  <si>
    <t>IOP5MD[19]</t>
  </si>
  <si>
    <t>IOP5MD[23]</t>
  </si>
  <si>
    <t>IOP5MD[27]</t>
  </si>
  <si>
    <t>IOP5MD[31]</t>
  </si>
  <si>
    <t>IOP7MD[19]</t>
  </si>
  <si>
    <t>IOP7MD[23]</t>
  </si>
  <si>
    <t>IOP7MD[27]</t>
  </si>
  <si>
    <t>IOP7MD[31]</t>
  </si>
  <si>
    <t>IOP3MD[7]</t>
  </si>
  <si>
    <t>IOP3MD[11]</t>
  </si>
  <si>
    <t>IOP2MD[7]</t>
  </si>
  <si>
    <t>IOP2MD[11]</t>
  </si>
  <si>
    <t>IOP5MD[7]</t>
  </si>
  <si>
    <t>IOP2MD[19]</t>
  </si>
  <si>
    <t>IOP2MD[23]</t>
  </si>
  <si>
    <t>IOP2MD[27]</t>
  </si>
  <si>
    <t>IOP2MD[31]</t>
  </si>
  <si>
    <t>IOP4MD[19]</t>
  </si>
  <si>
    <t>IOP4MD[23]</t>
  </si>
  <si>
    <t>IOP4MD[27]</t>
  </si>
  <si>
    <t>IOP4MD[31]</t>
  </si>
  <si>
    <t>グループ名</t>
    <phoneticPr fontId="58"/>
  </si>
  <si>
    <t>端子機能名</t>
    <rPh sb="0" eb="2">
      <t>タンシ</t>
    </rPh>
    <rPh sb="2" eb="4">
      <t>キノウ</t>
    </rPh>
    <rPh sb="4" eb="5">
      <t>メイ</t>
    </rPh>
    <phoneticPr fontId="58"/>
  </si>
  <si>
    <t>LDO_CAP</t>
    <phoneticPr fontId="56"/>
  </si>
  <si>
    <t>CMP4</t>
    <phoneticPr fontId="56"/>
  </si>
  <si>
    <t>IRQ</t>
  </si>
  <si>
    <t>TM00</t>
  </si>
  <si>
    <t>TM01</t>
  </si>
  <si>
    <t>TM02</t>
  </si>
  <si>
    <t>TM03</t>
  </si>
  <si>
    <t>TM04</t>
  </si>
  <si>
    <t>TM05</t>
  </si>
  <si>
    <t>TM06</t>
  </si>
  <si>
    <t>TM07</t>
  </si>
  <si>
    <t>TM08</t>
  </si>
  <si>
    <t>TM09</t>
  </si>
  <si>
    <t>TM10</t>
  </si>
  <si>
    <t>TM11</t>
  </si>
  <si>
    <t>TM12</t>
  </si>
  <si>
    <t>TM13</t>
  </si>
  <si>
    <t>AD</t>
  </si>
  <si>
    <t>CMP</t>
  </si>
  <si>
    <t>SPI2</t>
  </si>
  <si>
    <t>入出力</t>
    <rPh sb="0" eb="3">
      <t>ニュウシュツリョク</t>
    </rPh>
    <phoneticPr fontId="56"/>
  </si>
  <si>
    <t>Serial wire output pin</t>
  </si>
  <si>
    <t>O</t>
    <phoneticPr fontId="56"/>
  </si>
  <si>
    <t>説明(L説)</t>
    <rPh sb="0" eb="2">
      <t>セツメイ</t>
    </rPh>
    <rPh sb="4" eb="5">
      <t>セツ</t>
    </rPh>
    <phoneticPr fontId="58"/>
  </si>
  <si>
    <t>説明形式(pinconfig)</t>
    <rPh sb="0" eb="2">
      <t>セツメイ</t>
    </rPh>
    <rPh sb="2" eb="4">
      <t>ケイシキ</t>
    </rPh>
    <phoneticPr fontId="58"/>
  </si>
  <si>
    <t>Pin Component List記載</t>
    <rPh sb="18" eb="20">
      <t>キサイ</t>
    </rPh>
    <phoneticPr fontId="56"/>
  </si>
  <si>
    <t>Pin Name</t>
    <phoneticPr fontId="58"/>
  </si>
  <si>
    <t>Description (  '*', '$' are wildcard characters)</t>
    <phoneticPr fontId="58"/>
  </si>
  <si>
    <t>Type</t>
    <phoneticPr fontId="58"/>
  </si>
  <si>
    <t>External interrupt 0</t>
    <phoneticPr fontId="56"/>
  </si>
  <si>
    <t>External interrupt 1</t>
  </si>
  <si>
    <t>External interrupt 2</t>
  </si>
  <si>
    <t>External interrupt 3</t>
  </si>
  <si>
    <t>External interrupt 4</t>
  </si>
  <si>
    <t>External interrupt 5</t>
  </si>
  <si>
    <t>External interrupt 6</t>
  </si>
  <si>
    <t>External interrupt 7</t>
  </si>
  <si>
    <t>External interrupt 8</t>
  </si>
  <si>
    <t>External interrupt 9</t>
  </si>
  <si>
    <t>External interrupt 10</t>
  </si>
  <si>
    <t>External interrupt 11</t>
  </si>
  <si>
    <t>External interrupt 12</t>
  </si>
  <si>
    <t>External interrupt 13</t>
  </si>
  <si>
    <t>External interrupt 14</t>
  </si>
  <si>
    <t>External interrupt 15</t>
  </si>
  <si>
    <t>I</t>
    <phoneticPr fontId="56"/>
  </si>
  <si>
    <t>External interrupt 0 input pin</t>
    <phoneticPr fontId="56"/>
  </si>
  <si>
    <t>External interrupt 1 input pin</t>
  </si>
  <si>
    <t>External interrupt 2 input pin</t>
  </si>
  <si>
    <t>External interrupt 3 input pin</t>
  </si>
  <si>
    <t>External interrupt 4 input pin</t>
  </si>
  <si>
    <t>External interrupt 5 input pin</t>
  </si>
  <si>
    <t>External interrupt 6 input pin</t>
  </si>
  <si>
    <t>External interrupt 7 input pin</t>
  </si>
  <si>
    <t>External interrupt 8 input pin</t>
  </si>
  <si>
    <t>External interrupt 9 input pin</t>
  </si>
  <si>
    <t>External interrupt 10 input pin</t>
  </si>
  <si>
    <t>External interrupt 11 input pin</t>
  </si>
  <si>
    <t>External interrupt 12 input pin</t>
  </si>
  <si>
    <t>External interrupt 13 input pin</t>
  </si>
  <si>
    <t>External interrupt 14 input pin</t>
  </si>
  <si>
    <t>External interrupt 15 input pin</t>
  </si>
  <si>
    <r>
      <t>I</t>
    </r>
    <r>
      <rPr>
        <sz val="11"/>
        <color theme="1"/>
        <rFont val="ＭＳ Ｐゴシック"/>
        <family val="2"/>
        <charset val="128"/>
        <scheme val="minor"/>
      </rPr>
      <t>/O</t>
    </r>
    <phoneticPr fontId="56"/>
  </si>
  <si>
    <t>Timer pin A</t>
    <phoneticPr fontId="56"/>
  </si>
  <si>
    <t>Timer pin B</t>
    <phoneticPr fontId="56"/>
  </si>
  <si>
    <t>Timer 0 input/output pin B</t>
  </si>
  <si>
    <t>Timer 1 input/output pin A</t>
  </si>
  <si>
    <t>Timer 1 input/output pin B</t>
  </si>
  <si>
    <t>Timer 2 input/output pin A</t>
  </si>
  <si>
    <t>Timer 2 input/output pin B</t>
  </si>
  <si>
    <t>Timer 3 input/output pin A</t>
  </si>
  <si>
    <t>Timer 3 input/output pin B</t>
  </si>
  <si>
    <t>Timer 4 input/output pin A</t>
  </si>
  <si>
    <t>Timer 4 input/output pin B</t>
  </si>
  <si>
    <t>Timer 5 input/output pin A</t>
  </si>
  <si>
    <t>Timer 5 input/output pin B</t>
  </si>
  <si>
    <t>Timer 6 input/output pin A</t>
  </si>
  <si>
    <t>Timer 6 input/output pin B</t>
  </si>
  <si>
    <t>Timer 7 input/output pin A</t>
  </si>
  <si>
    <t>Timer 7 input/output pin B</t>
  </si>
  <si>
    <t>Timer 8 input/output pin A</t>
  </si>
  <si>
    <t>Timer 8 input/output pin B</t>
  </si>
  <si>
    <t>Timer 9 input/output pin A</t>
  </si>
  <si>
    <t>Timer 9 input/output pin B</t>
  </si>
  <si>
    <t>Timer 10 input/output pin A</t>
  </si>
  <si>
    <t>Timer 10 input/output pin B</t>
  </si>
  <si>
    <t>Timer 11 input/output pin A</t>
  </si>
  <si>
    <t>Timer 11 input/output pin B</t>
  </si>
  <si>
    <t>Timer 12 input/output pin A</t>
  </si>
  <si>
    <t>Timer 12 input/output pin B</t>
  </si>
  <si>
    <t>Timer 13 input/output pin A</t>
  </si>
  <si>
    <t>Timer 13 input/output pin B</t>
  </si>
  <si>
    <t>Timer 0 input/output pin A</t>
  </si>
  <si>
    <t>GPWM output pin</t>
    <phoneticPr fontId="56"/>
  </si>
  <si>
    <t>I/O</t>
  </si>
  <si>
    <t>SPI1 data input pin</t>
  </si>
  <si>
    <t>SPI2 data input pin</t>
  </si>
  <si>
    <t>SPI3 data input pin</t>
  </si>
  <si>
    <t>SPI5 data input pin</t>
  </si>
  <si>
    <t>SPI6 data input pin</t>
  </si>
  <si>
    <t>SPI4 data input pin</t>
  </si>
  <si>
    <t>SPI* data input pin</t>
  </si>
  <si>
    <t>UART2 data input pin</t>
  </si>
  <si>
    <t>UART3 data input pin</t>
  </si>
  <si>
    <t>UART5 data input pin</t>
  </si>
  <si>
    <t>UART6 data input pin</t>
  </si>
  <si>
    <t>UART* data input pin</t>
  </si>
  <si>
    <t>LIN reception pin</t>
  </si>
  <si>
    <t>A</t>
    <phoneticPr fontId="56"/>
  </si>
  <si>
    <t>Comparator 00 output pin</t>
    <phoneticPr fontId="56"/>
  </si>
  <si>
    <t>Comparator 01 output pin</t>
  </si>
  <si>
    <t>Comparator 10 output pin</t>
    <phoneticPr fontId="56"/>
  </si>
  <si>
    <t>Comparator 11 output pin</t>
    <phoneticPr fontId="56"/>
  </si>
  <si>
    <t>Comparator 20 output pin</t>
    <phoneticPr fontId="56"/>
  </si>
  <si>
    <t>Comparator 21 output pin</t>
    <phoneticPr fontId="56"/>
  </si>
  <si>
    <t>Comparator 30 output pin</t>
    <phoneticPr fontId="56"/>
  </si>
  <si>
    <t>Comparator 31 output pin</t>
    <phoneticPr fontId="56"/>
  </si>
  <si>
    <t>Comparator 40 output pin</t>
    <phoneticPr fontId="56"/>
  </si>
  <si>
    <t>Comparator 41 output pin</t>
    <phoneticPr fontId="56"/>
  </si>
  <si>
    <r>
      <t xml:space="preserve">D/A </t>
    </r>
    <r>
      <rPr>
        <sz val="11"/>
        <color theme="1"/>
        <rFont val="ＭＳ Ｐゴシック"/>
        <family val="2"/>
        <charset val="128"/>
        <scheme val="minor"/>
      </rPr>
      <t>o</t>
    </r>
    <r>
      <rPr>
        <sz val="11"/>
        <color theme="1"/>
        <rFont val="ＭＳ Ｐゴシック"/>
        <family val="2"/>
        <charset val="128"/>
        <scheme val="minor"/>
      </rPr>
      <t>utput</t>
    </r>
    <phoneticPr fontId="56"/>
  </si>
  <si>
    <t>P1.*</t>
  </si>
  <si>
    <t>P2.*</t>
  </si>
  <si>
    <t>P3.*</t>
  </si>
  <si>
    <t>P4.*</t>
  </si>
  <si>
    <t>P5.*</t>
  </si>
  <si>
    <t>P6.*</t>
  </si>
  <si>
    <t>P7.*</t>
  </si>
  <si>
    <t>P8.*</t>
  </si>
  <si>
    <t>説明文案</t>
    <rPh sb="0" eb="2">
      <t>セツメイ</t>
    </rPh>
    <rPh sb="2" eb="3">
      <t>ブン</t>
    </rPh>
    <phoneticPr fontId="58"/>
  </si>
  <si>
    <t>Table 7.4-1 The List of the Interrupt Factors</t>
  </si>
  <si>
    <t>GPWM high-resolution output pin</t>
    <phoneticPr fontId="56"/>
  </si>
  <si>
    <t>DBG_TRCSWO</t>
  </si>
  <si>
    <t>General-purpose input/output pin</t>
  </si>
  <si>
    <t>General-Purpose I/O Port</t>
    <phoneticPr fontId="56"/>
  </si>
  <si>
    <t>Table 15.5-2 Pins used for Each Communication Type</t>
  </si>
  <si>
    <t>LIN reception input pin</t>
    <phoneticPr fontId="56"/>
  </si>
  <si>
    <t>0x00000000</t>
    <phoneticPr fontId="13" type="noConversion"/>
  </si>
  <si>
    <t>Default value</t>
    <phoneticPr fontId="13" type="noConversion"/>
  </si>
  <si>
    <t>A/D converter analog input 01 pin</t>
  </si>
  <si>
    <t>A/D converter analog input 02 pin</t>
  </si>
  <si>
    <t>A/D converter analog input 03 pin</t>
  </si>
  <si>
    <t>A/D converter analog input 04 pin</t>
  </si>
  <si>
    <t>A/D converter analog input 05 pin</t>
  </si>
  <si>
    <t>A/D converter analog input 06 pin</t>
  </si>
  <si>
    <t>A/D converter analog input 07 pin</t>
  </si>
  <si>
    <t>A/D converter analog input 08 pin</t>
  </si>
  <si>
    <t>A/D converter analog input 09 pin</t>
  </si>
  <si>
    <t>A/D converter analog input 10 pin</t>
  </si>
  <si>
    <t>A/D converter analog input 11 pin</t>
  </si>
  <si>
    <t>A/D converter analog input 12 pin</t>
  </si>
  <si>
    <t>A/D converter analog input 13 pin</t>
  </si>
  <si>
    <t>A/D converter analog input 14 pin</t>
  </si>
  <si>
    <t>A/D converter analog input 15 pin</t>
  </si>
  <si>
    <t>A/D converter analog input 16 pin</t>
  </si>
  <si>
    <t>A/D converter analog input 17 pin</t>
  </si>
  <si>
    <t>A/D converter analog input 18 pin</t>
  </si>
  <si>
    <t>A/D converter analog input 19 pin</t>
  </si>
  <si>
    <t>A/D converter analog input 20 pin</t>
  </si>
  <si>
    <t>A/D converter analog input 21 pin</t>
  </si>
  <si>
    <t>A/D converter analog input 22 pin</t>
  </si>
  <si>
    <t>A/D converter analog input 23 pin</t>
  </si>
  <si>
    <t>A/D converter analog input 24 pin</t>
  </si>
  <si>
    <t>A/D converter analog input 25 pin</t>
  </si>
  <si>
    <t>A/D converter analog input * pin</t>
  </si>
  <si>
    <t xml:space="preserve">GPIO          </t>
  </si>
  <si>
    <t xml:space="preserve">IRQ00         </t>
  </si>
  <si>
    <t xml:space="preserve">TM20A         </t>
  </si>
  <si>
    <t xml:space="preserve">IRQ01         </t>
  </si>
  <si>
    <t xml:space="preserve">TM20B         </t>
  </si>
  <si>
    <t xml:space="preserve">IRQ02         </t>
  </si>
  <si>
    <t xml:space="preserve">TM00A         </t>
  </si>
  <si>
    <t xml:space="preserve">IRQ03         </t>
  </si>
  <si>
    <t xml:space="preserve">TM00B         </t>
  </si>
  <si>
    <t xml:space="preserve">IRQ04         </t>
  </si>
  <si>
    <t xml:space="preserve">TM01A         </t>
  </si>
  <si>
    <t xml:space="preserve">IRQ05         </t>
  </si>
  <si>
    <t xml:space="preserve">TM01B         </t>
  </si>
  <si>
    <t xml:space="preserve">IRQ06         </t>
  </si>
  <si>
    <t xml:space="preserve">TM02A         </t>
  </si>
  <si>
    <t xml:space="preserve">IRQ07         </t>
  </si>
  <si>
    <t xml:space="preserve">TM02B         </t>
  </si>
  <si>
    <t xml:space="preserve"> definition of</t>
  </si>
  <si>
    <t xml:space="preserve">IRQ08         </t>
  </si>
  <si>
    <t xml:space="preserve">TM21A         </t>
  </si>
  <si>
    <t xml:space="preserve">CMP0_CMPOT00  </t>
  </si>
  <si>
    <t xml:space="preserve">IRQ09         </t>
  </si>
  <si>
    <t xml:space="preserve">TM21B         </t>
  </si>
  <si>
    <t xml:space="preserve">CMP1_CMPOT10  </t>
  </si>
  <si>
    <t xml:space="preserve">IRQ10         </t>
  </si>
  <si>
    <t xml:space="preserve">TM07A         </t>
  </si>
  <si>
    <t xml:space="preserve">IRQ11         </t>
  </si>
  <si>
    <t xml:space="preserve">TM07B         </t>
  </si>
  <si>
    <t xml:space="preserve">GPWM0_GPWMST0 </t>
  </si>
  <si>
    <t xml:space="preserve">GPWM9_GPWMST9 </t>
  </si>
  <si>
    <t xml:space="preserve">IRQ12         </t>
  </si>
  <si>
    <t xml:space="preserve">TM08A         </t>
  </si>
  <si>
    <t xml:space="preserve">GPWM1_GPWMST1 </t>
  </si>
  <si>
    <t xml:space="preserve">GPWMA_GPWMSTA </t>
  </si>
  <si>
    <t xml:space="preserve">DAC_DAOT0     </t>
  </si>
  <si>
    <t xml:space="preserve">IRQ13         </t>
  </si>
  <si>
    <t xml:space="preserve">TM08B         </t>
  </si>
  <si>
    <t xml:space="preserve">GPWM2_GPWMST2 </t>
  </si>
  <si>
    <t xml:space="preserve">GPWMB_GPWMSTB </t>
  </si>
  <si>
    <t xml:space="preserve">DAC_DAOT1     </t>
  </si>
  <si>
    <t xml:space="preserve">IRQ14         </t>
  </si>
  <si>
    <t xml:space="preserve">TM12A         </t>
  </si>
  <si>
    <t xml:space="preserve">IRQ15         </t>
  </si>
  <si>
    <t xml:space="preserve">TM12B         </t>
  </si>
  <si>
    <t xml:space="preserve">IRQ16         </t>
  </si>
  <si>
    <t xml:space="preserve">IRQ17         </t>
  </si>
  <si>
    <t xml:space="preserve">ADTRG0        </t>
  </si>
  <si>
    <t xml:space="preserve">IRQ18         </t>
  </si>
  <si>
    <t xml:space="preserve">ADTRG1        </t>
  </si>
  <si>
    <t xml:space="preserve">IRQ19         </t>
  </si>
  <si>
    <t xml:space="preserve">TM13A         </t>
  </si>
  <si>
    <t xml:space="preserve">ADTRG2        </t>
  </si>
  <si>
    <t xml:space="preserve">TM13B         </t>
  </si>
  <si>
    <t xml:space="preserve">CMP2_CMPOT20  </t>
  </si>
  <si>
    <t xml:space="preserve">CMP3_CMPOT30  </t>
  </si>
  <si>
    <t xml:space="preserve">CMP4_CMPOT40  </t>
  </si>
  <si>
    <t xml:space="preserve">TM22A         </t>
  </si>
  <si>
    <t xml:space="preserve">TM22B         </t>
  </si>
  <si>
    <t xml:space="preserve">TM23A         </t>
  </si>
  <si>
    <t xml:space="preserve">CMP0_CMPOT01  </t>
  </si>
  <si>
    <t xml:space="preserve">TM23B         </t>
  </si>
  <si>
    <t xml:space="preserve">CMP1_CMPOT11  </t>
  </si>
  <si>
    <t xml:space="preserve">TM24A         </t>
  </si>
  <si>
    <t xml:space="preserve">CMP2_CMPOT21  </t>
  </si>
  <si>
    <t xml:space="preserve">TM24B         </t>
  </si>
  <si>
    <t xml:space="preserve">CMP3_CMPOT31  </t>
  </si>
  <si>
    <t xml:space="preserve">TM25A         </t>
  </si>
  <si>
    <t xml:space="preserve">CMP4_CMPOT41  </t>
  </si>
  <si>
    <t xml:space="preserve">TM25B         </t>
  </si>
  <si>
    <t xml:space="preserve">TM03A         </t>
  </si>
  <si>
    <t xml:space="preserve">GPWM5_GPWMST5 </t>
  </si>
  <si>
    <t xml:space="preserve">TM03B         </t>
  </si>
  <si>
    <t xml:space="preserve">GPWM6_GPWMST6 </t>
  </si>
  <si>
    <t xml:space="preserve">TM04A         </t>
  </si>
  <si>
    <t xml:space="preserve">GPWM7_GPWMST7 </t>
  </si>
  <si>
    <t xml:space="preserve">TM04B         </t>
  </si>
  <si>
    <t xml:space="preserve">GPWM8_GPWMST8 </t>
  </si>
  <si>
    <t xml:space="preserve">TM05A         </t>
  </si>
  <si>
    <t xml:space="preserve">TM05B         </t>
  </si>
  <si>
    <t xml:space="preserve">GPWM9_GPWM90  </t>
  </si>
  <si>
    <t xml:space="preserve">TM09A         </t>
  </si>
  <si>
    <t xml:space="preserve">GPWM9_GPWM91  </t>
  </si>
  <si>
    <t xml:space="preserve">TM09B         </t>
  </si>
  <si>
    <t xml:space="preserve">GPWMA_GPWMA0  </t>
  </si>
  <si>
    <t xml:space="preserve">TM10A         </t>
  </si>
  <si>
    <t xml:space="preserve">GPWMA_GPWMA1  </t>
  </si>
  <si>
    <t xml:space="preserve">TM10B         </t>
  </si>
  <si>
    <t xml:space="preserve">TM11A         </t>
  </si>
  <si>
    <t xml:space="preserve">GPWM3_GPWMST3 </t>
  </si>
  <si>
    <t xml:space="preserve">TM11B         </t>
  </si>
  <si>
    <t xml:space="preserve">GPWM4_GPWMST4 </t>
  </si>
  <si>
    <t xml:space="preserve">GPWM0_GPWMH00 </t>
  </si>
  <si>
    <t xml:space="preserve">GPWM0_GPWM00  </t>
  </si>
  <si>
    <t xml:space="preserve">GPWM0_GPWMH01 </t>
  </si>
  <si>
    <t xml:space="preserve">GPWM0_GPWM01  </t>
  </si>
  <si>
    <t xml:space="preserve">GPWM1_GPWMH10 </t>
  </si>
  <si>
    <t xml:space="preserve">GPWM1_GPWM10  </t>
  </si>
  <si>
    <t xml:space="preserve">GPWM1_GPWMH11 </t>
  </si>
  <si>
    <t xml:space="preserve">GPWM1_GPWM11  </t>
  </si>
  <si>
    <t xml:space="preserve">GPWM2_GPWMH20 </t>
  </si>
  <si>
    <t xml:space="preserve">GPWM2_GPWM20  </t>
  </si>
  <si>
    <t xml:space="preserve">GPWM2_GPWMH21 </t>
  </si>
  <si>
    <t xml:space="preserve">GPWM2_GPWM21  </t>
  </si>
  <si>
    <t xml:space="preserve">TM06A         </t>
  </si>
  <si>
    <t xml:space="preserve">TM06B         </t>
  </si>
  <si>
    <t xml:space="preserve">GPWM3_GPWMH30 </t>
  </si>
  <si>
    <t xml:space="preserve">GPWM3_GPWM30  </t>
  </si>
  <si>
    <t xml:space="preserve">GPWM3_GPWMH31 </t>
  </si>
  <si>
    <t xml:space="preserve">GPWM3_GPWM31  </t>
  </si>
  <si>
    <t xml:space="preserve">GPWM4_GPWMH40 </t>
  </si>
  <si>
    <t xml:space="preserve">GPWM4_GPWM40  </t>
  </si>
  <si>
    <t xml:space="preserve">GPWM4_GPWMH41 </t>
  </si>
  <si>
    <t xml:space="preserve">GPWM4_GPWM41  </t>
  </si>
  <si>
    <t xml:space="preserve">GPWM5_GPWMH50 </t>
  </si>
  <si>
    <t xml:space="preserve">GPWM5_GPWM50  </t>
  </si>
  <si>
    <t xml:space="preserve">GPWM5_GPWMH51 </t>
  </si>
  <si>
    <t xml:space="preserve">GPWM5_GPWM51  </t>
  </si>
  <si>
    <t xml:space="preserve">GPWM6_GPWMH60 </t>
  </si>
  <si>
    <t xml:space="preserve">GPWM6_GPWM60  </t>
  </si>
  <si>
    <t xml:space="preserve">GPWM6_GPWMH61 </t>
  </si>
  <si>
    <t xml:space="preserve">GPWM6_GPWM61  </t>
  </si>
  <si>
    <t xml:space="preserve">GPWM7_GPWMH70 </t>
  </si>
  <si>
    <t xml:space="preserve">GPWM7_GPWM70  </t>
  </si>
  <si>
    <t xml:space="preserve">GPWM7_GPWMH71 </t>
  </si>
  <si>
    <t xml:space="preserve">GPWM7_GPWM71  </t>
  </si>
  <si>
    <t xml:space="preserve">GPWM8_GPWMH80 </t>
  </si>
  <si>
    <t xml:space="preserve">GPWM8_GPWM80  </t>
  </si>
  <si>
    <t xml:space="preserve">GPWM8_GPWMH81 </t>
  </si>
  <si>
    <t xml:space="preserve">GPWM8_GPWM81  </t>
  </si>
  <si>
    <t xml:space="preserve">GPWMB_GPWMB0  </t>
  </si>
  <si>
    <t xml:space="preserve">GPWMB_GPWMB1  </t>
  </si>
  <si>
    <t xml:space="preserve">ADIN00        </t>
  </si>
  <si>
    <t xml:space="preserve">ADIN01        </t>
  </si>
  <si>
    <t xml:space="preserve">CMP0_CMPIN0   </t>
  </si>
  <si>
    <t xml:space="preserve">ADIN02        </t>
  </si>
  <si>
    <t xml:space="preserve">CMP1_CMPIN1   </t>
  </si>
  <si>
    <t xml:space="preserve">ADIN03        </t>
  </si>
  <si>
    <t xml:space="preserve">CMP2_CMPIN2   </t>
  </si>
  <si>
    <t xml:space="preserve">ADIN04        </t>
  </si>
  <si>
    <t xml:space="preserve">ADIN05        </t>
  </si>
  <si>
    <t xml:space="preserve">ADIN06        </t>
  </si>
  <si>
    <t xml:space="preserve">ADIN07        </t>
  </si>
  <si>
    <t xml:space="preserve">ADIN08        </t>
  </si>
  <si>
    <t xml:space="preserve">ADIN09        </t>
  </si>
  <si>
    <t xml:space="preserve">CMP3_CMPIN3   </t>
  </si>
  <si>
    <t xml:space="preserve">ADIN10        </t>
  </si>
  <si>
    <t xml:space="preserve">ADIN11        </t>
  </si>
  <si>
    <t xml:space="preserve">ADIN12        </t>
  </si>
  <si>
    <t xml:space="preserve">ADIN13        </t>
  </si>
  <si>
    <t xml:space="preserve">ADIN14        </t>
  </si>
  <si>
    <t xml:space="preserve">ADIN15        </t>
  </si>
  <si>
    <t xml:space="preserve">ADIN16        </t>
  </si>
  <si>
    <t xml:space="preserve">CMP4_CMPIN4   </t>
  </si>
  <si>
    <t xml:space="preserve">ADIN17        </t>
  </si>
  <si>
    <t xml:space="preserve">ADIN18        </t>
  </si>
  <si>
    <t xml:space="preserve">ADIN19        </t>
  </si>
  <si>
    <t xml:space="preserve">ADIN20        </t>
  </si>
  <si>
    <t xml:space="preserve">ADIN21        </t>
  </si>
  <si>
    <t xml:space="preserve">ADIN22        </t>
  </si>
  <si>
    <t xml:space="preserve">ADIN23        </t>
  </si>
  <si>
    <t xml:space="preserve">ADIN24        </t>
  </si>
  <si>
    <t xml:space="preserve">ADIN25        </t>
  </si>
  <si>
    <t xml:space="preserve">ADIN26        </t>
  </si>
  <si>
    <t xml:space="preserve">ADIN27        </t>
  </si>
  <si>
    <t xml:space="preserve">ADIN28        </t>
  </si>
  <si>
    <t xml:space="preserve">ADIN29        </t>
  </si>
  <si>
    <t xml:space="preserve">ADIN30        </t>
  </si>
  <si>
    <t xml:space="preserve">ADIN31        </t>
  </si>
  <si>
    <t xml:space="preserve">DBG_TRCD0         </t>
  </si>
  <si>
    <t xml:space="preserve">DBG_TRCD1         </t>
  </si>
  <si>
    <t xml:space="preserve">DBG_TRCD2         </t>
  </si>
  <si>
    <t xml:space="preserve">DBG_TRCD3         </t>
  </si>
  <si>
    <t xml:space="preserve">SMBUS_SMCL    </t>
    <phoneticPr fontId="56"/>
  </si>
  <si>
    <t xml:space="preserve">DBG_TRCCLK        </t>
    <phoneticPr fontId="56"/>
  </si>
  <si>
    <t xml:space="preserve">CAN1_CTX </t>
  </si>
  <si>
    <t xml:space="preserve">UART4_TX </t>
  </si>
  <si>
    <t xml:space="preserve">UART7_TX </t>
  </si>
  <si>
    <t xml:space="preserve">CAN0_CTX </t>
  </si>
  <si>
    <t xml:space="preserve">UART1_TX </t>
  </si>
  <si>
    <t xml:space="preserve">UART2_TX </t>
  </si>
  <si>
    <t xml:space="preserve">UART3_TX </t>
  </si>
  <si>
    <t xml:space="preserve">UART5_TX </t>
  </si>
  <si>
    <t xml:space="preserve">UART6_TX </t>
  </si>
  <si>
    <t xml:space="preserve">CAN1_CRX </t>
  </si>
  <si>
    <t xml:space="preserve">UART4_RX </t>
  </si>
  <si>
    <t xml:space="preserve">UART7_RX </t>
  </si>
  <si>
    <t xml:space="preserve">CAN0_CRX </t>
  </si>
  <si>
    <t xml:space="preserve">UART1_RX </t>
  </si>
  <si>
    <t xml:space="preserve">UART2_RX </t>
  </si>
  <si>
    <t xml:space="preserve">UART3_RX </t>
  </si>
  <si>
    <t xml:space="preserve">UART5_RX </t>
  </si>
  <si>
    <t xml:space="preserve">UART6_RX </t>
  </si>
  <si>
    <t xml:space="preserve">SMBUS_SMDA    </t>
    <phoneticPr fontId="56"/>
  </si>
  <si>
    <t xml:space="preserve">SPI4_SBI </t>
  </si>
  <si>
    <t xml:space="preserve">SPI7_SBI </t>
  </si>
  <si>
    <t xml:space="preserve">SPI0_SBI </t>
  </si>
  <si>
    <t xml:space="preserve">SPI1_SBI </t>
  </si>
  <si>
    <t xml:space="preserve">SPI2_SBI </t>
  </si>
  <si>
    <t xml:space="preserve">SPI3_SBI </t>
  </si>
  <si>
    <t xml:space="preserve">SPI5_SBI </t>
  </si>
  <si>
    <t xml:space="preserve">SPI6_SBI </t>
  </si>
  <si>
    <t xml:space="preserve">SPI4_SBT </t>
  </si>
  <si>
    <t xml:space="preserve">SPI7_SBT </t>
  </si>
  <si>
    <t xml:space="preserve">SPI0_SBT </t>
  </si>
  <si>
    <t xml:space="preserve">SPI1_SBT </t>
  </si>
  <si>
    <t xml:space="preserve">SPI2_SBT </t>
  </si>
  <si>
    <t xml:space="preserve">SPI3_SBT </t>
  </si>
  <si>
    <t xml:space="preserve">SPI5_SBT </t>
  </si>
  <si>
    <t xml:space="preserve">SPI6_SBT </t>
  </si>
  <si>
    <t xml:space="preserve">SPI4_SBO </t>
  </si>
  <si>
    <t xml:space="preserve">SPI7_SBO </t>
  </si>
  <si>
    <t xml:space="preserve">SPI0_SBO </t>
  </si>
  <si>
    <t xml:space="preserve">SPI1_SBO </t>
  </si>
  <si>
    <t xml:space="preserve">SPI2_SBO </t>
  </si>
  <si>
    <t xml:space="preserve">SPI3_SBO </t>
  </si>
  <si>
    <t xml:space="preserve">SPI5_SBO </t>
  </si>
  <si>
    <t xml:space="preserve">SPI6_SBO </t>
  </si>
  <si>
    <t xml:space="preserve">IIC7_SDA </t>
  </si>
  <si>
    <t xml:space="preserve">IIC0_SDA </t>
  </si>
  <si>
    <t xml:space="preserve">IIC7_SCL </t>
  </si>
  <si>
    <t xml:space="preserve">IIC0_SCL </t>
  </si>
  <si>
    <t xml:space="preserve">SPI4_SBCS </t>
  </si>
  <si>
    <t xml:space="preserve">SPI7_SBCS </t>
  </si>
  <si>
    <t xml:space="preserve">SPI3_SBCS </t>
  </si>
  <si>
    <t xml:space="preserve">LIN_LTX </t>
  </si>
  <si>
    <t xml:space="preserve">LIN_LRX </t>
  </si>
  <si>
    <t>VGA0_VGAN</t>
  </si>
  <si>
    <t>VGA1_VGAN</t>
  </si>
  <si>
    <t>VGA2_VGAN</t>
  </si>
  <si>
    <t xml:space="preserve">VGA0_VGAP0    </t>
    <phoneticPr fontId="56"/>
  </si>
  <si>
    <t xml:space="preserve">VGA0_VGAP1    </t>
    <phoneticPr fontId="56"/>
  </si>
  <si>
    <t xml:space="preserve">VGA0_VGAP2    </t>
    <phoneticPr fontId="56"/>
  </si>
  <si>
    <t xml:space="preserve">VGA1_VGAP     </t>
    <phoneticPr fontId="56"/>
  </si>
  <si>
    <t xml:space="preserve">VGA2_VGAP     </t>
    <phoneticPr fontId="56"/>
  </si>
  <si>
    <t xml:space="preserve">DBG_TRCSWO        </t>
    <phoneticPr fontId="56"/>
  </si>
  <si>
    <t>KM1M7CF03N/K</t>
  </si>
  <si>
    <t>KM1M7CF04N/K</t>
  </si>
  <si>
    <t>KM1M7CF05N/K</t>
  </si>
  <si>
    <t>KM1M7CF06N/K</t>
  </si>
  <si>
    <t>KM1M7CF13N/K</t>
  </si>
  <si>
    <t>KM1M7CF14N/K</t>
  </si>
  <si>
    <t>KM1M7CF15N/K</t>
  </si>
  <si>
    <t>KM1M7CF16N/K</t>
  </si>
  <si>
    <t>TQFP80
(12*12)</t>
    <phoneticPr fontId="13" type="noConversion"/>
  </si>
  <si>
    <t>TQFP64
(10*10)</t>
    <phoneticPr fontId="63"/>
  </si>
  <si>
    <t>TQFP48
(7*7)</t>
    <phoneticPr fontId="63"/>
  </si>
  <si>
    <t>TQFP32
(7*7)</t>
    <phoneticPr fontId="63"/>
  </si>
  <si>
    <t>TQFP80
(12*12)</t>
  </si>
  <si>
    <t>TQFP64
(10*10)</t>
  </si>
  <si>
    <t>TQFP48
(7*7)</t>
  </si>
  <si>
    <t>TQFP32
(7*7)</t>
  </si>
  <si>
    <t>Secure function</t>
    <phoneticPr fontId="13" type="noConversion"/>
  </si>
  <si>
    <t>CRYPTO</t>
  </si>
  <si>
    <t>TRNG</t>
  </si>
  <si>
    <t>TQFP80
(12*12)</t>
    <phoneticPr fontId="13" type="noConversion"/>
  </si>
  <si>
    <t>TQFP80</t>
  </si>
  <si>
    <t>TQFP80</t>
    <phoneticPr fontId="13" type="noConversion"/>
  </si>
  <si>
    <t>TQFP64
(10*10)</t>
    <phoneticPr fontId="13" type="noConversion"/>
  </si>
  <si>
    <t>TQFP64</t>
  </si>
  <si>
    <t>TQFP64</t>
    <phoneticPr fontId="13" type="noConversion"/>
  </si>
  <si>
    <t>TQFP48
(7*7)</t>
    <phoneticPr fontId="13" type="noConversion"/>
  </si>
  <si>
    <t>TQFP48</t>
  </si>
  <si>
    <t>TQFP48</t>
    <phoneticPr fontId="13" type="noConversion"/>
  </si>
  <si>
    <t>TQFP32
(7*7)</t>
    <phoneticPr fontId="13" type="noConversion"/>
  </si>
  <si>
    <t>TQFP32</t>
  </si>
  <si>
    <t>TQFP32</t>
    <phoneticPr fontId="13" type="noConversion"/>
  </si>
  <si>
    <t>TQFP80 (12*12)</t>
    <phoneticPr fontId="13" type="noConversion"/>
  </si>
  <si>
    <t>TQFP64 (10*10)</t>
    <phoneticPr fontId="13" type="noConversion"/>
  </si>
  <si>
    <t>KM1M7CF0</t>
    <phoneticPr fontId="13" type="noConversion"/>
  </si>
  <si>
    <t>KM1M7CF1</t>
    <phoneticPr fontId="13" type="noConversion"/>
  </si>
  <si>
    <t>TQFP48 (7*7)</t>
    <phoneticPr fontId="13" type="noConversion"/>
  </si>
  <si>
    <t>TQFP32 (7*7)</t>
    <phoneticPr fontId="13" type="noConversion"/>
  </si>
  <si>
    <t>VDD33</t>
  </si>
  <si>
    <t>VDD33</t>
    <phoneticPr fontId="13" type="noConversion"/>
  </si>
  <si>
    <t>AVDD</t>
    <phoneticPr fontId="13" type="noConversion"/>
  </si>
  <si>
    <t>VOUT11</t>
  </si>
  <si>
    <t>GPWMH60</t>
  </si>
  <si>
    <t>GPWMH61</t>
  </si>
  <si>
    <t>GPWMH30</t>
  </si>
  <si>
    <t>GPWMH31</t>
  </si>
  <si>
    <t>GPWMH40</t>
  </si>
  <si>
    <t>GPWMH41</t>
  </si>
  <si>
    <t>GPWMH50</t>
  </si>
  <si>
    <t>GPWMH51</t>
  </si>
  <si>
    <t>DAOUT0</t>
  </si>
  <si>
    <t>FPSB08</t>
  </si>
  <si>
    <t>DAOUT1</t>
  </si>
  <si>
    <t>FPSB09</t>
  </si>
  <si>
    <t>FPSB10</t>
  </si>
  <si>
    <t>FPSB11</t>
  </si>
  <si>
    <t>P2.3</t>
  </si>
  <si>
    <t>P3.3</t>
  </si>
  <si>
    <t>P3.7</t>
  </si>
  <si>
    <t>P4.3</t>
  </si>
  <si>
    <t>FPSA00</t>
  </si>
  <si>
    <t>FPSA01</t>
  </si>
  <si>
    <t>FPSA02</t>
  </si>
  <si>
    <t>FPSA03</t>
  </si>
  <si>
    <t>FPSA04</t>
  </si>
  <si>
    <t>FPSA05</t>
  </si>
  <si>
    <t>SMDA</t>
  </si>
  <si>
    <t>FPSA06</t>
  </si>
  <si>
    <t>SMCL</t>
  </si>
  <si>
    <t>FPSA07</t>
  </si>
  <si>
    <t>FPSA08</t>
  </si>
  <si>
    <t>FPSA09</t>
  </si>
  <si>
    <t>FPSA10</t>
  </si>
  <si>
    <t>FPSA11</t>
  </si>
  <si>
    <t>FPSA12</t>
  </si>
  <si>
    <t>FPSA13</t>
  </si>
  <si>
    <t>FPSB00</t>
  </si>
  <si>
    <t>FPSB01</t>
  </si>
  <si>
    <t>FPSB02</t>
  </si>
  <si>
    <t>FPSB03</t>
  </si>
  <si>
    <t>FPSB04</t>
  </si>
  <si>
    <t>FPSB05</t>
  </si>
  <si>
    <t>FPSB06</t>
  </si>
  <si>
    <t>FPSB07</t>
  </si>
  <si>
    <t>GPWM00</t>
  </si>
  <si>
    <t>GPWMH00</t>
  </si>
  <si>
    <t>GPWMH01</t>
  </si>
  <si>
    <t>GPWMH10</t>
  </si>
  <si>
    <t>GPWMH11</t>
  </si>
  <si>
    <t>GPWMH20</t>
  </si>
  <si>
    <t>GPWMH21</t>
  </si>
  <si>
    <t>GPWMH70</t>
  </si>
  <si>
    <t>GPWMH71</t>
  </si>
  <si>
    <t>GP2[3]</t>
  </si>
  <si>
    <t>GP3[3]</t>
  </si>
  <si>
    <t>GP3[7]</t>
  </si>
  <si>
    <t>GP4[3]</t>
  </si>
  <si>
    <t>CMP00</t>
  </si>
  <si>
    <t>CMP01</t>
  </si>
  <si>
    <t>CMPREF0</t>
  </si>
  <si>
    <t>CMP10</t>
  </si>
  <si>
    <t>CMP11</t>
  </si>
  <si>
    <t>CMPREF1</t>
  </si>
  <si>
    <t>CMP20</t>
  </si>
  <si>
    <t>CMP21</t>
  </si>
  <si>
    <t>CMPREF2</t>
  </si>
  <si>
    <t>CMP30</t>
  </si>
  <si>
    <t>CMP31</t>
  </si>
  <si>
    <t>CMPREF3</t>
  </si>
  <si>
    <t>CMP40</t>
  </si>
  <si>
    <t>CMP41</t>
  </si>
  <si>
    <t>CMPREF4</t>
  </si>
  <si>
    <t>CMP50</t>
  </si>
  <si>
    <t>Analog11</t>
    <phoneticPr fontId="56"/>
  </si>
  <si>
    <t>CMP51</t>
  </si>
  <si>
    <t>CMPREF5</t>
  </si>
  <si>
    <t>OSCI</t>
    <phoneticPr fontId="56"/>
  </si>
  <si>
    <t>OSCO</t>
    <phoneticPr fontId="56"/>
  </si>
  <si>
    <t>Comparator</t>
    <phoneticPr fontId="13" type="noConversion"/>
  </si>
  <si>
    <t>CMP2</t>
  </si>
  <si>
    <t>CMP1</t>
  </si>
  <si>
    <t>CMP1</t>
    <phoneticPr fontId="56"/>
  </si>
  <si>
    <t>CMP4</t>
  </si>
  <si>
    <t>FPSB08</t>
    <phoneticPr fontId="56"/>
  </si>
  <si>
    <t>IOP2MD[15]</t>
  </si>
  <si>
    <t>IOP2MD[14]</t>
  </si>
  <si>
    <t>IOP2MD[13]</t>
  </si>
  <si>
    <t>IOP2MD[12]</t>
  </si>
  <si>
    <t>IOP3MD[15]</t>
  </si>
  <si>
    <t>IOP3MD[14]</t>
  </si>
  <si>
    <t>IOP3MD[13]</t>
  </si>
  <si>
    <t>IOP3MD[12]</t>
  </si>
  <si>
    <t>IOP3MD[31]</t>
  </si>
  <si>
    <t>IOP3MD[30]</t>
  </si>
  <si>
    <t>IOP3MD[29]</t>
  </si>
  <si>
    <t>IOP3MD[28]</t>
  </si>
  <si>
    <t>IOP4MD[15]</t>
  </si>
  <si>
    <t>IOP4MD[14]</t>
  </si>
  <si>
    <t>IOP4MD[13]</t>
  </si>
  <si>
    <t>IOP4MD[12]</t>
  </si>
  <si>
    <t>Pins</t>
    <phoneticPr fontId="63"/>
  </si>
  <si>
    <t>External interrupt</t>
    <phoneticPr fontId="63"/>
  </si>
  <si>
    <t>SBO0</t>
    <phoneticPr fontId="65"/>
  </si>
  <si>
    <t>TX0</t>
    <phoneticPr fontId="65"/>
  </si>
  <si>
    <t>SDA0</t>
    <phoneticPr fontId="65"/>
  </si>
  <si>
    <t>SBI0</t>
    <phoneticPr fontId="65"/>
  </si>
  <si>
    <t>RX0</t>
    <phoneticPr fontId="65"/>
  </si>
  <si>
    <t>SBT0</t>
    <phoneticPr fontId="65"/>
  </si>
  <si>
    <t>SCL0</t>
    <phoneticPr fontId="65"/>
  </si>
  <si>
    <t>SBCS0</t>
    <phoneticPr fontId="65"/>
  </si>
  <si>
    <t>SBO2</t>
  </si>
  <si>
    <t>TX2</t>
  </si>
  <si>
    <t>SBT2</t>
  </si>
  <si>
    <t>SBCS2</t>
  </si>
  <si>
    <t>SBO3</t>
  </si>
  <si>
    <t>TX3</t>
  </si>
  <si>
    <t>SBT3</t>
  </si>
  <si>
    <t>SBCS3</t>
  </si>
  <si>
    <t>CTX</t>
    <phoneticPr fontId="65"/>
  </si>
  <si>
    <t>CRX</t>
    <phoneticPr fontId="65"/>
  </si>
  <si>
    <t>SBO1</t>
  </si>
  <si>
    <t>TX1</t>
  </si>
  <si>
    <t>SDA1</t>
    <phoneticPr fontId="65"/>
  </si>
  <si>
    <t>SBI1</t>
  </si>
  <si>
    <t>SBT1</t>
  </si>
  <si>
    <t>SCL1</t>
    <phoneticPr fontId="65"/>
  </si>
  <si>
    <t>SBCS1</t>
  </si>
  <si>
    <t>SBO4</t>
  </si>
  <si>
    <t>TX4</t>
  </si>
  <si>
    <t>SBI4</t>
  </si>
  <si>
    <t>RX4</t>
  </si>
  <si>
    <t>SBT4</t>
  </si>
  <si>
    <t>SBCS4</t>
  </si>
  <si>
    <t>SBO5</t>
  </si>
  <si>
    <t>TX5</t>
  </si>
  <si>
    <t>LTX</t>
    <phoneticPr fontId="65"/>
  </si>
  <si>
    <t>LRX</t>
    <phoneticPr fontId="65"/>
  </si>
  <si>
    <t>SBT5</t>
  </si>
  <si>
    <t>SBO6</t>
  </si>
  <si>
    <t>TX6</t>
  </si>
  <si>
    <t>SBI6</t>
  </si>
  <si>
    <t>SBT6</t>
  </si>
  <si>
    <t>RTCOUT</t>
    <phoneticPr fontId="65"/>
  </si>
  <si>
    <t>CMPOT00</t>
    <phoneticPr fontId="65"/>
  </si>
  <si>
    <t>CMPOT01</t>
    <phoneticPr fontId="65"/>
  </si>
  <si>
    <t>CMPOT10</t>
    <phoneticPr fontId="65"/>
  </si>
  <si>
    <t>CMPOT11</t>
    <phoneticPr fontId="65"/>
  </si>
  <si>
    <t>CMPOT20</t>
    <phoneticPr fontId="65"/>
  </si>
  <si>
    <t>CMPOT21</t>
    <phoneticPr fontId="65"/>
  </si>
  <si>
    <t>CMPOT30</t>
    <phoneticPr fontId="65"/>
  </si>
  <si>
    <t>CMPOT31</t>
    <phoneticPr fontId="65"/>
  </si>
  <si>
    <t>CMPOT40</t>
    <phoneticPr fontId="65"/>
  </si>
  <si>
    <t>CMPOT41</t>
    <phoneticPr fontId="65"/>
  </si>
  <si>
    <t>CMPOT50</t>
    <phoneticPr fontId="65"/>
  </si>
  <si>
    <t>CMPOT51</t>
    <phoneticPr fontId="65"/>
  </si>
  <si>
    <t>CLKOUT</t>
    <phoneticPr fontId="65"/>
  </si>
  <si>
    <t>FPSA</t>
  </si>
  <si>
    <t>FPSA</t>
    <phoneticPr fontId="56"/>
  </si>
  <si>
    <t>External interrupt</t>
  </si>
  <si>
    <t>External interrupt</t>
    <phoneticPr fontId="56"/>
  </si>
  <si>
    <t>No selection</t>
    <phoneticPr fontId="56"/>
  </si>
  <si>
    <t>Serial I/F 0</t>
    <phoneticPr fontId="56"/>
  </si>
  <si>
    <t>Serial I/F 2</t>
    <phoneticPr fontId="65"/>
  </si>
  <si>
    <t>Serial I/F 3</t>
    <phoneticPr fontId="65"/>
  </si>
  <si>
    <t>FPSB</t>
  </si>
  <si>
    <t>Serial I/F 4</t>
    <phoneticPr fontId="56"/>
  </si>
  <si>
    <t>Serial I/F 1</t>
    <phoneticPr fontId="56"/>
  </si>
  <si>
    <t>Serial I/F 5</t>
    <phoneticPr fontId="56"/>
  </si>
  <si>
    <t>Serial I/F 6</t>
    <phoneticPr fontId="56"/>
  </si>
  <si>
    <t>GPWM count state output</t>
    <phoneticPr fontId="65"/>
  </si>
  <si>
    <t>A/D conversion state output</t>
    <phoneticPr fontId="65"/>
  </si>
  <si>
    <t>Comparator output</t>
    <phoneticPr fontId="65"/>
  </si>
  <si>
    <t>Clock output</t>
    <phoneticPr fontId="65"/>
  </si>
  <si>
    <t>CLKOUT</t>
  </si>
  <si>
    <t>RTCOUT</t>
  </si>
  <si>
    <t>GPWMBCST0</t>
  </si>
  <si>
    <t>GPWMBCST1</t>
  </si>
  <si>
    <t>GPWMBCST2</t>
  </si>
  <si>
    <t>GPWMBCST3</t>
  </si>
  <si>
    <t>GPWMBCST4</t>
  </si>
  <si>
    <t>GPWMBCST5</t>
  </si>
  <si>
    <t>GPWMBCST6</t>
  </si>
  <si>
    <t>GPWMBCST7</t>
  </si>
  <si>
    <t>ADSTATE0</t>
  </si>
  <si>
    <t>ADSTATE1</t>
  </si>
  <si>
    <t>ADSTATE2</t>
  </si>
  <si>
    <t>RTC</t>
  </si>
  <si>
    <t>Real-time clock output</t>
    <phoneticPr fontId="65"/>
  </si>
  <si>
    <t>CAN-FD</t>
  </si>
  <si>
    <t>CAN-FD</t>
    <phoneticPr fontId="56"/>
  </si>
  <si>
    <t>PIN NAME</t>
    <phoneticPr fontId="56"/>
  </si>
  <si>
    <t>PAD NAME</t>
    <phoneticPr fontId="56"/>
  </si>
  <si>
    <t>FPSB10</t>
    <phoneticPr fontId="56"/>
  </si>
  <si>
    <t>MFP1</t>
    <phoneticPr fontId="56"/>
  </si>
  <si>
    <t>MFP</t>
    <phoneticPr fontId="65"/>
  </si>
  <si>
    <t>Value</t>
    <phoneticPr fontId="65"/>
  </si>
  <si>
    <t>GPIO_MD0-&gt;IOPnMD</t>
  </si>
  <si>
    <t>GPIO_MD1-&gt;IOPnMD</t>
  </si>
  <si>
    <t>GPIO_MD2-&gt;IOPnMD</t>
  </si>
  <si>
    <t>GPIO_MD3-&gt;IOPnMD</t>
  </si>
  <si>
    <t>GPIO_MD4-&gt;IOPnMD</t>
  </si>
  <si>
    <t>GPIO_MD5-&gt;IOPnMD</t>
  </si>
  <si>
    <t>GPIO_MD6-&gt;IOPnMD</t>
  </si>
  <si>
    <t>GPIO_MD7-&gt;IOPnMD</t>
  </si>
  <si>
    <t>GPIO_MD8-&gt;IOPnMD</t>
  </si>
  <si>
    <t>0x40100080</t>
  </si>
  <si>
    <t>0x40100084</t>
  </si>
  <si>
    <t>0x40100088</t>
  </si>
  <si>
    <t>0x4010008C</t>
  </si>
  <si>
    <t>0x40100090</t>
  </si>
  <si>
    <t>0x40100094</t>
  </si>
  <si>
    <t>0x40100098</t>
  </si>
  <si>
    <t>0x4010009C</t>
  </si>
  <si>
    <t>0x401000A0</t>
  </si>
  <si>
    <t>0x00110000</t>
    <phoneticPr fontId="13" type="noConversion"/>
  </si>
  <si>
    <t>SMbus</t>
  </si>
  <si>
    <t>Function</t>
    <phoneticPr fontId="58"/>
  </si>
  <si>
    <t>Group</t>
    <phoneticPr fontId="56"/>
  </si>
  <si>
    <t>MFP</t>
    <phoneticPr fontId="58"/>
  </si>
  <si>
    <t>Debugger</t>
    <phoneticPr fontId="56"/>
  </si>
  <si>
    <t>External oscillation</t>
    <phoneticPr fontId="56"/>
  </si>
  <si>
    <t>16-bit timer</t>
    <phoneticPr fontId="58"/>
  </si>
  <si>
    <t>1：XXX_AAA</t>
    <phoneticPr fontId="56"/>
  </si>
  <si>
    <t>Group</t>
    <phoneticPr fontId="58"/>
  </si>
  <si>
    <t>Pins</t>
    <phoneticPr fontId="58"/>
  </si>
  <si>
    <t>Power control PWM</t>
    <phoneticPr fontId="56"/>
  </si>
  <si>
    <t>A/D Input</t>
    <phoneticPr fontId="56"/>
  </si>
  <si>
    <t>Comparator Input</t>
    <phoneticPr fontId="56"/>
  </si>
  <si>
    <t>D/A Output</t>
  </si>
  <si>
    <t>P0</t>
    <phoneticPr fontId="56"/>
  </si>
  <si>
    <t>DBG</t>
  </si>
  <si>
    <t>OSC</t>
  </si>
  <si>
    <t>DAC</t>
    <phoneticPr fontId="56"/>
  </si>
  <si>
    <t>CMP1</t>
    <phoneticPr fontId="56"/>
  </si>
  <si>
    <t>CMP2</t>
    <phoneticPr fontId="56"/>
  </si>
  <si>
    <t>CMP3</t>
  </si>
  <si>
    <t>CMP3</t>
    <phoneticPr fontId="56"/>
  </si>
  <si>
    <t>CMP4</t>
    <phoneticPr fontId="56"/>
  </si>
  <si>
    <t>CMP5</t>
  </si>
  <si>
    <t>CMP5</t>
    <phoneticPr fontId="56"/>
  </si>
  <si>
    <t>FPSB00</t>
    <phoneticPr fontId="56"/>
  </si>
  <si>
    <t>SPI0</t>
    <phoneticPr fontId="56"/>
  </si>
  <si>
    <t>SPI1</t>
    <phoneticPr fontId="56"/>
  </si>
  <si>
    <t>I2C0</t>
    <phoneticPr fontId="56"/>
  </si>
  <si>
    <t>I2C1</t>
  </si>
  <si>
    <t>2：Special Group Name</t>
    <phoneticPr fontId="56"/>
  </si>
  <si>
    <t>AD</t>
    <phoneticPr fontId="56"/>
  </si>
  <si>
    <t>CMP0</t>
    <phoneticPr fontId="56"/>
  </si>
  <si>
    <t>FPS
(Function Pin Select)</t>
    <phoneticPr fontId="58"/>
  </si>
  <si>
    <t>FPSA</t>
    <phoneticPr fontId="56"/>
  </si>
  <si>
    <t>GPIO</t>
    <phoneticPr fontId="56"/>
  </si>
  <si>
    <t>P1</t>
    <phoneticPr fontId="56"/>
  </si>
  <si>
    <t>P2</t>
    <phoneticPr fontId="56"/>
  </si>
  <si>
    <t>P3</t>
    <phoneticPr fontId="56"/>
  </si>
  <si>
    <t>P4</t>
    <phoneticPr fontId="56"/>
  </si>
  <si>
    <t>P5</t>
    <phoneticPr fontId="56"/>
  </si>
  <si>
    <t>P6</t>
    <phoneticPr fontId="56"/>
  </si>
  <si>
    <t>P7</t>
    <phoneticPr fontId="56"/>
  </si>
  <si>
    <t>P8</t>
    <phoneticPr fontId="56"/>
  </si>
  <si>
    <t>IRQ</t>
    <phoneticPr fontId="56"/>
  </si>
  <si>
    <t>Clock-Synchronous Communication
(SPI)</t>
    <phoneticPr fontId="56"/>
  </si>
  <si>
    <t>UART</t>
    <phoneticPr fontId="56"/>
  </si>
  <si>
    <t>UART0</t>
    <phoneticPr fontId="56"/>
  </si>
  <si>
    <t>UART1</t>
  </si>
  <si>
    <t>I2C</t>
    <phoneticPr fontId="56"/>
  </si>
  <si>
    <t>LIN</t>
    <phoneticPr fontId="56"/>
  </si>
  <si>
    <t>CAN</t>
    <phoneticPr fontId="56"/>
  </si>
  <si>
    <t>IRQ12</t>
    <phoneticPr fontId="65"/>
  </si>
  <si>
    <t>RTC</t>
    <phoneticPr fontId="56"/>
  </si>
  <si>
    <t>GPWM0</t>
    <phoneticPr fontId="56"/>
  </si>
  <si>
    <t>DBG_SWDCLK</t>
  </si>
  <si>
    <t>DBG_SWDD</t>
  </si>
  <si>
    <t>GPWM6_GPWM60</t>
  </si>
  <si>
    <t>GPWM6_GPWMH60</t>
  </si>
  <si>
    <t>GPWM6_GPWM61</t>
  </si>
  <si>
    <t>GPWM6_GPWMH61</t>
  </si>
  <si>
    <t>GPWM3_GPWM30</t>
  </si>
  <si>
    <t>GPWM3_GPWMH30</t>
  </si>
  <si>
    <t>GPWM3_GPWM31</t>
  </si>
  <si>
    <t>GPWM3_GPWMH31</t>
  </si>
  <si>
    <t>GPWM4_GPWM40</t>
  </si>
  <si>
    <t>GPWM4_GPWMH40</t>
  </si>
  <si>
    <t>GPWM4_GPWM41</t>
  </si>
  <si>
    <t>GPWM4_GPWMH41</t>
  </si>
  <si>
    <t>GPWM5_GPWM50</t>
  </si>
  <si>
    <t>GPWM5_GPWMH50</t>
  </si>
  <si>
    <t>GPWM5_GPWM51</t>
  </si>
  <si>
    <t>GPWM5_GPWMH51</t>
  </si>
  <si>
    <t>GPWM0_GPWM00</t>
  </si>
  <si>
    <t>GPWM0_GPWMH00</t>
  </si>
  <si>
    <t>GPWM0_GPWM01</t>
  </si>
  <si>
    <t>GPWM0_GPWMH01</t>
  </si>
  <si>
    <t>GPWM1_GPWM10</t>
  </si>
  <si>
    <t>GPWM1_GPWMH10</t>
  </si>
  <si>
    <t>GPWM1_GPWM11</t>
  </si>
  <si>
    <t>GPWM1_GPWMH11</t>
  </si>
  <si>
    <t>GPWM2_GPWM20</t>
  </si>
  <si>
    <t>GPWM2_GPWMH20</t>
  </si>
  <si>
    <t>GPWM2_GPWM21</t>
  </si>
  <si>
    <t>GPWM2_GPWMH21</t>
  </si>
  <si>
    <t>GPWM7_GPWM70</t>
  </si>
  <si>
    <t>GPWM7_GPWMH70</t>
  </si>
  <si>
    <t>GPWM7_GPWM71</t>
  </si>
  <si>
    <t>GPWM7_GPWMH71</t>
  </si>
  <si>
    <t>SMBUS_SMDA</t>
  </si>
  <si>
    <t>SMBUS_SMCL</t>
  </si>
  <si>
    <t>DAC_DAOUT0</t>
    <phoneticPr fontId="56"/>
  </si>
  <si>
    <t>DAC_DAOUT1</t>
    <phoneticPr fontId="56"/>
  </si>
  <si>
    <t>CMP0_CMP00</t>
  </si>
  <si>
    <t>CMP0_CMP01</t>
  </si>
  <si>
    <t>CMP0_CMPREF0</t>
  </si>
  <si>
    <t>CMP1_CMP10</t>
  </si>
  <si>
    <t>CMP1_CMP11</t>
  </si>
  <si>
    <t>CMP2_CMP20</t>
  </si>
  <si>
    <t>CMP2_CMP21</t>
  </si>
  <si>
    <t>CMP2_CMPREF2</t>
  </si>
  <si>
    <t>CMP3_CMP30</t>
  </si>
  <si>
    <t>CMP3_CMP31</t>
  </si>
  <si>
    <t>CMP3_CMPREF3</t>
  </si>
  <si>
    <t>CMP4_CMP40</t>
  </si>
  <si>
    <t>CMP4_CMP41</t>
  </si>
  <si>
    <t>CMP4_CMPREF4</t>
  </si>
  <si>
    <t>CMP5_CMP50</t>
  </si>
  <si>
    <t>CMP5_CMP51</t>
  </si>
  <si>
    <t>CMP5_CMPREF5</t>
  </si>
  <si>
    <t>SMBUS_SMDA</t>
    <phoneticPr fontId="56"/>
  </si>
  <si>
    <t>0b000000</t>
  </si>
  <si>
    <t>0b000001</t>
  </si>
  <si>
    <t>0b000010</t>
  </si>
  <si>
    <t>0b000011</t>
  </si>
  <si>
    <t>0b000100</t>
  </si>
  <si>
    <t>0b000101</t>
  </si>
  <si>
    <t>0b000110</t>
  </si>
  <si>
    <t>0b000111</t>
  </si>
  <si>
    <t>0b001000</t>
  </si>
  <si>
    <t>0b001001</t>
  </si>
  <si>
    <t>0b001010</t>
  </si>
  <si>
    <t>0b001011</t>
  </si>
  <si>
    <t>0b001100</t>
  </si>
  <si>
    <t>0b001101</t>
  </si>
  <si>
    <t>0b001110</t>
  </si>
  <si>
    <t>0b001111</t>
  </si>
  <si>
    <t>0b010000</t>
  </si>
  <si>
    <t>0b010001</t>
  </si>
  <si>
    <t>0b010010</t>
  </si>
  <si>
    <t>0b010011</t>
  </si>
  <si>
    <t>0b010100</t>
  </si>
  <si>
    <t>0b010101</t>
  </si>
  <si>
    <t>0b010110</t>
  </si>
  <si>
    <t>0b010111</t>
  </si>
  <si>
    <t>0b011000</t>
  </si>
  <si>
    <t>0b011001</t>
  </si>
  <si>
    <t>0b011010</t>
  </si>
  <si>
    <t>0b011011</t>
  </si>
  <si>
    <t>0b011100</t>
  </si>
  <si>
    <t>0b011101</t>
  </si>
  <si>
    <t>0b011110</t>
  </si>
  <si>
    <t>0b011111</t>
  </si>
  <si>
    <t>0b100000</t>
  </si>
  <si>
    <t>0b100001</t>
  </si>
  <si>
    <t>0b100010</t>
  </si>
  <si>
    <t>0b100011</t>
  </si>
  <si>
    <t>0b100100</t>
  </si>
  <si>
    <t>0b100101</t>
  </si>
  <si>
    <t>0b100110</t>
  </si>
  <si>
    <t>0b100111</t>
  </si>
  <si>
    <t>0b101000</t>
  </si>
  <si>
    <t>0b101001</t>
  </si>
  <si>
    <t>0b101010</t>
  </si>
  <si>
    <t>0b101011</t>
  </si>
  <si>
    <t>0b101100</t>
  </si>
  <si>
    <t>0b101101</t>
  </si>
  <si>
    <t>0b101110</t>
  </si>
  <si>
    <t>0b101111</t>
  </si>
  <si>
    <t>SPI0_SBO0</t>
  </si>
  <si>
    <t>UART0_TX0</t>
  </si>
  <si>
    <t>I2C0_SDA0</t>
  </si>
  <si>
    <t>SPI0_SBI0</t>
  </si>
  <si>
    <t>UART0_RX0</t>
  </si>
  <si>
    <t>SPI0_SBT0</t>
  </si>
  <si>
    <t>I2C0_SCL0</t>
  </si>
  <si>
    <t>SPI0_SBCS0</t>
  </si>
  <si>
    <t>SPI2_SBO2</t>
  </si>
  <si>
    <t>UART2_TX2</t>
  </si>
  <si>
    <t>SPI2_SBI2</t>
  </si>
  <si>
    <t>UART2_RX2</t>
  </si>
  <si>
    <t>SPI2_SBCS2</t>
  </si>
  <si>
    <t>SPI3_SBO3</t>
  </si>
  <si>
    <t>UART3_TX3</t>
  </si>
  <si>
    <t>SPI3_SBI3</t>
  </si>
  <si>
    <t>UART3_RX3</t>
  </si>
  <si>
    <t>SPI3_SBT3</t>
  </si>
  <si>
    <t>SPI3_SBCS3</t>
  </si>
  <si>
    <t>CAN_CTX</t>
  </si>
  <si>
    <t>CAN_CRX</t>
  </si>
  <si>
    <t>GWPM0_GPWMBCST0</t>
  </si>
  <si>
    <t>GWPM1_GPWMBCST1</t>
  </si>
  <si>
    <t>GWPM2_GPWMBCST2</t>
  </si>
  <si>
    <t>GWPM3_GPWMBCST3</t>
  </si>
  <si>
    <t>GWPM4_GPWMBCST4</t>
  </si>
  <si>
    <t>GWPM5_GPWMBCST5</t>
  </si>
  <si>
    <t>GWPM6_GPWMBCST6</t>
  </si>
  <si>
    <t>GWPM7_GPWMBCST7</t>
  </si>
  <si>
    <t>CMP0_CMPOT00</t>
  </si>
  <si>
    <t>CMP0_CMPOT01</t>
  </si>
  <si>
    <t>CMP1_CMPOT10</t>
  </si>
  <si>
    <t>CMP1_CMPOT11</t>
  </si>
  <si>
    <t>CMP2_CMPOT20</t>
  </si>
  <si>
    <t>CMP2_CMPOT21</t>
  </si>
  <si>
    <t>CMP3_CMPOT30</t>
  </si>
  <si>
    <t>CMP3_CMPOT31</t>
  </si>
  <si>
    <t>CMP4_CMPOT40</t>
  </si>
  <si>
    <t>CMP4_CMPOT41</t>
  </si>
  <si>
    <t>CMP5_CMPOT50</t>
  </si>
  <si>
    <t>CMP5_CMPOT51</t>
  </si>
  <si>
    <t>CKO_CLKOUT</t>
  </si>
  <si>
    <t>SPI1_SBO1</t>
  </si>
  <si>
    <t>UART1_TX1</t>
  </si>
  <si>
    <t>I2C1_SDA1</t>
  </si>
  <si>
    <t>SPI1_SBI1</t>
  </si>
  <si>
    <t>UART1_RX1</t>
  </si>
  <si>
    <t>SPI1_SBT1</t>
  </si>
  <si>
    <t>I2C1_SCL1</t>
  </si>
  <si>
    <t>SPI1_SBCS1</t>
  </si>
  <si>
    <t>SPI4_SBO4</t>
  </si>
  <si>
    <t>UART4_TX4</t>
  </si>
  <si>
    <t>SPI4_SBI4</t>
  </si>
  <si>
    <t>UART4_RX4</t>
  </si>
  <si>
    <t>SPI4_SBT4</t>
  </si>
  <si>
    <t>SPI4_SBCS4</t>
  </si>
  <si>
    <t>SPI5_SBO5</t>
  </si>
  <si>
    <t>UART5_TX5</t>
  </si>
  <si>
    <t>LIN_LTX</t>
  </si>
  <si>
    <t>SPI5_SBI5</t>
  </si>
  <si>
    <t>UART5_RX5</t>
  </si>
  <si>
    <t>LIN_LRX</t>
  </si>
  <si>
    <t>SPI5_SBT5</t>
  </si>
  <si>
    <t>SPI6_SBO6</t>
  </si>
  <si>
    <t>UART6_TX6</t>
  </si>
  <si>
    <t>SPI6_SBI6</t>
  </si>
  <si>
    <t>UART6_RX6</t>
  </si>
  <si>
    <t>SPI6_SBT6</t>
  </si>
  <si>
    <t>Debug clock pin</t>
  </si>
  <si>
    <t>Debug data pin</t>
  </si>
  <si>
    <t>O</t>
  </si>
  <si>
    <r>
      <t>External oscillation</t>
    </r>
    <r>
      <rPr>
        <sz val="11"/>
        <color theme="1"/>
        <rFont val="ＭＳ Ｐゴシック"/>
        <family val="2"/>
        <charset val="128"/>
        <scheme val="minor"/>
      </rPr>
      <t xml:space="preserve"> input pin</t>
    </r>
    <phoneticPr fontId="56"/>
  </si>
  <si>
    <t>Table 1.4-2 Pin Functions</t>
  </si>
  <si>
    <t>Table 28.1-2 List of Debug Interface Pins</t>
  </si>
  <si>
    <t>External oscillation input pin</t>
  </si>
  <si>
    <t>External oscillation output pin</t>
  </si>
  <si>
    <t>External oscillation output pin</t>
    <phoneticPr fontId="56"/>
  </si>
  <si>
    <t>11.1.4 List of 16-bit Timer Ports</t>
  </si>
  <si>
    <t>12.1.4 List of Power Control PWM Ports</t>
  </si>
  <si>
    <t>Debug clock input pin</t>
  </si>
  <si>
    <t>Debug data input/output pin</t>
  </si>
  <si>
    <t>GPWM00 high-resolution output pin</t>
  </si>
  <si>
    <t>GPWM01 output pin</t>
  </si>
  <si>
    <t>GPWM01 high-resolution output pin</t>
  </si>
  <si>
    <t>GPWM10 output pin</t>
  </si>
  <si>
    <t>GPWM10 high-resolution output pin</t>
  </si>
  <si>
    <t>GPWM11 output pin</t>
  </si>
  <si>
    <t>GPWM11 high-resolution output pin</t>
  </si>
  <si>
    <t>GPWM20 output pin</t>
  </si>
  <si>
    <t>GPWM20 high-resolution output pin</t>
  </si>
  <si>
    <t>GPWM21 output pin</t>
  </si>
  <si>
    <t>GPWM21 high-resolution output pin</t>
  </si>
  <si>
    <t>GPWM30 output pin</t>
  </si>
  <si>
    <t>GPWM30 high-resolution output pin</t>
  </si>
  <si>
    <t>GPWM31 output pin</t>
  </si>
  <si>
    <t>GPWM31 high-resolution output pin</t>
  </si>
  <si>
    <t>GPWM40 output pin</t>
  </si>
  <si>
    <t>GPWM40 high-resolution output pin</t>
  </si>
  <si>
    <t>GPWM41 output pin</t>
  </si>
  <si>
    <t>GPWM41 high-resolution output pin</t>
  </si>
  <si>
    <t>GPWM50 output pin</t>
  </si>
  <si>
    <t>GPWM50 high-resolution output pin</t>
  </si>
  <si>
    <t>GPWM51 output pin</t>
  </si>
  <si>
    <t>GPWM51 high-resolution output pin</t>
  </si>
  <si>
    <t>GPWM60 output pin</t>
  </si>
  <si>
    <t>GPWM60 high-resolution output pin</t>
  </si>
  <si>
    <t>GPWM61 output pin</t>
  </si>
  <si>
    <t>GPWM61 high-resolution output pin</t>
  </si>
  <si>
    <t>GPWM70 output pin</t>
  </si>
  <si>
    <t>GPWM70 high-resolution output pin</t>
  </si>
  <si>
    <t>GPWM71 output pin</t>
  </si>
  <si>
    <t>GPWM71 high-resolution output pin</t>
  </si>
  <si>
    <t>SMBus data input/output (Nch open-drain control can be used.)</t>
    <phoneticPr fontId="56"/>
  </si>
  <si>
    <t>[Register Manual]　5. I/O Port</t>
  </si>
  <si>
    <t>SMBus clock input/output (Use Nch open-drain)</t>
  </si>
  <si>
    <t>19.1.4 List of A/D Converter Ports</t>
  </si>
  <si>
    <t>19.1.4 List of A/D Converter Ports</t>
    <phoneticPr fontId="56"/>
  </si>
  <si>
    <r>
      <t xml:space="preserve">Analog input </t>
    </r>
    <r>
      <rPr>
        <sz val="11"/>
        <color theme="1"/>
        <rFont val="ＭＳ Ｐゴシック"/>
        <family val="2"/>
        <charset val="128"/>
        <scheme val="minor"/>
      </rPr>
      <t>p</t>
    </r>
    <r>
      <rPr>
        <sz val="11"/>
        <color theme="1"/>
        <rFont val="ＭＳ Ｐゴシック"/>
        <family val="2"/>
        <charset val="128"/>
        <scheme val="minor"/>
      </rPr>
      <t>in</t>
    </r>
    <phoneticPr fontId="56"/>
  </si>
  <si>
    <t>A/D converter analog input 00 pin</t>
  </si>
  <si>
    <t>ADIN*</t>
  </si>
  <si>
    <t>SMBUS clock input/output pin</t>
  </si>
  <si>
    <t>SMBUS data input/output pin</t>
  </si>
  <si>
    <t>SMBUS data input/output pin</t>
    <phoneticPr fontId="56"/>
  </si>
  <si>
    <t>Comparator input</t>
    <phoneticPr fontId="56"/>
  </si>
  <si>
    <t>Comparator reference input</t>
    <phoneticPr fontId="56"/>
  </si>
  <si>
    <t>Table 21.1-1 List of Comparator Functions</t>
  </si>
  <si>
    <t>Comparator 00 input pin</t>
    <phoneticPr fontId="56"/>
  </si>
  <si>
    <t>Comparator 01 input pin</t>
  </si>
  <si>
    <t>Comparator 10 input pin</t>
    <phoneticPr fontId="56"/>
  </si>
  <si>
    <t>Comparator 11 input pin</t>
  </si>
  <si>
    <t>Comparator 20 input pin</t>
    <phoneticPr fontId="56"/>
  </si>
  <si>
    <t>Comparator 21 input pin</t>
  </si>
  <si>
    <t>Comparator 30 input pin</t>
    <phoneticPr fontId="56"/>
  </si>
  <si>
    <t>Comparator 31 input pin</t>
  </si>
  <si>
    <t>Comparator 40 input pin</t>
    <phoneticPr fontId="56"/>
  </si>
  <si>
    <t>Comparator 41 input pin</t>
  </si>
  <si>
    <t>Comparator 50 input pin</t>
    <phoneticPr fontId="56"/>
  </si>
  <si>
    <t>Comparator 51 input pin</t>
  </si>
  <si>
    <t>Comparator 0  reference input pin</t>
    <phoneticPr fontId="56"/>
  </si>
  <si>
    <t>Comparator 1 reference input pin</t>
    <phoneticPr fontId="56"/>
  </si>
  <si>
    <t>Comparator 2 reference input pin</t>
    <phoneticPr fontId="56"/>
  </si>
  <si>
    <t>Comparator 3 reference input pin</t>
    <phoneticPr fontId="56"/>
  </si>
  <si>
    <t>Comparator 4 reference input pin</t>
    <phoneticPr fontId="56"/>
  </si>
  <si>
    <t>Comparator 5 reference input pin</t>
    <phoneticPr fontId="56"/>
  </si>
  <si>
    <t>GPWM*_GPWMH*0</t>
  </si>
  <si>
    <t>GPWM*0 high-resolution output pin</t>
  </si>
  <si>
    <t>GPWM*_GPWMH*1</t>
  </si>
  <si>
    <t>GPWM*1 high-resolution output pin</t>
  </si>
  <si>
    <t>GPWM*_GPWM*0</t>
  </si>
  <si>
    <t>GPWM*0 output pin</t>
  </si>
  <si>
    <t>GPWM*_GPWM*1</t>
  </si>
  <si>
    <t>GPWM*1 output pin</t>
  </si>
  <si>
    <t>CMP*_CMPREF*</t>
    <phoneticPr fontId="56"/>
  </si>
  <si>
    <t>Comparator *  reference input pin</t>
    <phoneticPr fontId="56"/>
  </si>
  <si>
    <r>
      <t>DAC_DAO</t>
    </r>
    <r>
      <rPr>
        <sz val="11"/>
        <color theme="1"/>
        <rFont val="ＭＳ Ｐゴシック"/>
        <family val="2"/>
        <charset val="128"/>
        <scheme val="minor"/>
      </rPr>
      <t>U</t>
    </r>
    <r>
      <rPr>
        <sz val="11"/>
        <color theme="1"/>
        <rFont val="ＭＳ Ｐゴシック"/>
        <family val="2"/>
        <charset val="128"/>
        <scheme val="minor"/>
      </rPr>
      <t>T*</t>
    </r>
    <phoneticPr fontId="56"/>
  </si>
  <si>
    <r>
      <t>Function</t>
    </r>
    <r>
      <rPr>
        <sz val="11"/>
        <color theme="1"/>
        <rFont val="ＭＳ Ｐゴシック"/>
        <family val="2"/>
        <charset val="128"/>
        <scheme val="minor"/>
      </rPr>
      <t xml:space="preserve"> </t>
    </r>
    <r>
      <rPr>
        <sz val="11"/>
        <color theme="1"/>
        <rFont val="ＭＳ Ｐゴシック"/>
        <family val="2"/>
        <charset val="128"/>
        <scheme val="minor"/>
      </rPr>
      <t>Pin Select</t>
    </r>
    <phoneticPr fontId="56"/>
  </si>
  <si>
    <r>
      <t xml:space="preserve">D/A </t>
    </r>
    <r>
      <rPr>
        <sz val="11"/>
        <color theme="1"/>
        <rFont val="ＭＳ Ｐゴシック"/>
        <family val="2"/>
        <charset val="128"/>
        <scheme val="minor"/>
      </rPr>
      <t>c</t>
    </r>
    <r>
      <rPr>
        <sz val="11"/>
        <color theme="1"/>
        <rFont val="ＭＳ Ｐゴシック"/>
        <family val="2"/>
        <charset val="128"/>
        <scheme val="minor"/>
      </rPr>
      <t>onverter * output pin</t>
    </r>
    <phoneticPr fontId="56"/>
  </si>
  <si>
    <t>Timer 8 input/output pin A</t>
    <phoneticPr fontId="56"/>
  </si>
  <si>
    <t>FPSA00 input/output pin</t>
    <phoneticPr fontId="56"/>
  </si>
  <si>
    <t>FPSA01 input/output pin</t>
  </si>
  <si>
    <t>FPSA02 input/output pin</t>
  </si>
  <si>
    <t>FPSA03 input/output pin</t>
  </si>
  <si>
    <t>FPSA04 input/output pin</t>
  </si>
  <si>
    <t>FPSA05 input/output pin</t>
  </si>
  <si>
    <t>FPSA06 input/output pin</t>
  </si>
  <si>
    <t>FPSA07 input/output pin</t>
  </si>
  <si>
    <t>FPSA08 input/output pin</t>
  </si>
  <si>
    <t>FPSA09 input/output pin</t>
  </si>
  <si>
    <t>FPSA10 input/output pin</t>
  </si>
  <si>
    <t>FPSA11 input/output pin</t>
  </si>
  <si>
    <t>FPSA12 input/output pin</t>
  </si>
  <si>
    <t>FPSA13 input/output pin</t>
  </si>
  <si>
    <r>
      <t>FPSA</t>
    </r>
    <r>
      <rPr>
        <sz val="11"/>
        <color theme="1"/>
        <rFont val="ＭＳ Ｐゴシック"/>
        <family val="2"/>
        <charset val="128"/>
        <scheme val="minor"/>
      </rPr>
      <t>*</t>
    </r>
    <r>
      <rPr>
        <sz val="11"/>
        <color theme="1"/>
        <rFont val="ＭＳ Ｐゴシック"/>
        <family val="2"/>
        <charset val="128"/>
        <scheme val="minor"/>
      </rPr>
      <t xml:space="preserve"> input/output pin</t>
    </r>
    <phoneticPr fontId="56"/>
  </si>
  <si>
    <t>FPSA*</t>
    <phoneticPr fontId="56"/>
  </si>
  <si>
    <t>FPSB00 input/output pin</t>
    <phoneticPr fontId="56"/>
  </si>
  <si>
    <t>FPSB01 input/output pin</t>
  </si>
  <si>
    <t>FPSB02 input/output pin</t>
  </si>
  <si>
    <t>FPSB03 input/output pin</t>
  </si>
  <si>
    <t>FPSB04 input/output pin</t>
  </si>
  <si>
    <t>FPSB05 input/output pin</t>
  </si>
  <si>
    <t>FPSB06 input/output pin</t>
  </si>
  <si>
    <t>FPSB07 input/output pin</t>
  </si>
  <si>
    <t>FPSB08 input/output pin</t>
  </si>
  <si>
    <t>FPSB09 input/output pin</t>
  </si>
  <si>
    <t>FPSB10 input/output pin</t>
  </si>
  <si>
    <t>FPSB11 input/output pin</t>
  </si>
  <si>
    <t>FPSB*</t>
    <phoneticPr fontId="56"/>
  </si>
  <si>
    <r>
      <t>FPSB*</t>
    </r>
    <r>
      <rPr>
        <sz val="11"/>
        <color theme="1"/>
        <rFont val="ＭＳ Ｐゴシック"/>
        <family val="2"/>
        <charset val="128"/>
        <scheme val="minor"/>
      </rPr>
      <t xml:space="preserve"> input/output pin</t>
    </r>
    <phoneticPr fontId="56"/>
  </si>
  <si>
    <t>Table 9.1-2 The List of I/O Ports</t>
  </si>
  <si>
    <t>P0.*</t>
  </si>
  <si>
    <t>External interrupt 0 input pin</t>
  </si>
  <si>
    <t>Clock pin</t>
  </si>
  <si>
    <r>
      <t xml:space="preserve">Data </t>
    </r>
    <r>
      <rPr>
        <sz val="11"/>
        <color theme="1"/>
        <rFont val="ＭＳ Ｐゴシック"/>
        <family val="2"/>
        <charset val="128"/>
        <scheme val="minor"/>
      </rPr>
      <t xml:space="preserve">input/output </t>
    </r>
    <r>
      <rPr>
        <sz val="11"/>
        <color theme="1"/>
        <rFont val="ＭＳ Ｐゴシック"/>
        <family val="2"/>
        <charset val="128"/>
        <scheme val="minor"/>
      </rPr>
      <t>pin</t>
    </r>
    <phoneticPr fontId="56"/>
  </si>
  <si>
    <r>
      <t>Data</t>
    </r>
    <r>
      <rPr>
        <sz val="11"/>
        <color theme="1"/>
        <rFont val="ＭＳ Ｐゴシック"/>
        <family val="2"/>
        <charset val="128"/>
        <scheme val="minor"/>
      </rPr>
      <t xml:space="preserve"> input</t>
    </r>
    <r>
      <rPr>
        <sz val="11"/>
        <color theme="1"/>
        <rFont val="ＭＳ Ｐゴシック"/>
        <family val="2"/>
        <charset val="128"/>
        <scheme val="minor"/>
      </rPr>
      <t xml:space="preserve"> pin</t>
    </r>
    <phoneticPr fontId="56"/>
  </si>
  <si>
    <t>Chip select pin</t>
    <phoneticPr fontId="56"/>
  </si>
  <si>
    <t>Table 14.4-2 The Pins used for Communication Type</t>
  </si>
  <si>
    <t>Table 15.4-2 Pins used for Each Communication Type</t>
    <phoneticPr fontId="56"/>
  </si>
  <si>
    <r>
      <t>SPI0</t>
    </r>
    <r>
      <rPr>
        <sz val="11"/>
        <color theme="1"/>
        <rFont val="ＭＳ Ｐゴシック"/>
        <family val="2"/>
        <charset val="128"/>
        <scheme val="minor"/>
      </rPr>
      <t xml:space="preserve"> data input/output pin</t>
    </r>
    <phoneticPr fontId="56"/>
  </si>
  <si>
    <r>
      <t>SPI0</t>
    </r>
    <r>
      <rPr>
        <sz val="11"/>
        <color theme="1"/>
        <rFont val="ＭＳ Ｐゴシック"/>
        <family val="2"/>
        <charset val="128"/>
        <scheme val="minor"/>
      </rPr>
      <t xml:space="preserve"> data input pin</t>
    </r>
    <phoneticPr fontId="56"/>
  </si>
  <si>
    <t>SPI0 clock input/output pin</t>
    <phoneticPr fontId="56"/>
  </si>
  <si>
    <t>SPI0 chip select input/output pin</t>
    <phoneticPr fontId="56"/>
  </si>
  <si>
    <t>SPI1 clock input/output pin</t>
  </si>
  <si>
    <t>SPI1 chip select input/output pin</t>
  </si>
  <si>
    <t>SPI1 data input/output pin</t>
  </si>
  <si>
    <t>SPI2 data input/output pin</t>
  </si>
  <si>
    <t>SPI2 clock input/output pin</t>
  </si>
  <si>
    <t>SPI2 chip select input/output pin</t>
  </si>
  <si>
    <t>SPI3 data input/output pin</t>
  </si>
  <si>
    <t>SPI3 clock input/output pin</t>
  </si>
  <si>
    <t>SPI3 chip select input/output pin</t>
  </si>
  <si>
    <t>SPI4 data input/output pin</t>
  </si>
  <si>
    <t>SPI4 clock input/output pin</t>
  </si>
  <si>
    <t>SPI4 chip select input/output pin</t>
  </si>
  <si>
    <t>SPI5 data input/output pin</t>
  </si>
  <si>
    <t>SPI5 clock input/output pin</t>
  </si>
  <si>
    <t>SPI6 data input/output pin</t>
  </si>
  <si>
    <t>SPI6 clock input/output pin</t>
  </si>
  <si>
    <t>SPI* data input/output pin</t>
  </si>
  <si>
    <t>SPI* clock input/output pin</t>
  </si>
  <si>
    <t>SPI* chip select input/output pin</t>
  </si>
  <si>
    <t>SPI*_SBO*</t>
  </si>
  <si>
    <t>SPI*_SBI*</t>
  </si>
  <si>
    <t>SPI*_SBT*</t>
  </si>
  <si>
    <t>SPI*_SBCS*</t>
  </si>
  <si>
    <t>Table 14.5-2 Pins used for Communication Type</t>
  </si>
  <si>
    <t>UART0 data input/output pin</t>
  </si>
  <si>
    <t>UART0 data input pin</t>
  </si>
  <si>
    <t>UART1 data input/output pin</t>
  </si>
  <si>
    <t>UART1 data input pin</t>
  </si>
  <si>
    <t>UART2 data input/output pin</t>
  </si>
  <si>
    <t>UART3 data input/output pin</t>
  </si>
  <si>
    <t>UART4 data input/output pin</t>
  </si>
  <si>
    <t>UART4 data input pin</t>
  </si>
  <si>
    <t>UART5 data input/output pin</t>
  </si>
  <si>
    <t>UART6 data input/output pin</t>
  </si>
  <si>
    <t>UART*_TX*</t>
  </si>
  <si>
    <t>UART* data input/output pin</t>
  </si>
  <si>
    <t>UART*_RX*</t>
  </si>
  <si>
    <t>Table 14.6-1 Pins used in Each Communication Type</t>
  </si>
  <si>
    <t>I2C*_SDA*</t>
  </si>
  <si>
    <t>I2C* data input/output pin</t>
  </si>
  <si>
    <t>I2C*_SCL*</t>
  </si>
  <si>
    <t>I2C* clock input/output pin</t>
  </si>
  <si>
    <t>I2C0 data input/output pin</t>
  </si>
  <si>
    <t>I2C0 clock input/output pin</t>
  </si>
  <si>
    <t>I2C1 data input/output pin</t>
  </si>
  <si>
    <t>I2C1 clock input/output pin</t>
  </si>
  <si>
    <t>LIN transmission pin</t>
  </si>
  <si>
    <t>Table 17.1-3 List of LIN Controller Ports</t>
  </si>
  <si>
    <t>LIN transmission output pin</t>
  </si>
  <si>
    <t>LIN transmission output pin</t>
    <phoneticPr fontId="56"/>
  </si>
  <si>
    <t>LIN reception input pin</t>
  </si>
  <si>
    <t>transmit output pin</t>
  </si>
  <si>
    <t>receive input pin</t>
  </si>
  <si>
    <t>18.4.2.4 Transmitter Delay Compensation</t>
  </si>
  <si>
    <t>CAN transmit output pin</t>
  </si>
  <si>
    <t>CAN transmit output pin</t>
    <phoneticPr fontId="56"/>
  </si>
  <si>
    <t>CAN receive input pin</t>
  </si>
  <si>
    <t>CAN receive input pin</t>
    <phoneticPr fontId="56"/>
  </si>
  <si>
    <t>Real-time clock output</t>
    <phoneticPr fontId="56"/>
  </si>
  <si>
    <t>[Register Manual]　5. I/O Port</t>
    <phoneticPr fontId="56"/>
  </si>
  <si>
    <t>[Register Manual]　Table 5.10-1 FPSAn Function Selection</t>
    <phoneticPr fontId="56"/>
  </si>
  <si>
    <r>
      <t>GPWM count state</t>
    </r>
    <r>
      <rPr>
        <sz val="11"/>
        <color theme="1"/>
        <rFont val="ＭＳ Ｐゴシック"/>
        <family val="2"/>
        <charset val="128"/>
        <scheme val="minor"/>
      </rPr>
      <t xml:space="preserve"> </t>
    </r>
    <r>
      <rPr>
        <sz val="11"/>
        <color theme="1"/>
        <rFont val="ＭＳ Ｐゴシック"/>
        <family val="2"/>
        <charset val="128"/>
        <scheme val="minor"/>
      </rPr>
      <t>output</t>
    </r>
    <phoneticPr fontId="56"/>
  </si>
  <si>
    <t>GPWM*_GPWMBCST*</t>
  </si>
  <si>
    <r>
      <t>Real-time clock output</t>
    </r>
    <r>
      <rPr>
        <sz val="11"/>
        <color theme="1"/>
        <rFont val="ＭＳ Ｐゴシック"/>
        <family val="2"/>
        <charset val="128"/>
        <scheme val="minor"/>
      </rPr>
      <t xml:space="preserve"> pin</t>
    </r>
    <phoneticPr fontId="56"/>
  </si>
  <si>
    <r>
      <t>GPWM0</t>
    </r>
    <r>
      <rPr>
        <sz val="11"/>
        <color theme="1"/>
        <rFont val="ＭＳ Ｐゴシック"/>
        <family val="2"/>
        <charset val="128"/>
        <scheme val="minor"/>
      </rPr>
      <t xml:space="preserve"> count state output</t>
    </r>
    <r>
      <rPr>
        <sz val="11"/>
        <color theme="1"/>
        <rFont val="ＭＳ Ｐゴシック"/>
        <family val="2"/>
        <charset val="128"/>
        <scheme val="minor"/>
      </rPr>
      <t xml:space="preserve"> pin</t>
    </r>
    <phoneticPr fontId="56"/>
  </si>
  <si>
    <t>GPWM1 count state output pin</t>
  </si>
  <si>
    <t>GPWM2 count state output pin</t>
  </si>
  <si>
    <t>GPWM3 count state output pin</t>
  </si>
  <si>
    <t>GPWM4 count state output pin</t>
  </si>
  <si>
    <t>GPWM5 count state output pin</t>
  </si>
  <si>
    <t>GPWM6 count state output pin</t>
  </si>
  <si>
    <t>GPWM7 count state output pin</t>
  </si>
  <si>
    <t>GPWM* count state output pin</t>
  </si>
  <si>
    <t>A/D conversion state output</t>
    <phoneticPr fontId="56"/>
  </si>
  <si>
    <t>ADSTATE*</t>
  </si>
  <si>
    <t>A/D0 conversion state output pin</t>
  </si>
  <si>
    <r>
      <t>A/D0</t>
    </r>
    <r>
      <rPr>
        <sz val="11"/>
        <color theme="1"/>
        <rFont val="ＭＳ Ｐゴシック"/>
        <family val="2"/>
        <charset val="128"/>
        <scheme val="minor"/>
      </rPr>
      <t xml:space="preserve"> conversion state output</t>
    </r>
    <r>
      <rPr>
        <sz val="11"/>
        <color theme="1"/>
        <rFont val="ＭＳ Ｐゴシック"/>
        <family val="2"/>
        <charset val="128"/>
        <scheme val="minor"/>
      </rPr>
      <t xml:space="preserve"> pin</t>
    </r>
    <phoneticPr fontId="56"/>
  </si>
  <si>
    <t>A/D1 conversion state output pin</t>
  </si>
  <si>
    <t>A/D2 conversion state output pin</t>
  </si>
  <si>
    <r>
      <t>Comparator</t>
    </r>
    <r>
      <rPr>
        <sz val="11"/>
        <color theme="1"/>
        <rFont val="ＭＳ Ｐゴシック"/>
        <family val="2"/>
        <charset val="128"/>
        <scheme val="minor"/>
      </rPr>
      <t xml:space="preserve"> </t>
    </r>
    <r>
      <rPr>
        <sz val="11"/>
        <color theme="1"/>
        <rFont val="ＭＳ Ｐゴシック"/>
        <family val="2"/>
        <charset val="128"/>
        <scheme val="minor"/>
      </rPr>
      <t>Output</t>
    </r>
    <phoneticPr fontId="56"/>
  </si>
  <si>
    <t>Comparator 50 output pin</t>
    <phoneticPr fontId="56"/>
  </si>
  <si>
    <t>Comparator 51 output pin</t>
  </si>
  <si>
    <t>CMP*_CMPOT*0</t>
  </si>
  <si>
    <t>Comparator *0 output pin</t>
  </si>
  <si>
    <t>CMP*_CMPOT*1</t>
  </si>
  <si>
    <t>Comparator *1 output pin</t>
  </si>
  <si>
    <t>Clock Output</t>
  </si>
  <si>
    <t>Clock Output</t>
    <phoneticPr fontId="56"/>
  </si>
  <si>
    <t>A/D0 conversion state output pin</t>
    <phoneticPr fontId="56"/>
  </si>
  <si>
    <t>GPWM00 output pin</t>
    <phoneticPr fontId="56"/>
  </si>
  <si>
    <t>GPWM*_GPWM*0</t>
    <phoneticPr fontId="56"/>
  </si>
  <si>
    <t>CMP*_CMPIN*0</t>
    <phoneticPr fontId="56"/>
  </si>
  <si>
    <t>CMP*_CMPIN*1</t>
    <phoneticPr fontId="56"/>
  </si>
  <si>
    <t>Comparator *0 input pin</t>
    <phoneticPr fontId="56"/>
  </si>
  <si>
    <t>Comparator *1 input pin</t>
    <phoneticPr fontId="56"/>
  </si>
  <si>
    <t>ADSTATE0</t>
    <phoneticPr fontId="56"/>
  </si>
  <si>
    <t>GWPM7_GPWMBCST7</t>
    <phoneticPr fontId="56"/>
  </si>
  <si>
    <t>CLK</t>
    <phoneticPr fontId="56"/>
  </si>
  <si>
    <t>KM1M7CF03N/K</t>
    <phoneticPr fontId="13" type="noConversion"/>
  </si>
  <si>
    <t>KM1M7CF15N/K</t>
    <phoneticPr fontId="13" type="noConversion"/>
  </si>
  <si>
    <t>CMP1_CMPREF1</t>
    <phoneticPr fontId="56"/>
  </si>
  <si>
    <t>CLK</t>
    <phoneticPr fontId="13" type="noConversion"/>
  </si>
  <si>
    <t>SPI2_SBT2</t>
    <phoneticPr fontId="56"/>
  </si>
  <si>
    <t>Note</t>
    <phoneticPr fontId="65"/>
  </si>
  <si>
    <t>This pin cannot be set to FPSA06 or FPSA10.</t>
    <phoneticPr fontId="56"/>
  </si>
  <si>
    <t>This pin cannot be set to FPSB10 or FPSB11.</t>
  </si>
  <si>
    <t>This pin cannot be set to FPSB10.</t>
  </si>
  <si>
    <t>This pin cannot be set to FPSB10.</t>
    <phoneticPr fontId="6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</si>
</sst>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4">
    <font>
      <sz val="11"/>
      <color indexed="8"/>
      <name val="新細明體"/>
      <family val="1"/>
      <charset val="136"/>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indexed="8"/>
      <name val="新細明體"/>
      <family val="1"/>
      <charset val="136"/>
    </font>
    <font>
      <sz val="9"/>
      <name val="新細明體"/>
      <family val="1"/>
      <charset val="136"/>
    </font>
    <font>
      <sz val="10"/>
      <name val="Arial"/>
      <family val="2"/>
    </font>
    <font>
      <sz val="12"/>
      <name val="新細明體"/>
      <family val="1"/>
      <charset val="136"/>
    </font>
    <font>
      <sz val="10"/>
      <name val="Verdana"/>
      <family val="2"/>
    </font>
    <font>
      <sz val="11"/>
      <color indexed="8"/>
      <name val="Arial Unicode MS"/>
      <family val="2"/>
      <charset val="136"/>
    </font>
    <font>
      <sz val="12"/>
      <color indexed="8"/>
      <name val="Arial Unicode MS"/>
      <family val="2"/>
      <charset val="136"/>
    </font>
    <font>
      <sz val="12"/>
      <name val="Arial Unicode MS"/>
      <family val="2"/>
      <charset val="136"/>
    </font>
    <font>
      <sz val="11"/>
      <color indexed="8"/>
      <name val="新細明體"/>
      <family val="1"/>
      <charset val="136"/>
    </font>
    <font>
      <sz val="11"/>
      <name val="Arial Unicode MS"/>
      <family val="2"/>
      <charset val="136"/>
    </font>
    <font>
      <strike/>
      <sz val="12"/>
      <name val="Arial Unicode MS"/>
      <family val="2"/>
      <charset val="136"/>
    </font>
    <font>
      <b/>
      <sz val="10"/>
      <name val="Calibri"/>
      <family val="2"/>
    </font>
    <font>
      <b/>
      <sz val="11"/>
      <color indexed="8"/>
      <name val="新細明體"/>
      <family val="1"/>
      <charset val="136"/>
    </font>
    <font>
      <sz val="11"/>
      <color theme="1"/>
      <name val="ＭＳ Ｐゴシック"/>
      <family val="1"/>
      <charset val="136"/>
      <scheme val="minor"/>
    </font>
    <font>
      <sz val="11"/>
      <color theme="0"/>
      <name val="ＭＳ Ｐゴシック"/>
      <family val="1"/>
      <charset val="136"/>
      <scheme val="minor"/>
    </font>
    <font>
      <sz val="11"/>
      <color rgb="FF9C0006"/>
      <name val="ＭＳ Ｐゴシック"/>
      <family val="1"/>
      <charset val="136"/>
      <scheme val="minor"/>
    </font>
    <font>
      <b/>
      <sz val="11"/>
      <color rgb="FFFA7D00"/>
      <name val="ＭＳ Ｐゴシック"/>
      <family val="1"/>
      <charset val="136"/>
      <scheme val="minor"/>
    </font>
    <font>
      <b/>
      <sz val="11"/>
      <color theme="0"/>
      <name val="ＭＳ Ｐゴシック"/>
      <family val="1"/>
      <charset val="136"/>
      <scheme val="minor"/>
    </font>
    <font>
      <i/>
      <sz val="11"/>
      <color rgb="FF7F7F7F"/>
      <name val="ＭＳ Ｐゴシック"/>
      <family val="1"/>
      <charset val="136"/>
      <scheme val="minor"/>
    </font>
    <font>
      <sz val="11"/>
      <color rgb="FF006100"/>
      <name val="ＭＳ Ｐゴシック"/>
      <family val="1"/>
      <charset val="136"/>
      <scheme val="minor"/>
    </font>
    <font>
      <b/>
      <sz val="15"/>
      <color theme="3"/>
      <name val="ＭＳ Ｐゴシック"/>
      <family val="1"/>
      <charset val="136"/>
      <scheme val="minor"/>
    </font>
    <font>
      <b/>
      <sz val="13"/>
      <color theme="3"/>
      <name val="ＭＳ Ｐゴシック"/>
      <family val="1"/>
      <charset val="136"/>
      <scheme val="minor"/>
    </font>
    <font>
      <b/>
      <sz val="11"/>
      <color theme="3"/>
      <name val="ＭＳ Ｐゴシック"/>
      <family val="1"/>
      <charset val="136"/>
      <scheme val="minor"/>
    </font>
    <font>
      <sz val="11"/>
      <color rgb="FF3F3F76"/>
      <name val="ＭＳ Ｐゴシック"/>
      <family val="1"/>
      <charset val="136"/>
      <scheme val="minor"/>
    </font>
    <font>
      <sz val="11"/>
      <color rgb="FFFA7D00"/>
      <name val="ＭＳ Ｐゴシック"/>
      <family val="1"/>
      <charset val="136"/>
      <scheme val="minor"/>
    </font>
    <font>
      <sz val="11"/>
      <color rgb="FF9C6500"/>
      <name val="ＭＳ Ｐゴシック"/>
      <family val="1"/>
      <charset val="136"/>
      <scheme val="minor"/>
    </font>
    <font>
      <sz val="12"/>
      <color theme="1"/>
      <name val="新細明體"/>
      <family val="1"/>
      <charset val="136"/>
    </font>
    <font>
      <b/>
      <sz val="11"/>
      <color rgb="FF3F3F3F"/>
      <name val="ＭＳ Ｐゴシック"/>
      <family val="1"/>
      <charset val="136"/>
      <scheme val="minor"/>
    </font>
    <font>
      <b/>
      <sz val="18"/>
      <color theme="3"/>
      <name val="ＭＳ Ｐゴシック"/>
      <family val="1"/>
      <charset val="136"/>
      <scheme val="major"/>
    </font>
    <font>
      <b/>
      <sz val="11"/>
      <color theme="1"/>
      <name val="ＭＳ Ｐゴシック"/>
      <family val="1"/>
      <charset val="136"/>
      <scheme val="minor"/>
    </font>
    <font>
      <sz val="11"/>
      <color rgb="FFFF0000"/>
      <name val="ＭＳ Ｐゴシック"/>
      <family val="1"/>
      <charset val="136"/>
      <scheme val="minor"/>
    </font>
    <font>
      <sz val="11"/>
      <color theme="1"/>
      <name val="Arial Unicode MS"/>
      <family val="2"/>
      <charset val="136"/>
    </font>
    <font>
      <sz val="8"/>
      <color rgb="FF000000"/>
      <name val="Arial"/>
      <family val="2"/>
    </font>
    <font>
      <sz val="8"/>
      <color theme="1"/>
      <name val="Arial"/>
      <family val="2"/>
    </font>
    <font>
      <b/>
      <sz val="11"/>
      <color theme="1"/>
      <name val="Calibri"/>
      <family val="2"/>
    </font>
    <font>
      <sz val="9"/>
      <color indexed="81"/>
      <name val="Tahoma"/>
      <family val="2"/>
    </font>
    <font>
      <b/>
      <sz val="12"/>
      <name val="Calibri"/>
      <family val="2"/>
    </font>
    <font>
      <sz val="12"/>
      <color indexed="8"/>
      <name val="新細明體"/>
      <family val="1"/>
      <charset val="136"/>
    </font>
    <font>
      <b/>
      <sz val="12"/>
      <color theme="1"/>
      <name val="Arial Unicode MS"/>
      <family val="2"/>
      <charset val="136"/>
    </font>
    <font>
      <sz val="12"/>
      <color theme="1"/>
      <name val="Arial Unicode MS"/>
      <family val="2"/>
      <charset val="136"/>
    </font>
    <font>
      <sz val="9"/>
      <color indexed="81"/>
      <name val="細明體"/>
      <family val="3"/>
      <charset val="136"/>
    </font>
    <font>
      <b/>
      <sz val="10"/>
      <color rgb="FF000000"/>
      <name val="Arial"/>
      <family val="2"/>
    </font>
    <font>
      <b/>
      <sz val="12"/>
      <color theme="1"/>
      <name val="Consolas"/>
      <family val="3"/>
    </font>
    <font>
      <b/>
      <sz val="9"/>
      <name val="Arial"/>
      <family val="2"/>
    </font>
    <font>
      <sz val="6"/>
      <name val="ＭＳ Ｐ明朝"/>
      <family val="1"/>
      <charset val="128"/>
    </font>
    <font>
      <b/>
      <sz val="8"/>
      <color indexed="8"/>
      <name val="Arial"/>
      <family val="2"/>
    </font>
    <font>
      <sz val="6"/>
      <name val="ＭＳ Ｐゴシック"/>
      <family val="2"/>
      <charset val="128"/>
      <scheme val="minor"/>
    </font>
    <font>
      <sz val="8"/>
      <name val="Arial"/>
      <family val="2"/>
    </font>
    <font>
      <sz val="11"/>
      <name val="新細明體"/>
      <family val="1"/>
      <charset val="136"/>
    </font>
    <font>
      <sz val="11"/>
      <color theme="1"/>
      <name val="ＭＳ Ｐゴシック"/>
      <family val="3"/>
      <charset val="128"/>
      <scheme val="minor"/>
    </font>
    <font>
      <sz val="11"/>
      <name val="ＭＳ Ｐゴシック"/>
      <family val="3"/>
      <charset val="128"/>
      <scheme val="minor"/>
    </font>
    <font>
      <sz val="6"/>
      <name val="ＭＳ Ｐゴシック"/>
      <family val="3"/>
      <charset val="128"/>
      <scheme val="minor"/>
    </font>
    <font>
      <b/>
      <sz val="11"/>
      <color indexed="8"/>
      <name val="Calibri"/>
      <family val="2"/>
    </font>
    <font>
      <sz val="6"/>
      <name val="ＭＳ Ｐゴシック"/>
      <family val="3"/>
      <charset val="128"/>
    </font>
    <font>
      <sz val="11"/>
      <color indexed="8"/>
      <name val="新細明體"/>
      <family val="1"/>
    </font>
    <font>
      <sz val="11"/>
      <color theme="1"/>
      <name val="新細明體"/>
      <family val="1"/>
    </font>
    <font>
      <sz val="11"/>
      <color theme="1"/>
      <name val="ＭＳ Ｐゴシック"/>
      <family val="3"/>
      <charset val="128"/>
      <scheme val="major"/>
    </font>
    <font>
      <b/>
      <sz val="11"/>
      <color theme="1"/>
      <name val="ＭＳ Ｐゴシック"/>
      <family val="3"/>
      <charset val="128"/>
      <scheme val="major"/>
    </font>
    <font>
      <sz val="11"/>
      <color indexed="8"/>
      <name val="ＭＳ Ｐゴシック"/>
      <family val="3"/>
      <charset val="128"/>
      <scheme val="major"/>
    </font>
    <font>
      <b/>
      <sz val="11"/>
      <color theme="1"/>
      <name val="新細明體"/>
      <family val="1"/>
      <charset val="136"/>
    </font>
    <font>
      <b/>
      <sz val="11"/>
      <color rgb="FF000000"/>
      <name val="新細明體"/>
      <family val="1"/>
    </font>
    <font>
      <b/>
      <sz val="11"/>
      <color indexed="8"/>
      <name val="新細明體"/>
      <family val="1"/>
    </font>
  </fonts>
  <fills count="46">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rgb="FF00B050"/>
        <bgColor indexed="64"/>
      </patternFill>
    </fill>
    <fill>
      <patternFill patternType="solid">
        <fgColor rgb="FFC6D9F1"/>
        <bgColor indexed="64"/>
      </patternFill>
    </fill>
    <fill>
      <patternFill patternType="solid">
        <fgColor indexed="40"/>
        <bgColor indexed="64"/>
      </patternFill>
    </fill>
    <fill>
      <patternFill patternType="solid">
        <fgColor theme="5" tint="0.59999389629810485"/>
        <bgColor indexed="64"/>
      </patternFill>
    </fill>
    <fill>
      <patternFill patternType="solid">
        <fgColor rgb="FF00B0F0"/>
        <bgColor indexed="64"/>
      </patternFill>
    </fill>
    <fill>
      <patternFill patternType="solid">
        <fgColor rgb="FFFFC000"/>
        <bgColor indexed="64"/>
      </patternFill>
    </fill>
    <fill>
      <patternFill patternType="solid">
        <fgColor indexed="17"/>
        <bgColor indexed="64"/>
      </patternFill>
    </fill>
    <fill>
      <patternFill patternType="solid">
        <fgColor indexed="50"/>
        <bgColor indexed="64"/>
      </patternFill>
    </fill>
    <fill>
      <patternFill patternType="solid">
        <fgColor theme="8" tint="0.59999389629810485"/>
        <bgColor indexed="64"/>
      </patternFill>
    </fill>
    <fill>
      <patternFill patternType="solid">
        <fgColor rgb="FFFFFFCC"/>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right style="medium">
        <color indexed="64"/>
      </right>
      <top/>
      <bottom style="thin">
        <color indexed="64"/>
      </bottom>
      <diagonal/>
    </border>
    <border>
      <left style="thin">
        <color indexed="64"/>
      </left>
      <right style="thin">
        <color indexed="64"/>
      </right>
      <top/>
      <bottom/>
      <diagonal/>
    </border>
    <border>
      <left style="medium">
        <color indexed="64"/>
      </left>
      <right/>
      <top/>
      <bottom style="thin">
        <color indexed="64"/>
      </bottom>
      <diagonal/>
    </border>
    <border>
      <left/>
      <right style="medium">
        <color indexed="64"/>
      </right>
      <top style="thin">
        <color indexed="64"/>
      </top>
      <bottom style="medium">
        <color indexed="64"/>
      </bottom>
      <diagonal/>
    </border>
  </borders>
  <cellStyleXfs count="56">
    <xf numFmtId="0" fontId="0" fillId="0" borderId="0">
      <alignment vertical="center"/>
    </xf>
    <xf numFmtId="0" fontId="25" fillId="2" borderId="0" applyNumberFormat="0" applyBorder="0" applyAlignment="0" applyProtection="0">
      <alignment vertical="center"/>
    </xf>
    <xf numFmtId="0" fontId="25" fillId="3" borderId="0" applyNumberFormat="0" applyBorder="0" applyAlignment="0" applyProtection="0">
      <alignment vertical="center"/>
    </xf>
    <xf numFmtId="0" fontId="25" fillId="4" borderId="0" applyNumberFormat="0" applyBorder="0" applyAlignment="0" applyProtection="0">
      <alignment vertical="center"/>
    </xf>
    <xf numFmtId="0" fontId="25" fillId="5" borderId="0" applyNumberFormat="0" applyBorder="0" applyAlignment="0" applyProtection="0">
      <alignment vertical="center"/>
    </xf>
    <xf numFmtId="0" fontId="25" fillId="6" borderId="0" applyNumberFormat="0" applyBorder="0" applyAlignment="0" applyProtection="0">
      <alignment vertical="center"/>
    </xf>
    <xf numFmtId="0" fontId="25" fillId="7" borderId="0" applyNumberFormat="0" applyBorder="0" applyAlignment="0" applyProtection="0">
      <alignment vertical="center"/>
    </xf>
    <xf numFmtId="0" fontId="25" fillId="8" borderId="0" applyNumberFormat="0" applyBorder="0" applyAlignment="0" applyProtection="0">
      <alignment vertical="center"/>
    </xf>
    <xf numFmtId="0" fontId="25"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5" applyNumberFormat="0" applyAlignment="0" applyProtection="0">
      <alignment vertical="center"/>
    </xf>
    <xf numFmtId="0" fontId="29" fillId="28" borderId="6" applyNumberFormat="0" applyAlignment="0" applyProtection="0">
      <alignment vertical="center"/>
    </xf>
    <xf numFmtId="0" fontId="30" fillId="0" borderId="0" applyNumberFormat="0" applyFill="0" applyBorder="0" applyAlignment="0" applyProtection="0">
      <alignment vertical="center"/>
    </xf>
    <xf numFmtId="0" fontId="31" fillId="29" borderId="0" applyNumberFormat="0" applyBorder="0" applyAlignment="0" applyProtection="0">
      <alignment vertical="center"/>
    </xf>
    <xf numFmtId="0" fontId="32" fillId="0" borderId="7" applyNumberFormat="0" applyFill="0" applyAlignment="0" applyProtection="0">
      <alignment vertical="center"/>
    </xf>
    <xf numFmtId="0" fontId="33" fillId="0" borderId="8" applyNumberFormat="0" applyFill="0" applyAlignment="0" applyProtection="0">
      <alignment vertical="center"/>
    </xf>
    <xf numFmtId="0" fontId="34" fillId="0" borderId="9" applyNumberFormat="0" applyFill="0" applyAlignment="0" applyProtection="0">
      <alignment vertical="center"/>
    </xf>
    <xf numFmtId="0" fontId="34" fillId="0" borderId="0" applyNumberFormat="0" applyFill="0" applyBorder="0" applyAlignment="0" applyProtection="0">
      <alignment vertical="center"/>
    </xf>
    <xf numFmtId="0" fontId="35" fillId="30" borderId="5" applyNumberFormat="0" applyAlignment="0" applyProtection="0">
      <alignment vertical="center"/>
    </xf>
    <xf numFmtId="0" fontId="36" fillId="0" borderId="10" applyNumberFormat="0" applyFill="0" applyAlignment="0" applyProtection="0">
      <alignment vertical="center"/>
    </xf>
    <xf numFmtId="0" fontId="37" fillId="31" borderId="0" applyNumberFormat="0" applyBorder="0" applyAlignment="0" applyProtection="0">
      <alignment vertical="center"/>
    </xf>
    <xf numFmtId="0" fontId="15" fillId="0" borderId="0">
      <alignment vertical="center"/>
    </xf>
    <xf numFmtId="0" fontId="12" fillId="0" borderId="0">
      <alignment vertical="center"/>
    </xf>
    <xf numFmtId="0" fontId="15" fillId="0" borderId="0">
      <alignment vertical="center"/>
    </xf>
    <xf numFmtId="0" fontId="14" fillId="0" borderId="0" applyNumberFormat="0" applyFont="0" applyFill="0" applyBorder="0" applyAlignment="0" applyProtection="0"/>
    <xf numFmtId="0" fontId="38" fillId="0" borderId="0">
      <alignment vertical="center"/>
    </xf>
    <xf numFmtId="0" fontId="14" fillId="0" borderId="0" applyNumberFormat="0" applyFont="0" applyFill="0" applyBorder="0" applyAlignment="0" applyProtection="0"/>
    <xf numFmtId="0" fontId="14" fillId="0" borderId="0" applyNumberFormat="0" applyFont="0" applyFill="0" applyBorder="0" applyAlignment="0" applyProtection="0"/>
    <xf numFmtId="0" fontId="25" fillId="0" borderId="0">
      <alignment vertical="center"/>
    </xf>
    <xf numFmtId="0" fontId="25" fillId="0" borderId="0">
      <alignment vertical="center"/>
    </xf>
    <xf numFmtId="0" fontId="20" fillId="32" borderId="11" applyNumberFormat="0" applyFont="0" applyAlignment="0" applyProtection="0">
      <alignment vertical="center"/>
    </xf>
    <xf numFmtId="0" fontId="39" fillId="27" borderId="12" applyNumberFormat="0" applyAlignment="0" applyProtection="0">
      <alignment vertical="center"/>
    </xf>
    <xf numFmtId="0" fontId="40" fillId="0" borderId="0" applyNumberFormat="0" applyFill="0" applyBorder="0" applyAlignment="0" applyProtection="0">
      <alignment vertical="center"/>
    </xf>
    <xf numFmtId="0" fontId="41" fillId="0" borderId="13" applyNumberFormat="0" applyFill="0" applyAlignment="0" applyProtection="0">
      <alignment vertical="center"/>
    </xf>
    <xf numFmtId="0" fontId="42" fillId="0" borderId="0" applyNumberFormat="0" applyFill="0" applyBorder="0" applyAlignment="0" applyProtection="0">
      <alignment vertical="center"/>
    </xf>
    <xf numFmtId="0" fontId="25" fillId="0" borderId="0"/>
    <xf numFmtId="0" fontId="25" fillId="0" borderId="0">
      <alignment vertical="center"/>
    </xf>
    <xf numFmtId="0" fontId="15" fillId="0" borderId="0">
      <alignment vertical="center"/>
    </xf>
    <xf numFmtId="0" fontId="11" fillId="0" borderId="0">
      <alignment vertical="center"/>
    </xf>
    <xf numFmtId="0" fontId="12" fillId="0" borderId="0">
      <alignment vertical="center"/>
    </xf>
  </cellStyleXfs>
  <cellXfs count="241">
    <xf numFmtId="0" fontId="0" fillId="0" borderId="0" xfId="0">
      <alignment vertical="center"/>
    </xf>
    <xf numFmtId="0" fontId="19" fillId="33" borderId="1" xfId="0" applyFont="1" applyFill="1" applyBorder="1">
      <alignment vertical="center"/>
    </xf>
    <xf numFmtId="0" fontId="21" fillId="33" borderId="1" xfId="0" applyFont="1" applyFill="1" applyBorder="1">
      <alignment vertical="center"/>
    </xf>
    <xf numFmtId="0" fontId="17" fillId="0" borderId="1" xfId="0" applyFont="1" applyBorder="1">
      <alignment vertical="center"/>
    </xf>
    <xf numFmtId="0" fontId="17" fillId="33" borderId="1" xfId="0" applyFont="1" applyFill="1" applyBorder="1">
      <alignment vertical="center"/>
    </xf>
    <xf numFmtId="0" fontId="16" fillId="33" borderId="1" xfId="0" applyFont="1" applyFill="1" applyBorder="1">
      <alignment vertical="center"/>
    </xf>
    <xf numFmtId="0" fontId="19" fillId="33" borderId="3" xfId="0" applyFont="1" applyFill="1" applyBorder="1">
      <alignment vertical="center"/>
    </xf>
    <xf numFmtId="0" fontId="19" fillId="33" borderId="1" xfId="0" applyFont="1" applyFill="1" applyBorder="1" applyAlignment="1">
      <alignment horizontal="center" vertical="center"/>
    </xf>
    <xf numFmtId="0" fontId="19" fillId="33" borderId="3" xfId="0" applyFont="1" applyFill="1" applyBorder="1" applyAlignment="1">
      <alignment horizontal="center" vertical="center"/>
    </xf>
    <xf numFmtId="0" fontId="23" fillId="0" borderId="1" xfId="40" applyFont="1" applyBorder="1" applyAlignment="1">
      <alignment horizontal="center"/>
    </xf>
    <xf numFmtId="0" fontId="22" fillId="33" borderId="1" xfId="0" applyFont="1" applyFill="1" applyBorder="1" applyAlignment="1">
      <alignment horizontal="center" vertical="center"/>
    </xf>
    <xf numFmtId="0" fontId="49" fillId="0" borderId="0" xfId="0" applyFont="1">
      <alignment vertical="center"/>
    </xf>
    <xf numFmtId="0" fontId="51" fillId="33" borderId="1" xfId="0" applyFont="1" applyFill="1" applyBorder="1">
      <alignment vertical="center"/>
    </xf>
    <xf numFmtId="0" fontId="51" fillId="33" borderId="2" xfId="0" applyFont="1" applyFill="1" applyBorder="1">
      <alignment vertical="center"/>
    </xf>
    <xf numFmtId="0" fontId="51" fillId="33" borderId="4" xfId="0" applyFont="1" applyFill="1" applyBorder="1">
      <alignment vertical="center"/>
    </xf>
    <xf numFmtId="0" fontId="43" fillId="33" borderId="2" xfId="0" applyFont="1" applyFill="1" applyBorder="1">
      <alignment vertical="center"/>
    </xf>
    <xf numFmtId="0" fontId="51" fillId="33" borderId="0" xfId="0" applyFont="1" applyFill="1">
      <alignment vertical="center"/>
    </xf>
    <xf numFmtId="0" fontId="43" fillId="0" borderId="2" xfId="0" applyFont="1" applyBorder="1">
      <alignment vertical="center"/>
    </xf>
    <xf numFmtId="0" fontId="19" fillId="0" borderId="1" xfId="0" applyFont="1" applyFill="1" applyBorder="1">
      <alignment vertical="center"/>
    </xf>
    <xf numFmtId="0" fontId="0" fillId="0" borderId="0" xfId="0" applyFill="1">
      <alignment vertical="center"/>
    </xf>
    <xf numFmtId="0" fontId="21" fillId="0" borderId="1" xfId="0" applyFont="1" applyFill="1" applyBorder="1">
      <alignment vertical="center"/>
    </xf>
    <xf numFmtId="0" fontId="53" fillId="37" borderId="15" xfId="51" applyFont="1" applyFill="1" applyBorder="1" applyAlignment="1">
      <alignment vertical="center" wrapText="1"/>
    </xf>
    <xf numFmtId="0" fontId="53" fillId="37" borderId="18" xfId="51" applyFont="1" applyFill="1" applyBorder="1" applyAlignment="1">
      <alignment vertical="center" wrapText="1"/>
    </xf>
    <xf numFmtId="0" fontId="44" fillId="0" borderId="19" xfId="51" applyFont="1" applyBorder="1" applyAlignment="1">
      <alignment vertical="center" wrapText="1"/>
    </xf>
    <xf numFmtId="0" fontId="53" fillId="37" borderId="20" xfId="51" applyFont="1" applyFill="1" applyBorder="1" applyAlignment="1">
      <alignment vertical="center" wrapText="1"/>
    </xf>
    <xf numFmtId="0" fontId="44" fillId="0" borderId="21" xfId="51" applyFont="1" applyBorder="1" applyAlignment="1">
      <alignment vertical="center" wrapText="1"/>
    </xf>
    <xf numFmtId="0" fontId="44" fillId="0" borderId="22" xfId="51" applyFont="1" applyBorder="1" applyAlignment="1">
      <alignment vertical="center" wrapText="1"/>
    </xf>
    <xf numFmtId="0" fontId="44" fillId="0" borderId="20" xfId="51" applyFont="1" applyBorder="1" applyAlignment="1">
      <alignment vertical="center" wrapText="1"/>
    </xf>
    <xf numFmtId="0" fontId="46" fillId="0" borderId="23" xfId="51" applyFont="1" applyFill="1" applyBorder="1" applyAlignment="1">
      <alignment horizontal="center" vertical="center" wrapText="1"/>
    </xf>
    <xf numFmtId="0" fontId="46" fillId="37" borderId="24" xfId="51" applyFont="1" applyFill="1" applyBorder="1" applyAlignment="1">
      <alignment horizontal="center" vertical="center" wrapText="1"/>
    </xf>
    <xf numFmtId="0" fontId="46" fillId="37" borderId="25" xfId="51" applyFont="1" applyFill="1" applyBorder="1" applyAlignment="1">
      <alignment horizontal="center" vertical="center" wrapText="1"/>
    </xf>
    <xf numFmtId="0" fontId="46" fillId="40" borderId="17" xfId="51" applyFont="1" applyFill="1" applyBorder="1" applyAlignment="1">
      <alignment horizontal="center" vertical="center" wrapText="1"/>
    </xf>
    <xf numFmtId="0" fontId="46" fillId="41" borderId="1" xfId="51" applyFont="1" applyFill="1" applyBorder="1" applyAlignment="1">
      <alignment horizontal="center" vertical="center" wrapText="1"/>
    </xf>
    <xf numFmtId="0" fontId="46" fillId="39" borderId="1" xfId="51" applyFont="1" applyFill="1" applyBorder="1" applyAlignment="1">
      <alignment horizontal="center" vertical="center" wrapText="1"/>
    </xf>
    <xf numFmtId="0" fontId="46" fillId="0" borderId="15" xfId="51" applyFont="1" applyFill="1" applyBorder="1" applyAlignment="1">
      <alignment horizontal="center" vertical="center" wrapText="1"/>
    </xf>
    <xf numFmtId="0" fontId="46" fillId="40" borderId="16" xfId="51" applyFont="1" applyFill="1" applyBorder="1" applyAlignment="1">
      <alignment horizontal="center" vertical="center" wrapText="1"/>
    </xf>
    <xf numFmtId="0" fontId="46" fillId="0" borderId="18" xfId="51" applyFont="1" applyFill="1" applyBorder="1" applyAlignment="1">
      <alignment horizontal="center" vertical="center" wrapText="1"/>
    </xf>
    <xf numFmtId="0" fontId="46" fillId="41" borderId="19" xfId="51" applyFont="1" applyFill="1" applyBorder="1" applyAlignment="1">
      <alignment horizontal="center" vertical="center" wrapText="1"/>
    </xf>
    <xf numFmtId="0" fontId="46" fillId="39" borderId="19" xfId="51" applyFont="1" applyFill="1" applyBorder="1" applyAlignment="1">
      <alignment horizontal="center" vertical="center" wrapText="1"/>
    </xf>
    <xf numFmtId="0" fontId="0" fillId="0" borderId="18" xfId="0" applyBorder="1">
      <alignment vertical="center"/>
    </xf>
    <xf numFmtId="0" fontId="0" fillId="0" borderId="19" xfId="0" applyBorder="1">
      <alignment vertical="center"/>
    </xf>
    <xf numFmtId="0" fontId="0" fillId="0" borderId="20" xfId="0" applyBorder="1">
      <alignment vertical="center"/>
    </xf>
    <xf numFmtId="0" fontId="0" fillId="0" borderId="22" xfId="0" applyBorder="1">
      <alignment vertical="center"/>
    </xf>
    <xf numFmtId="0" fontId="54" fillId="38" borderId="15" xfId="53" applyFont="1" applyFill="1" applyBorder="1" applyAlignment="1">
      <alignment horizontal="center" vertical="center" wrapText="1"/>
    </xf>
    <xf numFmtId="0" fontId="54" fillId="38" borderId="16" xfId="53" applyFont="1" applyFill="1" applyBorder="1" applyAlignment="1">
      <alignment horizontal="center" vertical="center" wrapText="1"/>
    </xf>
    <xf numFmtId="0" fontId="54" fillId="38" borderId="17" xfId="53" applyFont="1" applyFill="1" applyBorder="1" applyAlignment="1">
      <alignment horizontal="center" vertical="center" wrapText="1"/>
    </xf>
    <xf numFmtId="0" fontId="19" fillId="33" borderId="26" xfId="0" applyFont="1" applyFill="1" applyBorder="1">
      <alignment vertical="center"/>
    </xf>
    <xf numFmtId="0" fontId="17" fillId="0" borderId="26" xfId="0" applyFont="1" applyBorder="1">
      <alignment vertical="center"/>
    </xf>
    <xf numFmtId="0" fontId="51" fillId="33" borderId="26" xfId="0" applyFont="1" applyFill="1" applyBorder="1">
      <alignment vertical="center"/>
    </xf>
    <xf numFmtId="0" fontId="19" fillId="33" borderId="4" xfId="0" applyFont="1" applyFill="1" applyBorder="1">
      <alignment vertical="center"/>
    </xf>
    <xf numFmtId="0" fontId="21" fillId="0" borderId="26" xfId="0" applyFont="1" applyFill="1" applyBorder="1">
      <alignment vertical="center"/>
    </xf>
    <xf numFmtId="0" fontId="23" fillId="0" borderId="26" xfId="40" applyFont="1" applyBorder="1" applyAlignment="1">
      <alignment horizontal="center"/>
    </xf>
    <xf numFmtId="0" fontId="48" fillId="39" borderId="23" xfId="40" applyFont="1" applyFill="1" applyBorder="1" applyAlignment="1">
      <alignment horizontal="center" vertical="center" wrapText="1"/>
    </xf>
    <xf numFmtId="0" fontId="48" fillId="39" borderId="24" xfId="40" applyFont="1" applyFill="1" applyBorder="1" applyAlignment="1">
      <alignment horizontal="center" vertical="center" wrapText="1"/>
    </xf>
    <xf numFmtId="0" fontId="50" fillId="34" borderId="24" xfId="0" applyFont="1" applyFill="1" applyBorder="1" applyAlignment="1">
      <alignment horizontal="center" vertical="center"/>
    </xf>
    <xf numFmtId="0" fontId="18" fillId="40" borderId="24" xfId="0" applyFont="1" applyFill="1" applyBorder="1">
      <alignment vertical="center"/>
    </xf>
    <xf numFmtId="0" fontId="19" fillId="40" borderId="24" xfId="0" applyFont="1" applyFill="1" applyBorder="1">
      <alignment vertical="center"/>
    </xf>
    <xf numFmtId="0" fontId="18" fillId="0" borderId="24" xfId="0" applyFont="1" applyBorder="1">
      <alignment vertical="center"/>
    </xf>
    <xf numFmtId="0" fontId="19" fillId="33" borderId="24" xfId="0" applyFont="1" applyFill="1" applyBorder="1">
      <alignment vertical="center"/>
    </xf>
    <xf numFmtId="0" fontId="19" fillId="36" borderId="24" xfId="0" applyFont="1" applyFill="1" applyBorder="1">
      <alignment vertical="center"/>
    </xf>
    <xf numFmtId="0" fontId="19" fillId="36" borderId="25" xfId="0" applyFont="1" applyFill="1" applyBorder="1">
      <alignment vertical="center"/>
    </xf>
    <xf numFmtId="0" fontId="55" fillId="42" borderId="1" xfId="40" applyNumberFormat="1" applyFont="1" applyFill="1" applyBorder="1" applyAlignment="1">
      <alignment horizontal="center"/>
    </xf>
    <xf numFmtId="0" fontId="55" fillId="43" borderId="1" xfId="40" applyNumberFormat="1" applyFont="1" applyFill="1" applyBorder="1" applyAlignment="1">
      <alignment horizontal="center"/>
    </xf>
    <xf numFmtId="0" fontId="18" fillId="40" borderId="27" xfId="0" applyFont="1" applyFill="1" applyBorder="1">
      <alignment vertical="center"/>
    </xf>
    <xf numFmtId="0" fontId="19" fillId="33" borderId="26" xfId="0" applyFont="1" applyFill="1" applyBorder="1" applyAlignment="1">
      <alignment horizontal="center" vertical="center"/>
    </xf>
    <xf numFmtId="0" fontId="0" fillId="0" borderId="1" xfId="0" applyBorder="1">
      <alignment vertical="center"/>
    </xf>
    <xf numFmtId="0" fontId="0" fillId="0" borderId="21" xfId="0" applyBorder="1">
      <alignment vertical="center"/>
    </xf>
    <xf numFmtId="0" fontId="0" fillId="0" borderId="29" xfId="0" applyBorder="1">
      <alignment vertical="center"/>
    </xf>
    <xf numFmtId="0" fontId="0" fillId="0" borderId="30" xfId="0" applyBorder="1">
      <alignment vertical="center"/>
    </xf>
    <xf numFmtId="0" fontId="24" fillId="35" borderId="23" xfId="0" applyFont="1" applyFill="1" applyBorder="1">
      <alignment vertical="center"/>
    </xf>
    <xf numFmtId="0" fontId="24" fillId="44" borderId="25" xfId="0" applyFont="1" applyFill="1" applyBorder="1">
      <alignment vertical="center"/>
    </xf>
    <xf numFmtId="0" fontId="19" fillId="33" borderId="1" xfId="0" applyFont="1" applyFill="1" applyBorder="1" applyAlignment="1">
      <alignment horizontal="left" vertical="center"/>
    </xf>
    <xf numFmtId="0" fontId="46" fillId="37" borderId="24" xfId="51" applyFont="1" applyFill="1" applyBorder="1" applyAlignment="1">
      <alignment horizontal="left" vertical="center"/>
    </xf>
    <xf numFmtId="0" fontId="18" fillId="0" borderId="24" xfId="0" applyFont="1" applyFill="1" applyBorder="1">
      <alignment vertical="center"/>
    </xf>
    <xf numFmtId="0" fontId="18" fillId="41" borderId="24" xfId="0" applyFont="1" applyFill="1" applyBorder="1">
      <alignment vertical="center"/>
    </xf>
    <xf numFmtId="0" fontId="19" fillId="0" borderId="26" xfId="0" applyFont="1" applyFill="1" applyBorder="1">
      <alignment vertical="center"/>
    </xf>
    <xf numFmtId="0" fontId="57" fillId="0" borderId="0" xfId="51" applyFont="1" applyFill="1" applyBorder="1" applyAlignment="1">
      <alignment vertical="center" wrapText="1"/>
    </xf>
    <xf numFmtId="0" fontId="11" fillId="0" borderId="0" xfId="54">
      <alignment vertical="center"/>
    </xf>
    <xf numFmtId="0" fontId="11" fillId="0" borderId="26" xfId="54" applyBorder="1">
      <alignment vertical="center"/>
    </xf>
    <xf numFmtId="0" fontId="11" fillId="0" borderId="29" xfId="54" applyBorder="1">
      <alignment vertical="center"/>
    </xf>
    <xf numFmtId="0" fontId="11" fillId="0" borderId="21" xfId="54" applyBorder="1">
      <alignment vertical="center"/>
    </xf>
    <xf numFmtId="0" fontId="11" fillId="0" borderId="22" xfId="54" applyBorder="1">
      <alignment vertical="center"/>
    </xf>
    <xf numFmtId="0" fontId="11" fillId="0" borderId="20" xfId="54" applyBorder="1">
      <alignment vertical="center"/>
    </xf>
    <xf numFmtId="0" fontId="10" fillId="0" borderId="14" xfId="54" applyFont="1" applyBorder="1">
      <alignment vertical="center"/>
    </xf>
    <xf numFmtId="0" fontId="11" fillId="0" borderId="19" xfId="54" applyBorder="1">
      <alignment vertical="center"/>
    </xf>
    <xf numFmtId="0" fontId="59" fillId="34" borderId="1" xfId="51" applyFont="1" applyFill="1" applyBorder="1" applyAlignment="1">
      <alignment vertical="center" wrapText="1"/>
    </xf>
    <xf numFmtId="0" fontId="59" fillId="0" borderId="1" xfId="51" applyFont="1" applyBorder="1" applyAlignment="1">
      <alignment vertical="center" wrapText="1"/>
    </xf>
    <xf numFmtId="0" fontId="59" fillId="34" borderId="21" xfId="51" applyFont="1" applyFill="1" applyBorder="1" applyAlignment="1">
      <alignment vertical="center" wrapText="1"/>
    </xf>
    <xf numFmtId="0" fontId="59" fillId="0" borderId="21" xfId="51" applyFont="1" applyBorder="1" applyAlignment="1">
      <alignment vertical="center" wrapText="1"/>
    </xf>
    <xf numFmtId="0" fontId="19" fillId="0" borderId="26" xfId="0" applyFont="1" applyBorder="1" applyAlignment="1">
      <alignment horizontal="center" vertical="center"/>
    </xf>
    <xf numFmtId="0" fontId="60" fillId="0" borderId="0" xfId="0" applyFont="1">
      <alignment vertical="center"/>
    </xf>
    <xf numFmtId="0" fontId="19" fillId="0" borderId="1" xfId="0" applyFont="1" applyBorder="1" applyAlignment="1">
      <alignment horizontal="center" vertical="center"/>
    </xf>
    <xf numFmtId="0" fontId="24" fillId="35" borderId="40" xfId="0" applyFont="1" applyFill="1" applyBorder="1">
      <alignment vertical="center"/>
    </xf>
    <xf numFmtId="0" fontId="24" fillId="36" borderId="41" xfId="0" applyFont="1" applyFill="1" applyBorder="1">
      <alignment vertical="center"/>
    </xf>
    <xf numFmtId="0" fontId="9" fillId="0" borderId="14" xfId="54" applyFont="1" applyFill="1" applyBorder="1">
      <alignment vertical="center"/>
    </xf>
    <xf numFmtId="0" fontId="8" fillId="0" borderId="14" xfId="54" applyFont="1" applyBorder="1">
      <alignment vertical="center"/>
    </xf>
    <xf numFmtId="0" fontId="8" fillId="0" borderId="14" xfId="54" applyFont="1" applyFill="1" applyBorder="1">
      <alignment vertical="center"/>
    </xf>
    <xf numFmtId="0" fontId="8" fillId="0" borderId="30" xfId="54" applyFont="1" applyBorder="1">
      <alignment vertical="center"/>
    </xf>
    <xf numFmtId="0" fontId="8" fillId="0" borderId="17" xfId="54" applyFont="1" applyBorder="1">
      <alignment vertical="center"/>
    </xf>
    <xf numFmtId="0" fontId="8" fillId="0" borderId="15" xfId="54" applyFont="1" applyBorder="1">
      <alignment vertical="center"/>
    </xf>
    <xf numFmtId="0" fontId="8" fillId="0" borderId="26" xfId="54" applyFont="1" applyBorder="1">
      <alignment vertical="center"/>
    </xf>
    <xf numFmtId="0" fontId="8" fillId="0" borderId="29" xfId="54" applyFont="1" applyBorder="1">
      <alignment vertical="center"/>
    </xf>
    <xf numFmtId="0" fontId="7" fillId="0" borderId="29" xfId="54" applyFont="1" applyBorder="1">
      <alignment vertical="center"/>
    </xf>
    <xf numFmtId="0" fontId="8" fillId="0" borderId="26" xfId="54" applyFont="1" applyBorder="1" applyAlignment="1">
      <alignment vertical="center" wrapText="1"/>
    </xf>
    <xf numFmtId="0" fontId="8" fillId="0" borderId="44" xfId="54" applyFont="1" applyBorder="1">
      <alignment vertical="center"/>
    </xf>
    <xf numFmtId="0" fontId="7" fillId="0" borderId="14" xfId="54" applyFont="1" applyBorder="1">
      <alignment vertical="center"/>
    </xf>
    <xf numFmtId="0" fontId="7" fillId="0" borderId="44" xfId="54" applyFont="1" applyBorder="1">
      <alignment vertical="center"/>
    </xf>
    <xf numFmtId="0" fontId="7" fillId="0" borderId="26" xfId="54" applyFont="1" applyBorder="1">
      <alignment vertical="center"/>
    </xf>
    <xf numFmtId="0" fontId="7" fillId="0" borderId="44" xfId="54" applyFont="1" applyBorder="1" applyAlignment="1">
      <alignment vertical="center" wrapText="1"/>
    </xf>
    <xf numFmtId="0" fontId="7" fillId="0" borderId="29" xfId="54" applyFont="1" applyBorder="1" applyAlignment="1">
      <alignment vertical="center" wrapText="1"/>
    </xf>
    <xf numFmtId="0" fontId="7" fillId="0" borderId="29" xfId="54" applyFont="1" applyFill="1" applyBorder="1">
      <alignment vertical="center"/>
    </xf>
    <xf numFmtId="0" fontId="7" fillId="0" borderId="45" xfId="54" applyFont="1" applyBorder="1">
      <alignment vertical="center"/>
    </xf>
    <xf numFmtId="0" fontId="24" fillId="44" borderId="24" xfId="0" applyFont="1" applyFill="1" applyBorder="1">
      <alignment vertical="center"/>
    </xf>
    <xf numFmtId="0" fontId="0" fillId="0" borderId="26" xfId="0" applyBorder="1">
      <alignment vertical="center"/>
    </xf>
    <xf numFmtId="0" fontId="6" fillId="0" borderId="29" xfId="54" applyFont="1" applyBorder="1">
      <alignment vertical="center"/>
    </xf>
    <xf numFmtId="0" fontId="8" fillId="0" borderId="46" xfId="54" applyFont="1" applyBorder="1">
      <alignment vertical="center"/>
    </xf>
    <xf numFmtId="0" fontId="5" fillId="0" borderId="15" xfId="54" applyFont="1" applyBorder="1">
      <alignment vertical="center"/>
    </xf>
    <xf numFmtId="0" fontId="5" fillId="0" borderId="29" xfId="54" applyFont="1" applyBorder="1">
      <alignment vertical="center"/>
    </xf>
    <xf numFmtId="0" fontId="5" fillId="0" borderId="26" xfId="54" applyFont="1" applyBorder="1">
      <alignment vertical="center"/>
    </xf>
    <xf numFmtId="0" fontId="5" fillId="0" borderId="30" xfId="54" applyFont="1" applyBorder="1">
      <alignment vertical="center"/>
    </xf>
    <xf numFmtId="0" fontId="5" fillId="0" borderId="44" xfId="54" applyFont="1" applyBorder="1" applyAlignment="1">
      <alignment vertical="center" wrapText="1"/>
    </xf>
    <xf numFmtId="0" fontId="62" fillId="0" borderId="30" xfId="54" applyFont="1" applyBorder="1">
      <alignment vertical="center"/>
    </xf>
    <xf numFmtId="0" fontId="5" fillId="0" borderId="1" xfId="54" applyFont="1" applyBorder="1">
      <alignment vertical="center"/>
    </xf>
    <xf numFmtId="0" fontId="8" fillId="0" borderId="19" xfId="54" applyFont="1" applyBorder="1">
      <alignment vertical="center"/>
    </xf>
    <xf numFmtId="0" fontId="62" fillId="0" borderId="29" xfId="54" applyFont="1" applyBorder="1">
      <alignment vertical="center"/>
    </xf>
    <xf numFmtId="0" fontId="62" fillId="0" borderId="26" xfId="54" applyFont="1" applyBorder="1">
      <alignment vertical="center"/>
    </xf>
    <xf numFmtId="0" fontId="5" fillId="0" borderId="26" xfId="54" applyFont="1" applyBorder="1" applyAlignment="1">
      <alignment vertical="center" wrapText="1"/>
    </xf>
    <xf numFmtId="0" fontId="61" fillId="0" borderId="30" xfId="54" applyFont="1" applyFill="1" applyBorder="1">
      <alignment vertical="center"/>
    </xf>
    <xf numFmtId="0" fontId="62" fillId="0" borderId="30" xfId="54" applyFont="1" applyFill="1" applyBorder="1">
      <alignment vertical="center"/>
    </xf>
    <xf numFmtId="0" fontId="11" fillId="0" borderId="19" xfId="54" applyFill="1" applyBorder="1">
      <alignment vertical="center"/>
    </xf>
    <xf numFmtId="0" fontId="62" fillId="0" borderId="17" xfId="54" applyFont="1" applyFill="1" applyBorder="1">
      <alignment vertical="center"/>
    </xf>
    <xf numFmtId="0" fontId="4" fillId="0" borderId="16" xfId="54" applyFont="1" applyBorder="1">
      <alignment vertical="center"/>
    </xf>
    <xf numFmtId="0" fontId="4" fillId="0" borderId="26" xfId="54" applyFont="1" applyBorder="1">
      <alignment vertical="center"/>
    </xf>
    <xf numFmtId="0" fontId="12" fillId="0" borderId="0" xfId="55">
      <alignment vertical="center"/>
    </xf>
    <xf numFmtId="0" fontId="45" fillId="0" borderId="35" xfId="55" applyFont="1" applyFill="1" applyBorder="1" applyAlignment="1">
      <alignment horizontal="justify" vertical="center" wrapText="1"/>
    </xf>
    <xf numFmtId="0" fontId="45" fillId="0" borderId="36" xfId="55" applyFont="1" applyFill="1" applyBorder="1" applyAlignment="1">
      <alignment horizontal="justify" vertical="center" wrapText="1"/>
    </xf>
    <xf numFmtId="0" fontId="45" fillId="0" borderId="1" xfId="55" applyFont="1" applyFill="1" applyBorder="1" applyAlignment="1">
      <alignment horizontal="justify" vertical="center" wrapText="1"/>
    </xf>
    <xf numFmtId="0" fontId="45" fillId="0" borderId="19" xfId="55" applyFont="1" applyFill="1" applyBorder="1" applyAlignment="1">
      <alignment horizontal="justify" vertical="center" wrapText="1"/>
    </xf>
    <xf numFmtId="0" fontId="45" fillId="0" borderId="21" xfId="55" applyFont="1" applyFill="1" applyBorder="1" applyAlignment="1">
      <alignment horizontal="justify" vertical="center" wrapText="1"/>
    </xf>
    <xf numFmtId="0" fontId="45" fillId="0" borderId="22" xfId="55" applyFont="1" applyFill="1" applyBorder="1" applyAlignment="1">
      <alignment horizontal="justify" vertical="center" wrapText="1"/>
    </xf>
    <xf numFmtId="0" fontId="12" fillId="0" borderId="14" xfId="55" applyBorder="1">
      <alignment vertical="center"/>
    </xf>
    <xf numFmtId="49" fontId="0" fillId="0" borderId="0" xfId="0" applyNumberFormat="1">
      <alignment vertical="center"/>
    </xf>
    <xf numFmtId="0" fontId="67" fillId="33" borderId="1" xfId="0" applyFont="1" applyFill="1" applyBorder="1" applyAlignment="1" applyProtection="1">
      <alignment vertical="center"/>
      <protection locked="0"/>
    </xf>
    <xf numFmtId="0" fontId="66" fillId="0" borderId="1" xfId="0" applyFont="1" applyFill="1" applyBorder="1" applyAlignment="1">
      <alignment vertical="center"/>
    </xf>
    <xf numFmtId="0" fontId="66" fillId="0" borderId="1" xfId="0" applyFont="1" applyBorder="1" applyAlignment="1"/>
    <xf numFmtId="49" fontId="66" fillId="0" borderId="1" xfId="0" applyNumberFormat="1" applyFont="1" applyBorder="1">
      <alignment vertical="center"/>
    </xf>
    <xf numFmtId="0" fontId="66" fillId="0" borderId="1" xfId="0" applyNumberFormat="1" applyFont="1" applyBorder="1">
      <alignment vertical="center"/>
    </xf>
    <xf numFmtId="0" fontId="66" fillId="0" borderId="1" xfId="0" applyFont="1" applyFill="1" applyBorder="1" applyAlignment="1"/>
    <xf numFmtId="0" fontId="66" fillId="0" borderId="1" xfId="0" applyFont="1" applyFill="1" applyBorder="1" applyAlignment="1">
      <alignment horizontal="left" vertical="center"/>
    </xf>
    <xf numFmtId="0" fontId="68" fillId="0" borderId="0" xfId="54" applyFont="1">
      <alignment vertical="center"/>
    </xf>
    <xf numFmtId="20" fontId="68" fillId="0" borderId="0" xfId="54" applyNumberFormat="1" applyFont="1">
      <alignment vertical="center"/>
    </xf>
    <xf numFmtId="0" fontId="68" fillId="0" borderId="26" xfId="54" applyFont="1" applyBorder="1">
      <alignment vertical="center"/>
    </xf>
    <xf numFmtId="0" fontId="68" fillId="0" borderId="30" xfId="54" applyFont="1" applyBorder="1">
      <alignment vertical="center"/>
    </xf>
    <xf numFmtId="0" fontId="68" fillId="0" borderId="29" xfId="54" applyFont="1" applyBorder="1">
      <alignment vertical="center"/>
    </xf>
    <xf numFmtId="0" fontId="68" fillId="0" borderId="19" xfId="54" applyFont="1" applyBorder="1">
      <alignment vertical="center"/>
    </xf>
    <xf numFmtId="0" fontId="68" fillId="0" borderId="18" xfId="54" applyFont="1" applyBorder="1">
      <alignment vertical="center"/>
    </xf>
    <xf numFmtId="0" fontId="68" fillId="0" borderId="1" xfId="54" applyFont="1" applyBorder="1">
      <alignment vertical="center"/>
    </xf>
    <xf numFmtId="0" fontId="68" fillId="34" borderId="30" xfId="54" applyFont="1" applyFill="1" applyBorder="1">
      <alignment vertical="center"/>
    </xf>
    <xf numFmtId="0" fontId="68" fillId="0" borderId="18" xfId="54" applyFont="1" applyFill="1" applyBorder="1">
      <alignment vertical="center"/>
    </xf>
    <xf numFmtId="0" fontId="68" fillId="0" borderId="21" xfId="54" applyFont="1" applyBorder="1">
      <alignment vertical="center"/>
    </xf>
    <xf numFmtId="0" fontId="68" fillId="34" borderId="18" xfId="54" applyFont="1" applyFill="1" applyBorder="1">
      <alignment vertical="center"/>
    </xf>
    <xf numFmtId="0" fontId="70" fillId="0" borderId="19" xfId="0" applyFont="1" applyFill="1" applyBorder="1" applyAlignment="1"/>
    <xf numFmtId="0" fontId="70" fillId="0" borderId="18" xfId="0" applyFont="1" applyFill="1" applyBorder="1" applyAlignment="1">
      <alignment horizontal="left" vertical="center"/>
    </xf>
    <xf numFmtId="0" fontId="70" fillId="0" borderId="20" xfId="0" applyFont="1" applyFill="1" applyBorder="1" applyAlignment="1">
      <alignment horizontal="left" vertical="center"/>
    </xf>
    <xf numFmtId="0" fontId="70" fillId="0" borderId="22" xfId="0" applyFont="1" applyFill="1" applyBorder="1" applyAlignment="1"/>
    <xf numFmtId="0" fontId="0" fillId="0" borderId="15" xfId="0" applyBorder="1">
      <alignment vertical="center"/>
    </xf>
    <xf numFmtId="0" fontId="0" fillId="0" borderId="17" xfId="0" applyBorder="1">
      <alignment vertical="center"/>
    </xf>
    <xf numFmtId="0" fontId="3" fillId="0" borderId="33" xfId="54" applyFont="1" applyBorder="1">
      <alignment vertical="center"/>
    </xf>
    <xf numFmtId="0" fontId="3" fillId="0" borderId="16" xfId="54" applyFont="1" applyBorder="1">
      <alignment vertical="center"/>
    </xf>
    <xf numFmtId="0" fontId="3" fillId="0" borderId="26" xfId="54" applyFont="1" applyBorder="1">
      <alignment vertical="center"/>
    </xf>
    <xf numFmtId="0" fontId="62" fillId="0" borderId="19" xfId="54" applyFont="1" applyFill="1" applyBorder="1">
      <alignment vertical="center"/>
    </xf>
    <xf numFmtId="0" fontId="3" fillId="0" borderId="29" xfId="54" applyFont="1" applyBorder="1">
      <alignment vertical="center"/>
    </xf>
    <xf numFmtId="0" fontId="3" fillId="0" borderId="44" xfId="54" applyFont="1" applyBorder="1">
      <alignment vertical="center"/>
    </xf>
    <xf numFmtId="0" fontId="62" fillId="0" borderId="30" xfId="54" applyFont="1" applyBorder="1" applyAlignment="1">
      <alignment vertical="center" wrapText="1"/>
    </xf>
    <xf numFmtId="0" fontId="3" fillId="0" borderId="44" xfId="54" applyFont="1" applyBorder="1" applyAlignment="1">
      <alignment vertical="center" wrapText="1"/>
    </xf>
    <xf numFmtId="0" fontId="11" fillId="0" borderId="48" xfId="54" applyBorder="1">
      <alignment vertical="center"/>
    </xf>
    <xf numFmtId="0" fontId="3" fillId="0" borderId="1" xfId="54" applyFont="1" applyBorder="1">
      <alignment vertical="center"/>
    </xf>
    <xf numFmtId="0" fontId="3" fillId="0" borderId="26" xfId="54" applyFont="1" applyBorder="1" applyAlignment="1">
      <alignment vertical="center" wrapText="1"/>
    </xf>
    <xf numFmtId="0" fontId="3" fillId="0" borderId="18" xfId="54" applyFont="1" applyBorder="1">
      <alignment vertical="center"/>
    </xf>
    <xf numFmtId="0" fontId="3" fillId="0" borderId="29" xfId="54" applyFont="1" applyBorder="1" applyAlignment="1">
      <alignment vertical="center" wrapText="1"/>
    </xf>
    <xf numFmtId="0" fontId="3" fillId="0" borderId="30" xfId="54" applyFont="1" applyBorder="1">
      <alignment vertical="center"/>
    </xf>
    <xf numFmtId="0" fontId="11" fillId="0" borderId="1" xfId="54" applyFill="1" applyBorder="1">
      <alignment vertical="center"/>
    </xf>
    <xf numFmtId="0" fontId="3" fillId="0" borderId="30" xfId="54" applyFont="1" applyBorder="1" applyAlignment="1">
      <alignment vertical="center" wrapText="1"/>
    </xf>
    <xf numFmtId="0" fontId="3" fillId="0" borderId="20" xfId="54" applyFont="1" applyBorder="1">
      <alignment vertical="center"/>
    </xf>
    <xf numFmtId="0" fontId="3" fillId="0" borderId="21" xfId="54" applyFont="1" applyBorder="1">
      <alignment vertical="center"/>
    </xf>
    <xf numFmtId="0" fontId="2" fillId="0" borderId="30" xfId="54" applyFont="1" applyBorder="1">
      <alignment vertical="center"/>
    </xf>
    <xf numFmtId="0" fontId="2" fillId="0" borderId="22" xfId="54" applyFont="1" applyFill="1" applyBorder="1">
      <alignment vertical="center"/>
    </xf>
    <xf numFmtId="0" fontId="0" fillId="0" borderId="20" xfId="0" applyFill="1" applyBorder="1">
      <alignment vertical="center"/>
    </xf>
    <xf numFmtId="0" fontId="0" fillId="0" borderId="49" xfId="0" applyBorder="1">
      <alignment vertical="center"/>
    </xf>
    <xf numFmtId="0" fontId="68" fillId="0" borderId="20" xfId="54" applyFont="1" applyFill="1" applyBorder="1">
      <alignment vertical="center"/>
    </xf>
    <xf numFmtId="0" fontId="68" fillId="0" borderId="22" xfId="54" applyFont="1" applyFill="1" applyBorder="1">
      <alignment vertical="center"/>
    </xf>
    <xf numFmtId="0" fontId="67" fillId="33" borderId="35" xfId="0" applyFont="1" applyFill="1" applyBorder="1" applyAlignment="1">
      <alignment vertical="center"/>
    </xf>
    <xf numFmtId="0" fontId="67" fillId="33" borderId="47" xfId="0" applyFont="1" applyFill="1" applyBorder="1" applyAlignment="1">
      <alignment vertical="center"/>
    </xf>
    <xf numFmtId="0" fontId="67" fillId="33" borderId="26" xfId="0" applyFont="1" applyFill="1" applyBorder="1" applyAlignment="1">
      <alignment vertical="center"/>
    </xf>
    <xf numFmtId="0" fontId="71" fillId="45" borderId="1" xfId="0" applyFont="1" applyFill="1" applyBorder="1" applyAlignment="1">
      <alignment horizontal="center" vertical="center" wrapText="1"/>
    </xf>
    <xf numFmtId="0" fontId="66" fillId="33" borderId="1" xfId="0" applyFont="1" applyFill="1" applyBorder="1" applyAlignment="1">
      <alignment horizontal="left" vertical="center"/>
    </xf>
    <xf numFmtId="0" fontId="67" fillId="33" borderId="35" xfId="0" applyFont="1" applyFill="1" applyBorder="1" applyAlignment="1" applyProtection="1">
      <alignment vertical="center"/>
      <protection locked="0"/>
    </xf>
    <xf numFmtId="0" fontId="67" fillId="33" borderId="47" xfId="0" applyFont="1" applyFill="1" applyBorder="1" applyAlignment="1" applyProtection="1">
      <alignment vertical="center"/>
      <protection locked="0"/>
    </xf>
    <xf numFmtId="0" fontId="67" fillId="33" borderId="26" xfId="0" applyFont="1" applyFill="1" applyBorder="1" applyAlignment="1" applyProtection="1">
      <alignment vertical="center"/>
      <protection locked="0"/>
    </xf>
    <xf numFmtId="0" fontId="67" fillId="33" borderId="35" xfId="0" applyFont="1" applyFill="1" applyBorder="1" applyAlignment="1">
      <alignment horizontal="left" vertical="center"/>
    </xf>
    <xf numFmtId="0" fontId="67" fillId="33" borderId="26" xfId="0" applyFont="1" applyFill="1" applyBorder="1" applyAlignment="1">
      <alignment horizontal="left" vertical="center"/>
    </xf>
    <xf numFmtId="0" fontId="67" fillId="33" borderId="35" xfId="0" applyFont="1" applyFill="1" applyBorder="1" applyAlignment="1" applyProtection="1">
      <alignment horizontal="left" vertical="center"/>
      <protection locked="0"/>
    </xf>
    <xf numFmtId="0" fontId="67" fillId="33" borderId="47" xfId="0" applyFont="1" applyFill="1" applyBorder="1" applyAlignment="1" applyProtection="1">
      <alignment horizontal="left" vertical="center"/>
      <protection locked="0"/>
    </xf>
    <xf numFmtId="0" fontId="67" fillId="33" borderId="26" xfId="0" applyFont="1" applyFill="1" applyBorder="1" applyAlignment="1" applyProtection="1">
      <alignment horizontal="left" vertical="center"/>
      <protection locked="0"/>
    </xf>
    <xf numFmtId="49" fontId="73" fillId="45" borderId="2" xfId="0" applyNumberFormat="1" applyFont="1" applyFill="1" applyBorder="1" applyAlignment="1">
      <alignment horizontal="center" vertical="center"/>
    </xf>
    <xf numFmtId="49" fontId="73" fillId="45" borderId="28" xfId="0" applyNumberFormat="1" applyFont="1" applyFill="1" applyBorder="1" applyAlignment="1">
      <alignment horizontal="center" vertical="center"/>
    </xf>
    <xf numFmtId="0" fontId="72" fillId="45" borderId="2" xfId="0" applyFont="1" applyFill="1" applyBorder="1" applyAlignment="1">
      <alignment horizontal="center"/>
    </xf>
    <xf numFmtId="0" fontId="72" fillId="45" borderId="3" xfId="0" applyFont="1" applyFill="1" applyBorder="1" applyAlignment="1">
      <alignment horizontal="center"/>
    </xf>
    <xf numFmtId="0" fontId="72" fillId="45" borderId="28" xfId="0" applyFont="1" applyFill="1" applyBorder="1" applyAlignment="1">
      <alignment horizontal="center"/>
    </xf>
    <xf numFmtId="0" fontId="53" fillId="37" borderId="32" xfId="51" applyFont="1" applyFill="1" applyBorder="1" applyAlignment="1">
      <alignment horizontal="center" vertical="center" wrapText="1"/>
    </xf>
    <xf numFmtId="0" fontId="53" fillId="37" borderId="33" xfId="51" applyFont="1" applyFill="1" applyBorder="1" applyAlignment="1">
      <alignment horizontal="center" vertical="center" wrapText="1"/>
    </xf>
    <xf numFmtId="0" fontId="53" fillId="37" borderId="16" xfId="51" applyFont="1" applyFill="1" applyBorder="1" applyAlignment="1">
      <alignment horizontal="center" vertical="center" wrapText="1"/>
    </xf>
    <xf numFmtId="0" fontId="53" fillId="37" borderId="17" xfId="51" applyFont="1" applyFill="1" applyBorder="1" applyAlignment="1">
      <alignment horizontal="center" vertical="center" wrapText="1"/>
    </xf>
    <xf numFmtId="0" fontId="46" fillId="0" borderId="34" xfId="51" applyFont="1" applyFill="1" applyBorder="1" applyAlignment="1">
      <alignment horizontal="center" vertical="center" wrapText="1"/>
    </xf>
    <xf numFmtId="0" fontId="46" fillId="0" borderId="37" xfId="51" applyFont="1" applyFill="1" applyBorder="1" applyAlignment="1">
      <alignment horizontal="center" vertical="center" wrapText="1"/>
    </xf>
    <xf numFmtId="0" fontId="64" fillId="0" borderId="18" xfId="55" applyFont="1" applyBorder="1" applyAlignment="1">
      <alignment horizontal="center" vertical="center" wrapText="1"/>
    </xf>
    <xf numFmtId="0" fontId="64" fillId="0" borderId="20" xfId="55" applyFont="1" applyBorder="1" applyAlignment="1">
      <alignment horizontal="center" vertical="center" wrapText="1"/>
    </xf>
    <xf numFmtId="0" fontId="69" fillId="45" borderId="16" xfId="54" applyFont="1" applyFill="1" applyBorder="1" applyAlignment="1">
      <alignment vertical="center"/>
    </xf>
    <xf numFmtId="0" fontId="69" fillId="45" borderId="21" xfId="54" applyFont="1" applyFill="1" applyBorder="1" applyAlignment="1">
      <alignment vertical="center"/>
    </xf>
    <xf numFmtId="0" fontId="69" fillId="45" borderId="17" xfId="54" applyFont="1" applyFill="1" applyBorder="1">
      <alignment vertical="center"/>
    </xf>
    <xf numFmtId="0" fontId="69" fillId="45" borderId="22" xfId="54" applyFont="1" applyFill="1" applyBorder="1">
      <alignment vertical="center"/>
    </xf>
    <xf numFmtId="0" fontId="69" fillId="45" borderId="39" xfId="54" applyFont="1" applyFill="1" applyBorder="1">
      <alignment vertical="center"/>
    </xf>
    <xf numFmtId="0" fontId="69" fillId="45" borderId="38" xfId="54" applyFont="1" applyFill="1" applyBorder="1">
      <alignment vertical="center"/>
    </xf>
    <xf numFmtId="0" fontId="68" fillId="0" borderId="34" xfId="54" applyFont="1" applyBorder="1" applyAlignment="1">
      <alignment vertical="center" wrapText="1"/>
    </xf>
    <xf numFmtId="0" fontId="68" fillId="0" borderId="37" xfId="54" applyFont="1" applyBorder="1" applyAlignment="1">
      <alignment vertical="center" wrapText="1"/>
    </xf>
    <xf numFmtId="0" fontId="68" fillId="0" borderId="29" xfId="54" applyFont="1" applyBorder="1" applyAlignment="1">
      <alignment vertical="center" wrapText="1"/>
    </xf>
    <xf numFmtId="0" fontId="68" fillId="0" borderId="18" xfId="54" applyFont="1" applyBorder="1" applyAlignment="1">
      <alignment vertical="center"/>
    </xf>
    <xf numFmtId="0" fontId="69" fillId="45" borderId="15" xfId="54" applyFont="1" applyFill="1" applyBorder="1">
      <alignment vertical="center"/>
    </xf>
    <xf numFmtId="0" fontId="69" fillId="45" borderId="20" xfId="54" applyFont="1" applyFill="1" applyBorder="1">
      <alignment vertical="center"/>
    </xf>
    <xf numFmtId="0" fontId="68" fillId="0" borderId="29" xfId="54" applyFont="1" applyBorder="1" applyAlignment="1">
      <alignment vertical="center"/>
    </xf>
    <xf numFmtId="0" fontId="68" fillId="0" borderId="18" xfId="54" applyFont="1" applyBorder="1" applyAlignment="1">
      <alignment vertical="center" wrapText="1"/>
    </xf>
    <xf numFmtId="0" fontId="70" fillId="33" borderId="18" xfId="0" applyFont="1" applyFill="1" applyBorder="1" applyAlignment="1">
      <alignment horizontal="left" vertical="center"/>
    </xf>
    <xf numFmtId="0" fontId="11" fillId="0" borderId="14" xfId="54" applyBorder="1">
      <alignment vertical="center"/>
    </xf>
    <xf numFmtId="0" fontId="7" fillId="0" borderId="43" xfId="54" applyFont="1" applyBorder="1" applyAlignment="1">
      <alignment vertical="center"/>
    </xf>
    <xf numFmtId="0" fontId="7" fillId="0" borderId="31" xfId="54" applyFont="1" applyBorder="1" applyAlignment="1">
      <alignment vertical="center"/>
    </xf>
    <xf numFmtId="0" fontId="11" fillId="0" borderId="31" xfId="54" applyBorder="1" applyAlignment="1">
      <alignment vertical="center"/>
    </xf>
    <xf numFmtId="0" fontId="11" fillId="0" borderId="42" xfId="54" applyBorder="1" applyAlignment="1">
      <alignment vertical="center"/>
    </xf>
    <xf numFmtId="0" fontId="8" fillId="0" borderId="43" xfId="54" applyFont="1" applyBorder="1" applyAlignment="1">
      <alignment vertical="center"/>
    </xf>
    <xf numFmtId="0" fontId="8" fillId="0" borderId="31" xfId="54" applyFont="1" applyBorder="1" applyAlignment="1">
      <alignment vertical="center"/>
    </xf>
    <xf numFmtId="49" fontId="0" fillId="0" borderId="1" xfId="0" applyNumberFormat="1" applyBorder="1">
      <alignment vertical="center"/>
    </xf>
    <xf numFmtId="49" fontId="73" fillId="45" borderId="1" xfId="0" applyNumberFormat="1" applyFont="1" applyFill="1" applyBorder="1" applyAlignment="1">
      <alignment horizontal="center" vertical="center"/>
    </xf>
  </cellXfs>
  <cellStyles count="56">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Calculation 2" xfId="26"/>
    <cellStyle name="Check Cell 2" xfId="27"/>
    <cellStyle name="Explanatory Text 2" xfId="28"/>
    <cellStyle name="Good 2" xfId="29"/>
    <cellStyle name="Heading 1 2" xfId="30"/>
    <cellStyle name="Heading 2 2" xfId="31"/>
    <cellStyle name="Heading 3 2" xfId="32"/>
    <cellStyle name="Heading 4 2" xfId="33"/>
    <cellStyle name="Input 2" xfId="34"/>
    <cellStyle name="Linked Cell 2" xfId="35"/>
    <cellStyle name="Neutral 2" xfId="36"/>
    <cellStyle name="Normal 17" xfId="51"/>
    <cellStyle name="Normal 19" xfId="53"/>
    <cellStyle name="Normal 2" xfId="37"/>
    <cellStyle name="Normal 2 2" xfId="38"/>
    <cellStyle name="Normal 2 2 2" xfId="39"/>
    <cellStyle name="Normal 25" xfId="52"/>
    <cellStyle name="Normal 3" xfId="40"/>
    <cellStyle name="Normal 3 2" xfId="41"/>
    <cellStyle name="Normal 4" xfId="42"/>
    <cellStyle name="Normal 4 2" xfId="43"/>
    <cellStyle name="Normal 5" xfId="44"/>
    <cellStyle name="Normal 6" xfId="45"/>
    <cellStyle name="Note 2" xfId="46"/>
    <cellStyle name="Output 2" xfId="47"/>
    <cellStyle name="Title 2" xfId="48"/>
    <cellStyle name="Total 2" xfId="49"/>
    <cellStyle name="Warning Text 2" xfId="50"/>
    <cellStyle name="標準" xfId="0" builtinId="0"/>
    <cellStyle name="標準 2" xfId="54"/>
    <cellStyle name="標準 2 2" xfId="55"/>
  </cellStyles>
  <dxfs count="0"/>
  <tableStyles count="0" defaultTableStyle="TableStyleMedium2" defaultPivotStyle="PivotStyleLight16"/>
  <colors>
    <mruColors>
      <color rgb="FFFFFFCC"/>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0" tint="-0.499984740745262"/>
  </sheetPr>
  <dimension ref="A1:AA129"/>
  <sheetViews>
    <sheetView zoomScale="85" zoomScaleNormal="85" workbookViewId="0"/>
  </sheetViews>
  <sheetFormatPr defaultRowHeight="15.75"/>
  <cols>
    <col min="1" max="4" width="18.85546875" customWidth="1"/>
    <col min="5" max="5" width="21" bestFit="1" customWidth="1"/>
    <col min="6" max="6" width="20" bestFit="1" customWidth="1"/>
    <col min="7" max="7" width="10.28515625" bestFit="1" customWidth="1"/>
    <col min="8" max="8" width="12.85546875" bestFit="1" customWidth="1"/>
    <col min="9" max="10" width="22.28515625" bestFit="1" customWidth="1"/>
    <col min="11" max="11" width="29" bestFit="1" customWidth="1"/>
    <col min="12" max="12" width="15.5703125" bestFit="1" customWidth="1"/>
    <col min="13" max="13" width="6.7109375" bestFit="1" customWidth="1"/>
    <col min="14" max="14" width="17" bestFit="1" customWidth="1"/>
    <col min="15" max="15" width="18.28515625" bestFit="1" customWidth="1"/>
    <col min="16" max="16" width="19.5703125" bestFit="1" customWidth="1"/>
    <col min="17" max="17" width="10.28515625" bestFit="1" customWidth="1"/>
    <col min="19" max="19" width="10.28515625" bestFit="1" customWidth="1"/>
    <col min="20" max="20" width="12.85546875" bestFit="1" customWidth="1"/>
    <col min="21" max="22" width="11.5703125" bestFit="1" customWidth="1"/>
    <col min="24" max="27" width="9" bestFit="1" customWidth="1"/>
  </cols>
  <sheetData>
    <row r="1" spans="1:27" s="11" customFormat="1" ht="17.25" thickBot="1">
      <c r="A1" s="52" t="s">
        <v>445</v>
      </c>
      <c r="B1" s="53" t="s">
        <v>446</v>
      </c>
      <c r="C1" s="53" t="s">
        <v>447</v>
      </c>
      <c r="D1" s="53" t="s">
        <v>448</v>
      </c>
      <c r="E1" s="54" t="s">
        <v>452</v>
      </c>
      <c r="F1" s="54" t="s">
        <v>7</v>
      </c>
      <c r="G1" s="55" t="s">
        <v>0</v>
      </c>
      <c r="H1" s="55" t="s">
        <v>1</v>
      </c>
      <c r="I1" s="55" t="s">
        <v>2</v>
      </c>
      <c r="J1" s="56" t="s">
        <v>451</v>
      </c>
      <c r="K1" s="55" t="s">
        <v>3</v>
      </c>
      <c r="L1" s="55" t="s">
        <v>4</v>
      </c>
      <c r="M1" s="55" t="s">
        <v>5</v>
      </c>
      <c r="N1" s="55" t="s">
        <v>66</v>
      </c>
      <c r="O1" s="55" t="s">
        <v>67</v>
      </c>
      <c r="P1" s="55" t="s">
        <v>443</v>
      </c>
      <c r="Q1" s="55" t="s">
        <v>6</v>
      </c>
      <c r="R1" s="57"/>
      <c r="S1" s="55" t="s">
        <v>403</v>
      </c>
      <c r="T1" s="55" t="s">
        <v>404</v>
      </c>
      <c r="U1" s="55" t="s">
        <v>405</v>
      </c>
      <c r="V1" s="55" t="s">
        <v>406</v>
      </c>
      <c r="W1" s="58"/>
      <c r="X1" s="59" t="s">
        <v>8</v>
      </c>
      <c r="Y1" s="59" t="s">
        <v>9</v>
      </c>
      <c r="Z1" s="59" t="s">
        <v>10</v>
      </c>
      <c r="AA1" s="60" t="s">
        <v>11</v>
      </c>
    </row>
    <row r="2" spans="1:27" ht="16.5">
      <c r="A2" s="46"/>
      <c r="B2" s="46"/>
      <c r="C2" s="47">
        <v>1</v>
      </c>
      <c r="D2" s="47">
        <v>1</v>
      </c>
      <c r="E2" s="48" t="s">
        <v>68</v>
      </c>
      <c r="F2" s="48" t="s">
        <v>69</v>
      </c>
      <c r="G2" s="46" t="s">
        <v>252</v>
      </c>
      <c r="H2" s="46" t="s">
        <v>253</v>
      </c>
      <c r="I2" s="49" t="s">
        <v>739</v>
      </c>
      <c r="J2" s="46" t="s">
        <v>255</v>
      </c>
      <c r="K2" s="46"/>
      <c r="L2" s="46"/>
      <c r="M2" s="46"/>
      <c r="N2" s="50"/>
      <c r="O2" s="50"/>
      <c r="P2" s="50" t="s">
        <v>418</v>
      </c>
      <c r="Q2" s="46"/>
      <c r="R2" s="46"/>
      <c r="S2" s="46" t="s">
        <v>252</v>
      </c>
      <c r="T2" s="46" t="s">
        <v>407</v>
      </c>
      <c r="U2" s="46"/>
      <c r="V2" s="46" t="s">
        <v>735</v>
      </c>
      <c r="W2" s="46"/>
      <c r="X2" s="51" t="s">
        <v>12</v>
      </c>
      <c r="Y2" s="51" t="s">
        <v>13</v>
      </c>
      <c r="Z2" s="51" t="s">
        <v>14</v>
      </c>
      <c r="AA2" s="51" t="s">
        <v>15</v>
      </c>
    </row>
    <row r="3" spans="1:27" ht="16.5">
      <c r="A3" s="1">
        <v>1</v>
      </c>
      <c r="B3" s="1">
        <v>1</v>
      </c>
      <c r="C3" s="3">
        <v>2</v>
      </c>
      <c r="D3" s="3">
        <v>2</v>
      </c>
      <c r="E3" s="12" t="s">
        <v>70</v>
      </c>
      <c r="F3" s="13" t="s">
        <v>71</v>
      </c>
      <c r="G3" s="1" t="s">
        <v>256</v>
      </c>
      <c r="H3" s="1" t="s">
        <v>257</v>
      </c>
      <c r="I3" s="6" t="s">
        <v>258</v>
      </c>
      <c r="J3" s="1" t="s">
        <v>259</v>
      </c>
      <c r="K3" s="1"/>
      <c r="L3" s="1"/>
      <c r="M3" s="1"/>
      <c r="N3" s="20"/>
      <c r="O3" s="20"/>
      <c r="P3" s="20" t="s">
        <v>419</v>
      </c>
      <c r="Q3" s="1"/>
      <c r="R3" s="1"/>
      <c r="S3" s="1" t="s">
        <v>256</v>
      </c>
      <c r="T3" s="1" t="s">
        <v>408</v>
      </c>
      <c r="U3" s="1"/>
      <c r="V3" s="1" t="s">
        <v>409</v>
      </c>
      <c r="W3" s="1"/>
      <c r="X3" s="3"/>
      <c r="Y3" s="9"/>
      <c r="Z3" s="9" t="s">
        <v>16</v>
      </c>
      <c r="AA3" s="9" t="s">
        <v>17</v>
      </c>
    </row>
    <row r="4" spans="1:27" ht="16.5">
      <c r="A4" s="1">
        <v>2</v>
      </c>
      <c r="B4" s="1">
        <v>2</v>
      </c>
      <c r="C4" s="3">
        <v>3</v>
      </c>
      <c r="D4" s="3">
        <v>3</v>
      </c>
      <c r="E4" s="12" t="s">
        <v>72</v>
      </c>
      <c r="F4" s="13" t="s">
        <v>63</v>
      </c>
      <c r="G4" s="1" t="s">
        <v>260</v>
      </c>
      <c r="H4" s="1" t="s">
        <v>261</v>
      </c>
      <c r="I4" s="6" t="s">
        <v>262</v>
      </c>
      <c r="J4" s="1" t="s">
        <v>263</v>
      </c>
      <c r="K4" s="18" t="s">
        <v>444</v>
      </c>
      <c r="L4" s="1"/>
      <c r="M4" s="1"/>
      <c r="N4" s="20"/>
      <c r="O4" s="20"/>
      <c r="P4" s="20" t="s">
        <v>420</v>
      </c>
      <c r="Q4" s="1"/>
      <c r="R4" s="1"/>
      <c r="S4" s="1" t="s">
        <v>260</v>
      </c>
      <c r="T4" s="1" t="s">
        <v>410</v>
      </c>
      <c r="U4" s="1" t="s">
        <v>411</v>
      </c>
      <c r="V4" s="1"/>
      <c r="W4" s="1"/>
      <c r="X4" s="3"/>
      <c r="Y4" s="9"/>
      <c r="Z4" s="9"/>
      <c r="AA4" s="9" t="s">
        <v>18</v>
      </c>
    </row>
    <row r="5" spans="1:27" ht="16.5">
      <c r="A5" s="1">
        <v>3</v>
      </c>
      <c r="B5" s="1">
        <v>3</v>
      </c>
      <c r="C5" s="3">
        <v>4</v>
      </c>
      <c r="D5" s="3">
        <v>4</v>
      </c>
      <c r="E5" s="12" t="s">
        <v>73</v>
      </c>
      <c r="F5" s="13" t="s">
        <v>62</v>
      </c>
      <c r="G5" s="1" t="s">
        <v>264</v>
      </c>
      <c r="H5" s="1" t="s">
        <v>265</v>
      </c>
      <c r="I5" s="6" t="s">
        <v>266</v>
      </c>
      <c r="J5" s="1" t="s">
        <v>267</v>
      </c>
      <c r="K5" s="1"/>
      <c r="L5" s="1"/>
      <c r="M5" s="1"/>
      <c r="N5" s="20"/>
      <c r="O5" s="20"/>
      <c r="P5" s="20" t="s">
        <v>421</v>
      </c>
      <c r="Q5" s="1"/>
      <c r="R5" s="1"/>
      <c r="S5" s="1" t="s">
        <v>264</v>
      </c>
      <c r="T5" s="1" t="s">
        <v>736</v>
      </c>
      <c r="U5" s="1" t="s">
        <v>412</v>
      </c>
      <c r="V5" s="1"/>
      <c r="W5" s="1"/>
      <c r="X5" s="3"/>
      <c r="Y5" s="3"/>
      <c r="Z5" s="3"/>
      <c r="AA5" s="3"/>
    </row>
    <row r="6" spans="1:27" ht="16.5">
      <c r="A6" s="1">
        <v>4</v>
      </c>
      <c r="B6" s="1">
        <v>4</v>
      </c>
      <c r="C6" s="3">
        <v>5</v>
      </c>
      <c r="D6" s="3">
        <v>5</v>
      </c>
      <c r="E6" s="14" t="s">
        <v>74</v>
      </c>
      <c r="F6" s="13" t="s">
        <v>31</v>
      </c>
      <c r="G6" s="1"/>
      <c r="H6" s="1" t="s">
        <v>268</v>
      </c>
      <c r="I6" s="6" t="s">
        <v>269</v>
      </c>
      <c r="J6" s="1" t="s">
        <v>270</v>
      </c>
      <c r="K6" s="1"/>
      <c r="L6" s="1"/>
      <c r="M6" s="1"/>
      <c r="N6" s="20"/>
      <c r="O6" s="20"/>
      <c r="P6" s="20" t="s">
        <v>422</v>
      </c>
      <c r="Q6" s="1"/>
      <c r="R6" s="1"/>
      <c r="S6" s="1"/>
      <c r="T6" s="1"/>
      <c r="U6" s="1"/>
      <c r="V6" s="1"/>
      <c r="W6" s="1"/>
      <c r="X6" s="3"/>
      <c r="Y6" s="3"/>
      <c r="Z6" s="3"/>
      <c r="AA6" s="3"/>
    </row>
    <row r="7" spans="1:27" ht="16.5">
      <c r="A7" s="1">
        <v>5</v>
      </c>
      <c r="B7" s="1">
        <v>5</v>
      </c>
      <c r="C7" s="3">
        <v>6</v>
      </c>
      <c r="D7" s="3">
        <v>6</v>
      </c>
      <c r="E7" s="13" t="s">
        <v>75</v>
      </c>
      <c r="F7" s="13" t="s">
        <v>30</v>
      </c>
      <c r="G7" s="1"/>
      <c r="H7" s="1" t="s">
        <v>271</v>
      </c>
      <c r="I7" s="6" t="s">
        <v>272</v>
      </c>
      <c r="J7" s="1" t="s">
        <v>273</v>
      </c>
      <c r="K7" s="1"/>
      <c r="L7" s="1"/>
      <c r="M7" s="1"/>
      <c r="N7" s="20"/>
      <c r="O7" s="20"/>
      <c r="P7" s="20" t="s">
        <v>423</v>
      </c>
      <c r="Q7" s="1"/>
      <c r="R7" s="1"/>
      <c r="S7" s="1"/>
      <c r="T7" s="1"/>
      <c r="U7" s="1"/>
      <c r="V7" s="1"/>
      <c r="W7" s="1"/>
      <c r="X7" s="3"/>
      <c r="Y7" s="3"/>
      <c r="Z7" s="3"/>
      <c r="AA7" s="3"/>
    </row>
    <row r="8" spans="1:27" ht="16.5">
      <c r="A8" s="3"/>
      <c r="B8" s="3"/>
      <c r="C8" s="3">
        <v>7</v>
      </c>
      <c r="D8" s="3">
        <v>7</v>
      </c>
      <c r="E8" s="13" t="s">
        <v>76</v>
      </c>
      <c r="F8" s="13" t="s">
        <v>77</v>
      </c>
      <c r="G8" s="1"/>
      <c r="H8" s="1" t="s">
        <v>274</v>
      </c>
      <c r="I8" s="6"/>
      <c r="J8" s="1"/>
      <c r="K8" s="1"/>
      <c r="L8" s="1"/>
      <c r="M8" s="1"/>
      <c r="N8" s="20"/>
      <c r="O8" s="20" t="s">
        <v>428</v>
      </c>
      <c r="P8" s="20" t="s">
        <v>424</v>
      </c>
      <c r="Q8" s="1"/>
      <c r="R8" s="1"/>
      <c r="S8" s="1"/>
      <c r="T8" s="1"/>
      <c r="U8" s="1"/>
      <c r="V8" s="1"/>
      <c r="W8" s="1"/>
      <c r="X8" s="3"/>
      <c r="Y8" s="3"/>
      <c r="Z8" s="3"/>
      <c r="AA8" s="3"/>
    </row>
    <row r="9" spans="1:27" ht="16.5">
      <c r="A9" s="3"/>
      <c r="B9" s="3"/>
      <c r="C9" s="3">
        <v>8</v>
      </c>
      <c r="D9" s="3">
        <v>8</v>
      </c>
      <c r="E9" s="13" t="s">
        <v>78</v>
      </c>
      <c r="F9" s="13" t="s">
        <v>29</v>
      </c>
      <c r="G9" s="1"/>
      <c r="H9" s="1" t="s">
        <v>275</v>
      </c>
      <c r="I9" s="6"/>
      <c r="J9" s="1"/>
      <c r="K9" s="1"/>
      <c r="L9" s="1"/>
      <c r="M9" s="1"/>
      <c r="N9" s="20"/>
      <c r="O9" s="20" t="s">
        <v>429</v>
      </c>
      <c r="P9" s="20" t="s">
        <v>425</v>
      </c>
      <c r="Q9" s="1"/>
      <c r="R9" s="1"/>
      <c r="S9" s="1"/>
      <c r="T9" s="1"/>
      <c r="U9" s="1"/>
      <c r="V9" s="1"/>
      <c r="W9" s="1"/>
      <c r="X9" s="5"/>
      <c r="Y9" s="3"/>
      <c r="Z9" s="3"/>
      <c r="AA9" s="3"/>
    </row>
    <row r="10" spans="1:27" ht="16.5">
      <c r="A10" s="3"/>
      <c r="B10" s="3"/>
      <c r="C10" s="3">
        <v>9</v>
      </c>
      <c r="D10" s="3">
        <v>9</v>
      </c>
      <c r="E10" s="13" t="s">
        <v>79</v>
      </c>
      <c r="F10" s="13" t="s">
        <v>61</v>
      </c>
      <c r="G10" s="1" t="s">
        <v>276</v>
      </c>
      <c r="H10" s="1" t="s">
        <v>277</v>
      </c>
      <c r="I10" s="6" t="s">
        <v>278</v>
      </c>
      <c r="J10" s="1" t="s">
        <v>279</v>
      </c>
      <c r="K10" s="1"/>
      <c r="L10" s="1"/>
      <c r="M10" s="1"/>
      <c r="N10" s="20"/>
      <c r="O10" s="20" t="s">
        <v>430</v>
      </c>
      <c r="P10" s="20" t="s">
        <v>427</v>
      </c>
      <c r="Q10" s="1"/>
      <c r="R10" s="1"/>
      <c r="S10" s="1" t="s">
        <v>276</v>
      </c>
      <c r="T10" s="1" t="s">
        <v>737</v>
      </c>
      <c r="U10" s="1"/>
      <c r="V10" s="1"/>
      <c r="W10" s="1"/>
      <c r="X10" s="5"/>
      <c r="Y10" s="3"/>
      <c r="Z10" s="3"/>
      <c r="AA10" s="3"/>
    </row>
    <row r="11" spans="1:27" ht="16.5">
      <c r="A11" s="3"/>
      <c r="B11" s="3"/>
      <c r="C11" s="3">
        <v>10</v>
      </c>
      <c r="D11" s="3">
        <v>10</v>
      </c>
      <c r="E11" s="13" t="s">
        <v>80</v>
      </c>
      <c r="F11" s="13" t="s">
        <v>81</v>
      </c>
      <c r="G11" s="1" t="s">
        <v>280</v>
      </c>
      <c r="H11" s="1" t="s">
        <v>281</v>
      </c>
      <c r="I11" s="6" t="s">
        <v>282</v>
      </c>
      <c r="J11" s="1"/>
      <c r="K11" s="1"/>
      <c r="M11" s="1"/>
      <c r="N11" s="20"/>
      <c r="O11" s="20" t="s">
        <v>431</v>
      </c>
      <c r="P11" s="20" t="s">
        <v>426</v>
      </c>
      <c r="Q11" s="1"/>
      <c r="R11" s="1"/>
      <c r="S11" s="1" t="s">
        <v>280</v>
      </c>
      <c r="T11" s="1" t="s">
        <v>738</v>
      </c>
      <c r="U11" s="1"/>
      <c r="V11" s="1"/>
      <c r="W11" s="1"/>
      <c r="X11" s="5"/>
      <c r="Y11" s="3"/>
      <c r="Z11" s="3"/>
      <c r="AA11" s="3"/>
    </row>
    <row r="12" spans="1:27" ht="16.5">
      <c r="A12" s="7"/>
      <c r="B12" s="7"/>
      <c r="C12" s="3">
        <v>11</v>
      </c>
      <c r="D12" s="3">
        <v>11</v>
      </c>
      <c r="E12" s="15" t="s">
        <v>82</v>
      </c>
      <c r="F12" s="15" t="s">
        <v>240</v>
      </c>
      <c r="G12" s="1"/>
      <c r="H12" s="1"/>
      <c r="I12" s="6"/>
      <c r="J12" s="1"/>
      <c r="K12" s="1"/>
      <c r="L12" s="1"/>
      <c r="M12" s="1"/>
      <c r="N12" s="20"/>
      <c r="O12" s="20"/>
      <c r="P12" s="20"/>
      <c r="Q12" s="1"/>
      <c r="R12" s="1"/>
      <c r="S12" s="1"/>
      <c r="T12" s="1"/>
      <c r="U12" s="1"/>
      <c r="V12" s="1"/>
      <c r="W12" s="1"/>
      <c r="X12" s="4"/>
      <c r="Y12" s="3"/>
      <c r="Z12" s="3"/>
      <c r="AA12" s="3"/>
    </row>
    <row r="13" spans="1:27" ht="16.5">
      <c r="A13" s="7"/>
      <c r="B13" s="7"/>
      <c r="C13" s="3">
        <v>12</v>
      </c>
      <c r="D13" s="3">
        <v>12</v>
      </c>
      <c r="E13" s="15" t="s">
        <v>83</v>
      </c>
      <c r="F13" s="15" t="s">
        <v>241</v>
      </c>
      <c r="G13" s="1"/>
      <c r="H13" s="1"/>
      <c r="I13" s="6"/>
      <c r="J13" s="1"/>
      <c r="K13" s="1"/>
      <c r="L13" s="1"/>
      <c r="M13" s="1"/>
      <c r="N13" s="20"/>
      <c r="O13" s="20"/>
      <c r="P13" s="20"/>
      <c r="Q13" s="1"/>
      <c r="R13" s="1"/>
      <c r="S13" s="1"/>
      <c r="T13" s="1"/>
      <c r="U13" s="1"/>
      <c r="V13" s="1"/>
      <c r="W13" s="1"/>
      <c r="X13" s="4"/>
      <c r="Y13" s="3"/>
      <c r="Z13" s="3"/>
      <c r="AA13" s="3"/>
    </row>
    <row r="14" spans="1:27" ht="16.5">
      <c r="A14" s="7"/>
      <c r="B14" s="7"/>
      <c r="C14" s="3">
        <v>13</v>
      </c>
      <c r="D14" s="3">
        <v>13</v>
      </c>
      <c r="E14" s="15" t="s">
        <v>84</v>
      </c>
      <c r="F14" s="15" t="s">
        <v>54</v>
      </c>
      <c r="G14" s="1" t="s">
        <v>283</v>
      </c>
      <c r="H14" s="1" t="s">
        <v>284</v>
      </c>
      <c r="I14" s="6" t="s">
        <v>285</v>
      </c>
      <c r="J14" s="1" t="s">
        <v>286</v>
      </c>
      <c r="K14" s="1"/>
      <c r="L14" s="1"/>
      <c r="M14" s="1"/>
      <c r="N14" s="20"/>
      <c r="O14" s="20"/>
      <c r="P14" s="20"/>
      <c r="Q14" s="1"/>
      <c r="R14" s="1"/>
      <c r="S14" s="1" t="s">
        <v>283</v>
      </c>
      <c r="T14" s="1"/>
      <c r="U14" s="1" t="s">
        <v>413</v>
      </c>
      <c r="V14" s="1"/>
      <c r="W14" s="1"/>
      <c r="X14" s="4"/>
      <c r="Y14" s="3"/>
      <c r="Z14" s="3"/>
      <c r="AA14" s="3"/>
    </row>
    <row r="15" spans="1:27" ht="16.5">
      <c r="A15" s="7"/>
      <c r="B15" s="7"/>
      <c r="C15" s="3">
        <v>14</v>
      </c>
      <c r="D15" s="3">
        <v>14</v>
      </c>
      <c r="E15" s="15" t="s">
        <v>85</v>
      </c>
      <c r="F15" s="15" t="s">
        <v>53</v>
      </c>
      <c r="G15" s="1" t="s">
        <v>287</v>
      </c>
      <c r="H15" s="1" t="s">
        <v>288</v>
      </c>
      <c r="I15" s="6" t="s">
        <v>289</v>
      </c>
      <c r="J15" s="1" t="s">
        <v>290</v>
      </c>
      <c r="K15" s="1"/>
      <c r="L15" s="1"/>
      <c r="M15" s="1"/>
      <c r="N15" s="20"/>
      <c r="O15" s="20"/>
      <c r="P15" s="20"/>
      <c r="Q15" s="1"/>
      <c r="R15" s="1"/>
      <c r="S15" s="1" t="s">
        <v>287</v>
      </c>
      <c r="T15" s="1"/>
      <c r="U15" s="1"/>
      <c r="V15" s="1" t="s">
        <v>414</v>
      </c>
      <c r="W15" s="1"/>
      <c r="X15" s="4"/>
      <c r="Y15" s="3"/>
      <c r="Z15" s="3"/>
      <c r="AA15" s="3"/>
    </row>
    <row r="16" spans="1:27" ht="16.5">
      <c r="A16" s="7"/>
      <c r="B16" s="7"/>
      <c r="C16" s="3">
        <v>15</v>
      </c>
      <c r="D16" s="3">
        <v>15</v>
      </c>
      <c r="E16" s="15" t="s">
        <v>86</v>
      </c>
      <c r="F16" s="15" t="s">
        <v>52</v>
      </c>
      <c r="G16" s="1"/>
      <c r="H16" s="1" t="s">
        <v>291</v>
      </c>
      <c r="I16" s="6" t="s">
        <v>292</v>
      </c>
      <c r="J16" s="1" t="s">
        <v>293</v>
      </c>
      <c r="K16" s="1"/>
      <c r="L16" s="1"/>
      <c r="M16" s="1"/>
      <c r="N16" s="20"/>
      <c r="O16" s="20"/>
      <c r="P16" s="20"/>
      <c r="Q16" s="1"/>
      <c r="R16" s="1"/>
      <c r="S16" s="1"/>
      <c r="T16" s="1"/>
      <c r="U16" s="1"/>
      <c r="V16" s="1"/>
      <c r="W16" s="1"/>
      <c r="X16" s="4"/>
      <c r="Y16" s="3"/>
      <c r="Z16" s="3"/>
      <c r="AA16" s="3"/>
    </row>
    <row r="17" spans="1:27" ht="16.5">
      <c r="A17" s="1">
        <v>6</v>
      </c>
      <c r="B17" s="1">
        <v>6</v>
      </c>
      <c r="C17" s="3">
        <v>16</v>
      </c>
      <c r="D17" s="3">
        <v>16</v>
      </c>
      <c r="E17" s="13" t="s">
        <v>87</v>
      </c>
      <c r="F17" s="15" t="s">
        <v>88</v>
      </c>
      <c r="G17" s="1"/>
      <c r="H17" s="1" t="s">
        <v>294</v>
      </c>
      <c r="I17" s="6" t="s">
        <v>295</v>
      </c>
      <c r="J17" s="1" t="s">
        <v>296</v>
      </c>
      <c r="K17" s="2"/>
      <c r="M17" s="1"/>
      <c r="N17" s="20" t="s">
        <v>432</v>
      </c>
      <c r="O17" s="20" t="s">
        <v>432</v>
      </c>
      <c r="P17" s="20" t="s">
        <v>428</v>
      </c>
      <c r="Q17" s="1"/>
      <c r="R17" s="1"/>
      <c r="S17" s="1"/>
      <c r="T17" s="1"/>
      <c r="U17" s="1"/>
      <c r="V17" s="1"/>
      <c r="W17" s="1"/>
      <c r="X17" s="5"/>
      <c r="Y17" s="3"/>
      <c r="Z17" s="3"/>
      <c r="AA17" s="3"/>
    </row>
    <row r="18" spans="1:27" ht="16.5">
      <c r="A18" s="1">
        <v>7</v>
      </c>
      <c r="B18" s="1">
        <v>7</v>
      </c>
      <c r="C18" s="3">
        <v>17</v>
      </c>
      <c r="D18" s="3">
        <v>17</v>
      </c>
      <c r="E18" s="13" t="s">
        <v>89</v>
      </c>
      <c r="F18" s="13" t="s">
        <v>32</v>
      </c>
      <c r="G18" s="1"/>
      <c r="H18" s="1" t="s">
        <v>297</v>
      </c>
      <c r="I18" s="6" t="s">
        <v>298</v>
      </c>
      <c r="J18" s="1" t="s">
        <v>299</v>
      </c>
      <c r="K18" s="1" t="s">
        <v>20</v>
      </c>
      <c r="L18" s="1"/>
      <c r="M18" s="1"/>
      <c r="N18" s="18" t="s">
        <v>433</v>
      </c>
      <c r="O18" s="18" t="s">
        <v>433</v>
      </c>
      <c r="P18" s="20" t="s">
        <v>429</v>
      </c>
      <c r="Q18" s="1"/>
      <c r="R18" s="1"/>
      <c r="S18" s="1"/>
      <c r="T18" s="1"/>
      <c r="U18" s="1"/>
      <c r="V18" s="1"/>
      <c r="W18" s="1"/>
      <c r="X18" s="4"/>
      <c r="Y18" s="3"/>
      <c r="Z18" s="3"/>
      <c r="AA18" s="3"/>
    </row>
    <row r="19" spans="1:27" ht="16.5">
      <c r="A19" s="1">
        <v>8</v>
      </c>
      <c r="B19" s="1">
        <v>8</v>
      </c>
      <c r="C19" s="3">
        <v>18</v>
      </c>
      <c r="D19" s="3">
        <v>18</v>
      </c>
      <c r="E19" s="13" t="s">
        <v>90</v>
      </c>
      <c r="F19" s="13" t="s">
        <v>43</v>
      </c>
      <c r="G19" s="1"/>
      <c r="H19" s="1" t="s">
        <v>300</v>
      </c>
      <c r="I19" s="6"/>
      <c r="J19" s="1"/>
      <c r="K19" s="1" t="s">
        <v>22</v>
      </c>
      <c r="L19" s="1"/>
      <c r="M19" s="1"/>
      <c r="N19" s="20" t="s">
        <v>434</v>
      </c>
      <c r="O19" s="20" t="s">
        <v>434</v>
      </c>
      <c r="P19" s="20" t="s">
        <v>430</v>
      </c>
      <c r="Q19" s="1"/>
      <c r="R19" s="1"/>
      <c r="S19" s="1"/>
      <c r="T19" s="1"/>
      <c r="U19" s="1"/>
      <c r="V19" s="1"/>
      <c r="W19" s="1"/>
      <c r="X19" s="4"/>
      <c r="Y19" s="3"/>
      <c r="Z19" s="3"/>
      <c r="AA19" s="3"/>
    </row>
    <row r="20" spans="1:27" ht="16.5">
      <c r="A20" s="1">
        <v>9</v>
      </c>
      <c r="B20" s="1">
        <v>9</v>
      </c>
      <c r="C20" s="3">
        <v>19</v>
      </c>
      <c r="D20" s="3">
        <v>19</v>
      </c>
      <c r="E20" s="13" t="s">
        <v>91</v>
      </c>
      <c r="F20" s="13" t="s">
        <v>42</v>
      </c>
      <c r="G20" s="1"/>
      <c r="H20" s="1" t="s">
        <v>301</v>
      </c>
      <c r="I20" s="6" t="s">
        <v>449</v>
      </c>
      <c r="J20" s="1" t="s">
        <v>303</v>
      </c>
      <c r="K20" s="1"/>
      <c r="L20" s="1"/>
      <c r="M20" s="1"/>
      <c r="N20" s="20" t="s">
        <v>435</v>
      </c>
      <c r="O20" s="20" t="s">
        <v>435</v>
      </c>
      <c r="P20" s="20" t="s">
        <v>431</v>
      </c>
      <c r="Q20" s="1"/>
      <c r="R20" s="1"/>
      <c r="S20" s="1"/>
      <c r="T20" s="1"/>
      <c r="U20" s="1"/>
      <c r="V20" s="1"/>
      <c r="W20" s="1"/>
      <c r="X20" s="4"/>
      <c r="Y20" s="3"/>
      <c r="Z20" s="3"/>
      <c r="AA20" s="3"/>
    </row>
    <row r="21" spans="1:27" ht="16.5">
      <c r="A21" s="1">
        <v>10</v>
      </c>
      <c r="B21" s="1">
        <v>10</v>
      </c>
      <c r="C21" s="3">
        <v>20</v>
      </c>
      <c r="D21" s="3">
        <v>20</v>
      </c>
      <c r="E21" s="13" t="s">
        <v>92</v>
      </c>
      <c r="F21" s="13" t="s">
        <v>41</v>
      </c>
      <c r="G21" s="1"/>
      <c r="H21" s="1" t="s">
        <v>304</v>
      </c>
      <c r="I21" s="6" t="s">
        <v>450</v>
      </c>
      <c r="J21" s="1" t="s">
        <v>306</v>
      </c>
      <c r="K21" s="1"/>
      <c r="L21" s="1"/>
      <c r="M21" s="1"/>
      <c r="N21" s="20" t="s">
        <v>436</v>
      </c>
      <c r="O21" s="20" t="s">
        <v>436</v>
      </c>
      <c r="P21" s="20" t="s">
        <v>432</v>
      </c>
      <c r="Q21" s="1"/>
      <c r="R21" s="1"/>
      <c r="S21" s="1"/>
      <c r="T21" s="1"/>
      <c r="U21" s="1"/>
      <c r="V21" s="1"/>
      <c r="W21" s="1"/>
      <c r="X21" s="4"/>
      <c r="Y21" s="3"/>
      <c r="Z21" s="3"/>
      <c r="AA21" s="3"/>
    </row>
    <row r="22" spans="1:27" ht="16.5">
      <c r="A22" s="1">
        <v>11</v>
      </c>
      <c r="B22" s="1">
        <v>11</v>
      </c>
      <c r="C22" s="3">
        <v>21</v>
      </c>
      <c r="D22" s="3">
        <v>21</v>
      </c>
      <c r="E22" s="13" t="s">
        <v>82</v>
      </c>
      <c r="F22" s="13" t="s">
        <v>240</v>
      </c>
      <c r="G22" s="1"/>
      <c r="H22" s="7"/>
      <c r="I22" s="6"/>
      <c r="J22" s="1"/>
      <c r="K22" s="1"/>
      <c r="L22" s="1" t="s">
        <v>19</v>
      </c>
      <c r="M22" s="1"/>
      <c r="N22" s="20" t="s">
        <v>437</v>
      </c>
      <c r="O22" s="20" t="s">
        <v>437</v>
      </c>
      <c r="P22" s="18" t="s">
        <v>433</v>
      </c>
      <c r="Q22" s="1"/>
      <c r="R22" s="1"/>
      <c r="S22" s="1"/>
      <c r="T22" s="1"/>
      <c r="U22" s="1"/>
      <c r="V22" s="1"/>
      <c r="W22" s="1"/>
      <c r="X22" s="5"/>
      <c r="Y22" s="3"/>
      <c r="Z22" s="3"/>
      <c r="AA22" s="3"/>
    </row>
    <row r="23" spans="1:27" ht="16.5">
      <c r="A23" s="1">
        <v>12</v>
      </c>
      <c r="B23" s="1">
        <v>12</v>
      </c>
      <c r="C23" s="3">
        <v>22</v>
      </c>
      <c r="D23" s="3">
        <v>22</v>
      </c>
      <c r="E23" s="13" t="s">
        <v>83</v>
      </c>
      <c r="F23" s="13" t="s">
        <v>241</v>
      </c>
      <c r="G23" s="1"/>
      <c r="H23" s="1"/>
      <c r="I23" s="6"/>
      <c r="J23" s="1"/>
      <c r="K23" s="1"/>
      <c r="L23" s="1"/>
      <c r="M23" s="1"/>
      <c r="N23" s="20" t="s">
        <v>438</v>
      </c>
      <c r="O23" s="20" t="s">
        <v>438</v>
      </c>
      <c r="P23" s="20" t="s">
        <v>434</v>
      </c>
      <c r="Q23" s="1"/>
      <c r="R23" s="1"/>
      <c r="S23" s="1"/>
      <c r="T23" s="1"/>
      <c r="U23" s="1"/>
      <c r="V23" s="1"/>
      <c r="W23" s="1"/>
      <c r="X23" s="4"/>
      <c r="Y23" s="3"/>
      <c r="Z23" s="3"/>
      <c r="AA23" s="3"/>
    </row>
    <row r="24" spans="1:27" ht="16.5">
      <c r="A24" s="1">
        <v>13</v>
      </c>
      <c r="B24" s="1">
        <v>13</v>
      </c>
      <c r="C24" s="3">
        <v>23</v>
      </c>
      <c r="D24" s="3">
        <v>23</v>
      </c>
      <c r="E24" s="13" t="s">
        <v>93</v>
      </c>
      <c r="F24" s="13" t="s">
        <v>94</v>
      </c>
      <c r="G24" s="1"/>
      <c r="H24" s="7" t="s">
        <v>277</v>
      </c>
      <c r="I24" s="8"/>
      <c r="J24" s="1" t="s">
        <v>270</v>
      </c>
      <c r="K24" s="1"/>
      <c r="L24" s="1"/>
      <c r="M24" s="1"/>
      <c r="N24" s="20" t="s">
        <v>442</v>
      </c>
      <c r="O24" s="20" t="s">
        <v>442</v>
      </c>
      <c r="P24" s="20" t="s">
        <v>435</v>
      </c>
      <c r="Q24" s="1"/>
      <c r="R24" s="1"/>
      <c r="S24" s="1"/>
      <c r="T24" s="1"/>
      <c r="U24" s="1"/>
      <c r="V24" s="1"/>
      <c r="W24" s="1"/>
      <c r="X24" s="5"/>
      <c r="Y24" s="3"/>
      <c r="Z24" s="3"/>
      <c r="AA24" s="3"/>
    </row>
    <row r="25" spans="1:27" ht="16.5">
      <c r="A25" s="1">
        <v>14</v>
      </c>
      <c r="B25" s="1">
        <v>14</v>
      </c>
      <c r="C25" s="3">
        <v>24</v>
      </c>
      <c r="D25" s="3">
        <v>24</v>
      </c>
      <c r="E25" s="13" t="s">
        <v>95</v>
      </c>
      <c r="F25" s="13" t="s">
        <v>96</v>
      </c>
      <c r="G25" s="1"/>
      <c r="H25" s="1" t="s">
        <v>281</v>
      </c>
      <c r="I25" s="6" t="s">
        <v>299</v>
      </c>
      <c r="J25" s="1" t="s">
        <v>273</v>
      </c>
      <c r="K25" s="1"/>
      <c r="L25" s="1"/>
      <c r="M25" s="1"/>
      <c r="N25" s="20" t="s">
        <v>441</v>
      </c>
      <c r="O25" s="20" t="s">
        <v>441</v>
      </c>
      <c r="P25" s="20" t="s">
        <v>436</v>
      </c>
      <c r="Q25" s="1"/>
      <c r="R25" s="1"/>
      <c r="S25" s="1"/>
      <c r="T25" s="1"/>
      <c r="U25" s="1"/>
      <c r="V25" s="1"/>
      <c r="W25" s="1"/>
      <c r="X25" s="3"/>
      <c r="Y25" s="3"/>
      <c r="Z25" s="3"/>
      <c r="AA25" s="3"/>
    </row>
    <row r="26" spans="1:27" ht="16.5">
      <c r="A26" s="1">
        <v>15</v>
      </c>
      <c r="B26" s="1">
        <v>15</v>
      </c>
      <c r="C26" s="3">
        <v>25</v>
      </c>
      <c r="D26" s="3">
        <v>25</v>
      </c>
      <c r="E26" s="13" t="s">
        <v>97</v>
      </c>
      <c r="F26" s="13" t="s">
        <v>98</v>
      </c>
      <c r="G26" s="1"/>
      <c r="H26" s="1" t="s">
        <v>307</v>
      </c>
      <c r="I26" s="6" t="s">
        <v>286</v>
      </c>
      <c r="J26" s="1" t="s">
        <v>308</v>
      </c>
      <c r="K26" s="1"/>
      <c r="L26" s="1"/>
      <c r="M26" s="1"/>
      <c r="N26" s="20" t="s">
        <v>440</v>
      </c>
      <c r="O26" s="20" t="s">
        <v>440</v>
      </c>
      <c r="P26" s="20" t="s">
        <v>437</v>
      </c>
      <c r="Q26" s="1"/>
      <c r="R26" s="1"/>
      <c r="S26" s="1"/>
      <c r="T26" s="1"/>
      <c r="U26" s="1"/>
      <c r="V26" s="1"/>
      <c r="W26" s="1"/>
      <c r="X26" s="3"/>
      <c r="Y26" s="3"/>
      <c r="Z26" s="3"/>
      <c r="AA26" s="3"/>
    </row>
    <row r="27" spans="1:27" ht="16.5">
      <c r="A27" s="1">
        <v>16</v>
      </c>
      <c r="B27" s="1">
        <v>16</v>
      </c>
      <c r="C27" s="3">
        <v>26</v>
      </c>
      <c r="D27" s="3">
        <v>26</v>
      </c>
      <c r="E27" s="13" t="s">
        <v>99</v>
      </c>
      <c r="F27" s="16" t="s">
        <v>100</v>
      </c>
      <c r="G27" s="1"/>
      <c r="H27" s="1" t="s">
        <v>309</v>
      </c>
      <c r="I27" s="6" t="s">
        <v>290</v>
      </c>
      <c r="J27" s="1" t="s">
        <v>310</v>
      </c>
      <c r="K27" s="1"/>
      <c r="L27" s="1"/>
      <c r="M27" s="1"/>
      <c r="N27" s="20" t="s">
        <v>439</v>
      </c>
      <c r="O27" s="20" t="s">
        <v>439</v>
      </c>
      <c r="P27" s="20" t="s">
        <v>438</v>
      </c>
      <c r="Q27" s="1"/>
      <c r="R27" s="1"/>
      <c r="S27" s="1"/>
      <c r="T27" s="1"/>
      <c r="U27" s="1"/>
      <c r="V27" s="1"/>
      <c r="W27" s="1"/>
      <c r="X27" s="3"/>
      <c r="Y27" s="3"/>
      <c r="Z27" s="3"/>
      <c r="AA27" s="3"/>
    </row>
    <row r="28" spans="1:27" ht="16.5">
      <c r="A28" s="1"/>
      <c r="B28" s="1"/>
      <c r="C28" s="3">
        <v>27</v>
      </c>
      <c r="D28" s="3">
        <v>27</v>
      </c>
      <c r="E28" s="13" t="s">
        <v>101</v>
      </c>
      <c r="F28" s="13" t="s">
        <v>102</v>
      </c>
      <c r="G28" s="1"/>
      <c r="H28" s="1" t="s">
        <v>311</v>
      </c>
      <c r="I28" s="6" t="s">
        <v>293</v>
      </c>
      <c r="J28" s="1"/>
      <c r="K28" s="1"/>
      <c r="L28" s="1"/>
      <c r="M28" s="1"/>
      <c r="N28" s="20"/>
      <c r="O28" s="20"/>
      <c r="P28" s="20"/>
      <c r="Q28" s="1"/>
      <c r="R28" s="1"/>
      <c r="S28" s="1"/>
      <c r="T28" s="1"/>
      <c r="U28" s="1"/>
      <c r="V28" s="1"/>
      <c r="W28" s="1"/>
      <c r="X28" s="3"/>
      <c r="Y28" s="3"/>
      <c r="Z28" s="3"/>
      <c r="AA28" s="3"/>
    </row>
    <row r="29" spans="1:27" ht="16.5">
      <c r="A29" s="1"/>
      <c r="B29" s="1"/>
      <c r="C29" s="3">
        <v>28</v>
      </c>
      <c r="D29" s="3">
        <v>28</v>
      </c>
      <c r="E29" s="13" t="s">
        <v>103</v>
      </c>
      <c r="F29" s="13" t="s">
        <v>104</v>
      </c>
      <c r="G29" s="1"/>
      <c r="H29" s="1" t="s">
        <v>312</v>
      </c>
      <c r="I29" s="6" t="s">
        <v>296</v>
      </c>
      <c r="J29" s="1"/>
      <c r="K29" s="1"/>
      <c r="L29" s="1"/>
      <c r="M29" s="1"/>
      <c r="N29" s="20"/>
      <c r="O29" s="20"/>
      <c r="P29" s="20"/>
      <c r="Q29" s="1"/>
      <c r="R29" s="1"/>
      <c r="S29" s="1"/>
      <c r="T29" s="1"/>
      <c r="U29" s="1"/>
      <c r="V29" s="1"/>
      <c r="W29" s="1"/>
      <c r="X29" s="3"/>
      <c r="Y29" s="3"/>
      <c r="Z29" s="3"/>
      <c r="AA29" s="3"/>
    </row>
    <row r="30" spans="1:27" ht="16.5">
      <c r="A30" s="1"/>
      <c r="B30" s="1"/>
      <c r="C30" s="3">
        <v>29</v>
      </c>
      <c r="D30" s="3">
        <v>29</v>
      </c>
      <c r="E30" s="13" t="s">
        <v>105</v>
      </c>
      <c r="F30" s="13" t="s">
        <v>106</v>
      </c>
      <c r="G30" s="1"/>
      <c r="H30" s="1" t="s">
        <v>313</v>
      </c>
      <c r="I30" s="6" t="s">
        <v>314</v>
      </c>
      <c r="J30" s="1" t="s">
        <v>315</v>
      </c>
      <c r="K30" s="1"/>
      <c r="L30" s="1"/>
      <c r="M30" s="1"/>
      <c r="N30" s="20"/>
      <c r="O30" s="20"/>
      <c r="P30" s="20"/>
      <c r="Q30" s="1"/>
      <c r="R30" s="1"/>
      <c r="S30" s="1"/>
      <c r="T30" s="1"/>
      <c r="U30" s="1"/>
      <c r="V30" s="1"/>
      <c r="W30" s="1"/>
      <c r="X30" s="3"/>
      <c r="Y30" s="3"/>
      <c r="Z30" s="3"/>
      <c r="AA30" s="3"/>
    </row>
    <row r="31" spans="1:27" ht="16.5">
      <c r="A31" s="1"/>
      <c r="B31" s="1"/>
      <c r="C31" s="3">
        <v>30</v>
      </c>
      <c r="D31" s="3">
        <v>30</v>
      </c>
      <c r="E31" s="13" t="s">
        <v>107</v>
      </c>
      <c r="F31" s="13" t="s">
        <v>108</v>
      </c>
      <c r="G31" s="1"/>
      <c r="H31" s="1" t="s">
        <v>316</v>
      </c>
      <c r="I31" s="6" t="s">
        <v>317</v>
      </c>
      <c r="J31" s="1" t="s">
        <v>318</v>
      </c>
      <c r="K31" s="1"/>
      <c r="L31" s="1"/>
      <c r="M31" s="1"/>
      <c r="N31" s="20"/>
      <c r="O31" s="20"/>
      <c r="P31" s="20"/>
      <c r="Q31" s="1"/>
      <c r="R31" s="1"/>
      <c r="S31" s="1"/>
      <c r="T31" s="1"/>
      <c r="U31" s="1"/>
      <c r="V31" s="1"/>
      <c r="W31" s="1"/>
      <c r="X31" s="3"/>
      <c r="Y31" s="3"/>
      <c r="Z31" s="3"/>
      <c r="AA31" s="3"/>
    </row>
    <row r="32" spans="1:27" ht="16.5">
      <c r="A32" s="1"/>
      <c r="B32" s="1"/>
      <c r="C32" s="3">
        <v>31</v>
      </c>
      <c r="D32" s="3">
        <v>31</v>
      </c>
      <c r="E32" s="13" t="s">
        <v>109</v>
      </c>
      <c r="F32" s="13" t="s">
        <v>110</v>
      </c>
      <c r="G32" s="1"/>
      <c r="H32" s="1" t="s">
        <v>319</v>
      </c>
      <c r="I32" s="6" t="s">
        <v>320</v>
      </c>
      <c r="J32" s="1" t="s">
        <v>321</v>
      </c>
      <c r="K32" s="1"/>
      <c r="L32" s="1"/>
      <c r="M32" s="1"/>
      <c r="N32" s="20"/>
      <c r="O32" s="20"/>
      <c r="P32" s="20"/>
      <c r="Q32" s="1"/>
      <c r="R32" s="1"/>
      <c r="S32" s="1"/>
      <c r="T32" s="1"/>
      <c r="U32" s="1"/>
      <c r="V32" s="1"/>
      <c r="W32" s="1"/>
      <c r="X32" s="3"/>
      <c r="Y32" s="3"/>
      <c r="Z32" s="3"/>
      <c r="AA32" s="3"/>
    </row>
    <row r="33" spans="1:27" ht="16.5">
      <c r="A33" s="1"/>
      <c r="B33" s="1"/>
      <c r="C33" s="3">
        <v>32</v>
      </c>
      <c r="D33" s="3">
        <v>32</v>
      </c>
      <c r="E33" s="13" t="s">
        <v>111</v>
      </c>
      <c r="F33" s="13" t="s">
        <v>112</v>
      </c>
      <c r="G33" s="1"/>
      <c r="H33" s="1" t="s">
        <v>322</v>
      </c>
      <c r="I33" s="6" t="s">
        <v>323</v>
      </c>
      <c r="J33" s="1" t="s">
        <v>324</v>
      </c>
      <c r="K33" s="1"/>
      <c r="L33" s="1"/>
      <c r="M33" s="1"/>
      <c r="N33" s="20"/>
      <c r="O33" s="20"/>
      <c r="P33" s="20"/>
      <c r="Q33" s="1"/>
      <c r="R33" s="1"/>
      <c r="S33" s="1"/>
      <c r="T33" s="1"/>
      <c r="U33" s="1"/>
      <c r="V33" s="1"/>
      <c r="W33" s="1"/>
      <c r="X33" s="3"/>
      <c r="Y33" s="3"/>
      <c r="Z33" s="3"/>
      <c r="AA33" s="3"/>
    </row>
    <row r="34" spans="1:27" ht="16.5">
      <c r="A34" s="7"/>
      <c r="B34" s="7"/>
      <c r="C34" s="3">
        <v>33</v>
      </c>
      <c r="D34" s="3">
        <v>33</v>
      </c>
      <c r="E34" s="15" t="s">
        <v>113</v>
      </c>
      <c r="F34" s="15" t="s">
        <v>114</v>
      </c>
      <c r="G34" s="1"/>
      <c r="H34" s="1" t="s">
        <v>325</v>
      </c>
      <c r="I34" s="6" t="s">
        <v>326</v>
      </c>
      <c r="J34" s="1" t="s">
        <v>327</v>
      </c>
      <c r="K34" s="1"/>
      <c r="L34" s="1"/>
      <c r="M34" s="1"/>
      <c r="N34" s="20"/>
      <c r="O34" s="20"/>
      <c r="P34" s="20"/>
      <c r="Q34" s="1"/>
      <c r="R34" s="1"/>
      <c r="S34" s="1"/>
      <c r="T34" s="1"/>
      <c r="U34" s="1"/>
      <c r="V34" s="1"/>
      <c r="W34" s="1"/>
      <c r="X34" s="3"/>
      <c r="Y34" s="3"/>
      <c r="Z34" s="3"/>
      <c r="AA34" s="3"/>
    </row>
    <row r="35" spans="1:27" ht="16.5">
      <c r="A35" s="7"/>
      <c r="B35" s="7"/>
      <c r="C35" s="3">
        <v>34</v>
      </c>
      <c r="D35" s="3">
        <v>34</v>
      </c>
      <c r="E35" s="15" t="s">
        <v>115</v>
      </c>
      <c r="F35" s="15" t="s">
        <v>241</v>
      </c>
      <c r="G35" s="1"/>
      <c r="H35" s="1"/>
      <c r="I35" s="6"/>
      <c r="J35" s="1"/>
      <c r="K35" s="1"/>
      <c r="L35" s="1"/>
      <c r="M35" s="1"/>
      <c r="N35" s="20"/>
      <c r="O35" s="20"/>
      <c r="P35" s="20"/>
      <c r="Q35" s="1"/>
      <c r="R35" s="1"/>
      <c r="S35" s="1"/>
      <c r="T35" s="1"/>
      <c r="U35" s="1"/>
      <c r="V35" s="1"/>
      <c r="W35" s="1"/>
      <c r="X35" s="3"/>
      <c r="Y35" s="3"/>
      <c r="Z35" s="3"/>
      <c r="AA35" s="3"/>
    </row>
    <row r="36" spans="1:27" ht="16.5">
      <c r="A36" s="7"/>
      <c r="B36" s="7"/>
      <c r="C36" s="3">
        <v>35</v>
      </c>
      <c r="D36" s="3">
        <v>35</v>
      </c>
      <c r="E36" s="15" t="s">
        <v>116</v>
      </c>
      <c r="F36" s="15" t="s">
        <v>117</v>
      </c>
      <c r="G36" s="1"/>
      <c r="H36" s="1" t="s">
        <v>328</v>
      </c>
      <c r="I36" s="6"/>
      <c r="J36" s="1" t="s">
        <v>329</v>
      </c>
      <c r="K36" s="1"/>
      <c r="L36" s="1"/>
      <c r="M36" s="1"/>
      <c r="N36" s="20"/>
      <c r="O36" s="20"/>
      <c r="P36" s="20"/>
      <c r="Q36" s="1"/>
      <c r="R36" s="1"/>
      <c r="S36" s="1"/>
      <c r="T36" s="1"/>
      <c r="U36" s="1"/>
      <c r="V36" s="1"/>
      <c r="W36" s="1"/>
      <c r="X36" s="3"/>
      <c r="Y36" s="3"/>
      <c r="Z36" s="3"/>
      <c r="AA36" s="3"/>
    </row>
    <row r="37" spans="1:27" ht="16.5">
      <c r="A37" s="7"/>
      <c r="B37" s="7"/>
      <c r="C37" s="3">
        <v>36</v>
      </c>
      <c r="D37" s="3">
        <v>36</v>
      </c>
      <c r="E37" s="15" t="s">
        <v>118</v>
      </c>
      <c r="F37" s="15" t="s">
        <v>119</v>
      </c>
      <c r="G37" s="1"/>
      <c r="H37" s="1" t="s">
        <v>330</v>
      </c>
      <c r="I37" s="6"/>
      <c r="J37" s="1" t="s">
        <v>331</v>
      </c>
      <c r="K37" s="1"/>
      <c r="L37" s="1"/>
      <c r="M37" s="1"/>
      <c r="N37" s="20"/>
      <c r="O37" s="20"/>
      <c r="P37" s="20"/>
      <c r="Q37" s="1"/>
      <c r="R37" s="1"/>
      <c r="S37" s="1"/>
      <c r="T37" s="1"/>
      <c r="U37" s="1"/>
      <c r="V37" s="1"/>
      <c r="W37" s="1"/>
      <c r="X37" s="3"/>
      <c r="Y37" s="3"/>
      <c r="Z37" s="3"/>
      <c r="AA37" s="3"/>
    </row>
    <row r="38" spans="1:27" ht="16.5">
      <c r="A38" s="7"/>
      <c r="B38" s="7"/>
      <c r="C38" s="3">
        <v>37</v>
      </c>
      <c r="D38" s="3">
        <v>37</v>
      </c>
      <c r="E38" s="13" t="s">
        <v>120</v>
      </c>
      <c r="F38" s="15" t="s">
        <v>121</v>
      </c>
      <c r="G38" s="1"/>
      <c r="H38" s="1" t="s">
        <v>275</v>
      </c>
      <c r="I38" s="6"/>
      <c r="J38" s="1" t="s">
        <v>332</v>
      </c>
      <c r="K38" s="1"/>
      <c r="L38" s="1"/>
      <c r="M38" s="1"/>
      <c r="N38" s="20"/>
      <c r="O38" s="20"/>
      <c r="P38" s="20"/>
      <c r="Q38" s="1"/>
      <c r="R38" s="1"/>
      <c r="S38" s="1"/>
      <c r="T38" s="1"/>
      <c r="U38" s="1"/>
      <c r="V38" s="1"/>
      <c r="W38" s="1"/>
      <c r="X38" s="3"/>
      <c r="Y38" s="3"/>
      <c r="Z38" s="3"/>
      <c r="AA38" s="3"/>
    </row>
    <row r="39" spans="1:27" ht="16.5">
      <c r="A39" s="7"/>
      <c r="B39" s="7"/>
      <c r="C39" s="3">
        <v>38</v>
      </c>
      <c r="D39" s="3">
        <v>38</v>
      </c>
      <c r="E39" s="13" t="s">
        <v>122</v>
      </c>
      <c r="F39" s="13" t="s">
        <v>123</v>
      </c>
      <c r="G39" s="1"/>
      <c r="H39" s="1" t="s">
        <v>274</v>
      </c>
      <c r="I39" s="6"/>
      <c r="J39" s="1" t="s">
        <v>333</v>
      </c>
      <c r="K39" s="1"/>
      <c r="L39" s="1"/>
      <c r="M39" s="1"/>
      <c r="N39" s="20"/>
      <c r="O39" s="20"/>
      <c r="P39" s="20"/>
      <c r="Q39" s="1"/>
      <c r="R39" s="1"/>
      <c r="S39" s="1"/>
      <c r="T39" s="1"/>
      <c r="U39" s="1"/>
      <c r="V39" s="1"/>
      <c r="W39" s="1"/>
      <c r="X39" s="3"/>
      <c r="Y39" s="3"/>
      <c r="Z39" s="3"/>
      <c r="AA39" s="3"/>
    </row>
    <row r="40" spans="1:27" ht="16.5">
      <c r="A40" s="7"/>
      <c r="B40" s="7"/>
      <c r="C40" s="3">
        <v>39</v>
      </c>
      <c r="D40" s="3">
        <v>39</v>
      </c>
      <c r="E40" s="13" t="s">
        <v>124</v>
      </c>
      <c r="F40" s="13" t="s">
        <v>125</v>
      </c>
      <c r="G40" s="1"/>
      <c r="H40" s="1" t="s">
        <v>271</v>
      </c>
      <c r="I40" s="6"/>
      <c r="J40" s="1" t="s">
        <v>334</v>
      </c>
      <c r="K40" s="1"/>
      <c r="L40" s="1"/>
      <c r="M40" s="1"/>
      <c r="N40" s="20"/>
      <c r="O40" s="20"/>
      <c r="P40" s="20"/>
      <c r="Q40" s="1"/>
      <c r="R40" s="1"/>
      <c r="S40" s="1"/>
      <c r="T40" s="1"/>
      <c r="U40" s="1"/>
      <c r="V40" s="1"/>
      <c r="W40" s="1"/>
      <c r="X40" s="3"/>
      <c r="Y40" s="3"/>
      <c r="Z40" s="3"/>
      <c r="AA40" s="3"/>
    </row>
    <row r="41" spans="1:27" ht="16.5">
      <c r="A41" s="7"/>
      <c r="B41" s="7"/>
      <c r="C41" s="3">
        <v>40</v>
      </c>
      <c r="D41" s="3">
        <v>40</v>
      </c>
      <c r="E41" s="13" t="s">
        <v>126</v>
      </c>
      <c r="F41" s="13" t="s">
        <v>127</v>
      </c>
      <c r="G41" s="1"/>
      <c r="H41" s="1" t="s">
        <v>268</v>
      </c>
      <c r="I41" s="6" t="s">
        <v>335</v>
      </c>
      <c r="J41" s="1" t="s">
        <v>336</v>
      </c>
      <c r="K41" s="1"/>
      <c r="L41" s="1"/>
      <c r="M41" s="1"/>
      <c r="N41" s="20"/>
      <c r="O41" s="20"/>
      <c r="P41" s="20"/>
      <c r="Q41" s="1"/>
      <c r="R41" s="1"/>
      <c r="S41" s="1"/>
      <c r="T41" s="1"/>
      <c r="U41" s="1"/>
      <c r="V41" s="1"/>
      <c r="W41" s="1"/>
      <c r="X41" s="3"/>
      <c r="Y41" s="3"/>
      <c r="Z41" s="3"/>
      <c r="AA41" s="3"/>
    </row>
    <row r="42" spans="1:27" ht="16.5">
      <c r="A42" s="1"/>
      <c r="B42" s="1"/>
      <c r="C42" s="3">
        <v>41</v>
      </c>
      <c r="D42" s="3">
        <v>41</v>
      </c>
      <c r="E42" s="13" t="s">
        <v>128</v>
      </c>
      <c r="F42" s="13" t="s">
        <v>129</v>
      </c>
      <c r="G42" s="1"/>
      <c r="H42" s="1" t="s">
        <v>265</v>
      </c>
      <c r="I42" s="6" t="s">
        <v>337</v>
      </c>
      <c r="J42" s="1"/>
      <c r="K42" s="1"/>
      <c r="L42" s="1"/>
      <c r="M42" s="1"/>
      <c r="N42" s="20"/>
      <c r="O42" s="20"/>
      <c r="P42" s="20"/>
      <c r="Q42" s="1"/>
      <c r="R42" s="1"/>
      <c r="S42" s="1"/>
      <c r="T42" s="1"/>
      <c r="U42" s="1"/>
      <c r="V42" s="1"/>
      <c r="W42" s="1"/>
      <c r="X42" s="3"/>
      <c r="Y42" s="3"/>
      <c r="Z42" s="3"/>
      <c r="AA42" s="3"/>
    </row>
    <row r="43" spans="1:27" ht="16.5">
      <c r="A43" s="1"/>
      <c r="B43" s="1"/>
      <c r="C43" s="3">
        <v>42</v>
      </c>
      <c r="D43" s="3">
        <v>42</v>
      </c>
      <c r="E43" s="13" t="s">
        <v>130</v>
      </c>
      <c r="F43" s="13" t="s">
        <v>131</v>
      </c>
      <c r="G43" s="1"/>
      <c r="H43" s="1" t="s">
        <v>261</v>
      </c>
      <c r="I43" s="6" t="s">
        <v>338</v>
      </c>
      <c r="J43" s="1"/>
      <c r="K43" s="1"/>
      <c r="L43" s="1"/>
      <c r="M43" s="1"/>
      <c r="N43" s="20"/>
      <c r="O43" s="20"/>
      <c r="P43" s="20"/>
      <c r="Q43" s="1"/>
      <c r="R43" s="1"/>
      <c r="S43" s="1"/>
      <c r="T43" s="1"/>
      <c r="U43" s="1"/>
      <c r="V43" s="1"/>
      <c r="W43" s="1"/>
      <c r="X43" s="3"/>
      <c r="Y43" s="3"/>
      <c r="Z43" s="3"/>
      <c r="AA43" s="3"/>
    </row>
    <row r="44" spans="1:27" ht="16.5">
      <c r="A44" s="1"/>
      <c r="B44" s="1"/>
      <c r="C44" s="3">
        <v>43</v>
      </c>
      <c r="D44" s="3">
        <v>43</v>
      </c>
      <c r="E44" s="13" t="s">
        <v>132</v>
      </c>
      <c r="F44" s="13" t="s">
        <v>133</v>
      </c>
      <c r="G44" s="1"/>
      <c r="H44" s="1" t="s">
        <v>257</v>
      </c>
      <c r="I44" s="6" t="s">
        <v>339</v>
      </c>
      <c r="J44" s="1"/>
      <c r="K44" s="1"/>
      <c r="L44" s="1"/>
      <c r="M44" s="1"/>
      <c r="N44" s="20"/>
      <c r="O44" s="20"/>
      <c r="P44" s="20"/>
      <c r="Q44" s="1"/>
      <c r="R44" s="1"/>
      <c r="S44" s="1"/>
      <c r="T44" s="1"/>
      <c r="U44" s="1"/>
      <c r="V44" s="1"/>
      <c r="W44" s="1"/>
      <c r="X44" s="3"/>
      <c r="Y44" s="3"/>
      <c r="Z44" s="3"/>
      <c r="AA44" s="3"/>
    </row>
    <row r="45" spans="1:27" ht="16.5">
      <c r="A45" s="1"/>
      <c r="B45" s="1"/>
      <c r="C45" s="3">
        <v>44</v>
      </c>
      <c r="D45" s="3">
        <v>44</v>
      </c>
      <c r="E45" s="13" t="s">
        <v>134</v>
      </c>
      <c r="F45" s="13" t="s">
        <v>135</v>
      </c>
      <c r="G45" s="10"/>
      <c r="H45" s="1" t="s">
        <v>253</v>
      </c>
      <c r="I45" s="6" t="s">
        <v>340</v>
      </c>
      <c r="J45" s="1"/>
      <c r="K45" s="1"/>
      <c r="L45" s="1"/>
      <c r="M45" s="1"/>
      <c r="N45" s="20"/>
      <c r="O45" s="20"/>
      <c r="P45" s="20"/>
      <c r="Q45" s="10"/>
      <c r="R45" s="10"/>
      <c r="S45" s="10"/>
      <c r="T45" s="10"/>
      <c r="U45" s="10"/>
      <c r="V45" s="10"/>
      <c r="W45" s="10"/>
      <c r="X45" s="3"/>
      <c r="Y45" s="3"/>
      <c r="Z45" s="3"/>
      <c r="AA45" s="3"/>
    </row>
    <row r="46" spans="1:27" ht="16.5">
      <c r="A46" s="1">
        <v>17</v>
      </c>
      <c r="B46" s="1">
        <v>17</v>
      </c>
      <c r="C46" s="3">
        <v>45</v>
      </c>
      <c r="D46" s="3">
        <v>45</v>
      </c>
      <c r="E46" s="13" t="s">
        <v>136</v>
      </c>
      <c r="F46" s="13" t="s">
        <v>137</v>
      </c>
      <c r="G46" s="1"/>
      <c r="H46" s="1" t="s">
        <v>300</v>
      </c>
      <c r="I46" s="6" t="s">
        <v>269</v>
      </c>
      <c r="J46" s="1" t="s">
        <v>270</v>
      </c>
      <c r="K46" s="1"/>
      <c r="L46" s="1"/>
      <c r="M46" s="1"/>
      <c r="N46" s="20"/>
      <c r="O46" s="20"/>
      <c r="P46" s="20"/>
      <c r="Q46" s="1"/>
      <c r="R46" s="1"/>
      <c r="S46" s="1"/>
      <c r="T46" s="1"/>
      <c r="U46" s="1"/>
      <c r="V46" s="1"/>
      <c r="W46" s="1"/>
      <c r="X46" s="3"/>
      <c r="Y46" s="3"/>
      <c r="Z46" s="3"/>
      <c r="AA46" s="3"/>
    </row>
    <row r="47" spans="1:27" ht="16.5">
      <c r="A47" s="1">
        <v>18</v>
      </c>
      <c r="B47" s="1">
        <v>18</v>
      </c>
      <c r="C47" s="3">
        <v>46</v>
      </c>
      <c r="D47" s="3">
        <v>46</v>
      </c>
      <c r="E47" s="13" t="s">
        <v>138</v>
      </c>
      <c r="F47" s="13" t="s">
        <v>139</v>
      </c>
      <c r="G47" s="1"/>
      <c r="H47" s="1" t="s">
        <v>301</v>
      </c>
      <c r="I47" s="6" t="s">
        <v>272</v>
      </c>
      <c r="J47" s="1" t="s">
        <v>273</v>
      </c>
      <c r="K47" s="1"/>
      <c r="L47" s="1"/>
      <c r="M47" s="1"/>
      <c r="N47" s="20"/>
      <c r="O47" s="20"/>
      <c r="P47" s="20"/>
      <c r="Q47" s="1"/>
      <c r="R47" s="1"/>
      <c r="S47" s="1"/>
      <c r="T47" s="1"/>
      <c r="U47" s="1"/>
      <c r="V47" s="1"/>
      <c r="W47" s="1"/>
      <c r="X47" s="3"/>
      <c r="Y47" s="3"/>
      <c r="Z47" s="3"/>
      <c r="AA47" s="3"/>
    </row>
    <row r="48" spans="1:27" ht="16.5">
      <c r="A48" s="1">
        <v>19</v>
      </c>
      <c r="B48" s="1">
        <v>19</v>
      </c>
      <c r="C48" s="3">
        <v>47</v>
      </c>
      <c r="D48" s="3">
        <v>47</v>
      </c>
      <c r="E48" s="13" t="s">
        <v>82</v>
      </c>
      <c r="F48" s="13" t="s">
        <v>240</v>
      </c>
      <c r="G48" s="1"/>
      <c r="H48" s="1"/>
      <c r="I48" s="6"/>
      <c r="J48" s="1"/>
      <c r="K48" s="1"/>
      <c r="L48" s="1"/>
      <c r="M48" s="1"/>
      <c r="N48" s="20"/>
      <c r="O48" s="20"/>
      <c r="P48" s="20"/>
      <c r="Q48" s="1"/>
      <c r="R48" s="1"/>
      <c r="S48" s="1"/>
      <c r="T48" s="1"/>
      <c r="U48" s="1"/>
      <c r="V48" s="1"/>
      <c r="W48" s="1"/>
      <c r="X48" s="3"/>
      <c r="Y48" s="3"/>
      <c r="Z48" s="3"/>
      <c r="AA48" s="3"/>
    </row>
    <row r="49" spans="1:27" ht="16.5">
      <c r="A49" s="1">
        <v>20</v>
      </c>
      <c r="B49" s="1">
        <v>20</v>
      </c>
      <c r="C49" s="3">
        <v>48</v>
      </c>
      <c r="D49" s="3">
        <v>48</v>
      </c>
      <c r="E49" s="13" t="s">
        <v>83</v>
      </c>
      <c r="F49" s="13" t="s">
        <v>241</v>
      </c>
      <c r="G49" s="1"/>
      <c r="H49" s="1"/>
      <c r="I49" s="6"/>
      <c r="J49" s="1"/>
      <c r="K49" s="1"/>
      <c r="L49" s="1"/>
      <c r="M49" s="1"/>
      <c r="N49" s="20"/>
      <c r="O49" s="20"/>
      <c r="P49" s="20"/>
      <c r="Q49" s="1"/>
      <c r="R49" s="1"/>
      <c r="S49" s="1"/>
      <c r="T49" s="1"/>
      <c r="U49" s="1"/>
      <c r="V49" s="1"/>
      <c r="W49" s="1"/>
      <c r="X49" s="3"/>
      <c r="Y49" s="3"/>
      <c r="Z49" s="3"/>
      <c r="AA49" s="3"/>
    </row>
    <row r="50" spans="1:27" ht="16.5">
      <c r="A50" s="1">
        <v>21</v>
      </c>
      <c r="B50" s="1">
        <v>21</v>
      </c>
      <c r="C50" s="3">
        <v>49</v>
      </c>
      <c r="D50" s="3">
        <v>49</v>
      </c>
      <c r="E50" s="13" t="s">
        <v>140</v>
      </c>
      <c r="F50" s="13" t="s">
        <v>141</v>
      </c>
      <c r="G50" s="1"/>
      <c r="H50" s="1" t="s">
        <v>297</v>
      </c>
      <c r="I50" s="6" t="s">
        <v>341</v>
      </c>
      <c r="J50" s="1" t="s">
        <v>315</v>
      </c>
      <c r="K50" s="1"/>
      <c r="L50" s="1"/>
      <c r="M50" s="1"/>
      <c r="N50" s="20"/>
      <c r="O50" s="20"/>
      <c r="P50" s="20"/>
      <c r="Q50" s="1"/>
      <c r="R50" s="1"/>
      <c r="S50" s="1"/>
      <c r="T50" s="1"/>
      <c r="U50" s="1"/>
      <c r="V50" s="1"/>
      <c r="W50" s="1"/>
      <c r="X50" s="3"/>
      <c r="Y50" s="3"/>
      <c r="Z50" s="3"/>
      <c r="AA50" s="3"/>
    </row>
    <row r="51" spans="1:27" ht="16.5">
      <c r="A51" s="1">
        <v>22</v>
      </c>
      <c r="B51" s="1">
        <v>22</v>
      </c>
      <c r="C51" s="3">
        <v>50</v>
      </c>
      <c r="D51" s="3">
        <v>50</v>
      </c>
      <c r="E51" s="13" t="s">
        <v>142</v>
      </c>
      <c r="F51" s="13" t="s">
        <v>143</v>
      </c>
      <c r="G51" s="1"/>
      <c r="H51" s="1" t="s">
        <v>307</v>
      </c>
      <c r="I51" s="6" t="s">
        <v>342</v>
      </c>
      <c r="J51" s="1" t="s">
        <v>318</v>
      </c>
      <c r="K51" s="1"/>
      <c r="L51" s="1"/>
      <c r="M51" s="1"/>
      <c r="N51" s="20"/>
      <c r="O51" s="20"/>
      <c r="P51" s="20"/>
      <c r="Q51" s="1"/>
      <c r="R51" s="1"/>
      <c r="S51" s="1"/>
      <c r="T51" s="1"/>
      <c r="U51" s="1"/>
      <c r="V51" s="1"/>
      <c r="W51" s="1"/>
      <c r="X51" s="3"/>
      <c r="Y51" s="3"/>
      <c r="Z51" s="3"/>
      <c r="AA51" s="3"/>
    </row>
    <row r="52" spans="1:27" ht="16.5">
      <c r="A52" s="1">
        <v>23</v>
      </c>
      <c r="B52" s="1">
        <v>23</v>
      </c>
      <c r="C52" s="3">
        <v>51</v>
      </c>
      <c r="D52" s="3">
        <v>51</v>
      </c>
      <c r="E52" s="13" t="s">
        <v>144</v>
      </c>
      <c r="F52" s="13" t="s">
        <v>145</v>
      </c>
      <c r="G52" s="1"/>
      <c r="H52" s="1" t="s">
        <v>309</v>
      </c>
      <c r="I52" s="6" t="s">
        <v>343</v>
      </c>
      <c r="J52" s="1" t="s">
        <v>321</v>
      </c>
      <c r="K52" s="1"/>
      <c r="L52" s="1"/>
      <c r="M52" s="1"/>
      <c r="N52" s="20"/>
      <c r="O52" s="20"/>
      <c r="P52" s="20"/>
      <c r="Q52" s="1"/>
      <c r="R52" s="1"/>
      <c r="S52" s="1"/>
      <c r="T52" s="1"/>
      <c r="U52" s="1"/>
      <c r="V52" s="1"/>
      <c r="W52" s="1"/>
      <c r="X52" s="3"/>
      <c r="Y52" s="3"/>
      <c r="Z52" s="3"/>
      <c r="AA52" s="3"/>
    </row>
    <row r="53" spans="1:27" ht="16.5">
      <c r="A53" s="1">
        <v>24</v>
      </c>
      <c r="B53" s="1">
        <v>24</v>
      </c>
      <c r="C53" s="3">
        <v>52</v>
      </c>
      <c r="D53" s="3">
        <v>52</v>
      </c>
      <c r="E53" s="13" t="s">
        <v>146</v>
      </c>
      <c r="F53" s="13" t="s">
        <v>147</v>
      </c>
      <c r="G53" s="1"/>
      <c r="H53" s="1" t="s">
        <v>311</v>
      </c>
      <c r="I53" s="6" t="s">
        <v>344</v>
      </c>
      <c r="J53" s="1" t="s">
        <v>324</v>
      </c>
      <c r="K53" s="1"/>
      <c r="L53" s="1"/>
      <c r="M53" s="1"/>
      <c r="N53" s="20"/>
      <c r="O53" s="20"/>
      <c r="P53" s="20"/>
      <c r="Q53" s="1"/>
      <c r="R53" s="1"/>
      <c r="S53" s="1"/>
      <c r="T53" s="1"/>
      <c r="U53" s="1"/>
      <c r="V53" s="1"/>
      <c r="W53" s="1"/>
      <c r="X53" s="3"/>
      <c r="Y53" s="3"/>
      <c r="Z53" s="3"/>
      <c r="AA53" s="3"/>
    </row>
    <row r="54" spans="1:27" ht="16.5">
      <c r="A54" s="1">
        <v>25</v>
      </c>
      <c r="B54" s="1">
        <v>25</v>
      </c>
      <c r="C54" s="3">
        <v>53</v>
      </c>
      <c r="D54" s="3">
        <v>53</v>
      </c>
      <c r="E54" s="13" t="s">
        <v>148</v>
      </c>
      <c r="F54" s="13" t="s">
        <v>149</v>
      </c>
      <c r="G54" s="1"/>
      <c r="H54" s="1" t="s">
        <v>312</v>
      </c>
      <c r="I54" s="6" t="s">
        <v>345</v>
      </c>
      <c r="J54" s="1" t="s">
        <v>327</v>
      </c>
      <c r="K54" s="1"/>
      <c r="L54" s="1"/>
      <c r="M54" s="1"/>
      <c r="N54" s="20"/>
      <c r="O54" s="20"/>
      <c r="P54" s="20"/>
      <c r="Q54" s="1"/>
      <c r="R54" s="1"/>
      <c r="S54" s="1"/>
      <c r="T54" s="1"/>
      <c r="U54" s="1"/>
      <c r="V54" s="1"/>
      <c r="W54" s="1"/>
      <c r="X54" s="3"/>
      <c r="Y54" s="3"/>
      <c r="Z54" s="3"/>
      <c r="AA54" s="3"/>
    </row>
    <row r="55" spans="1:27" ht="16.5">
      <c r="A55" s="1">
        <v>26</v>
      </c>
      <c r="B55" s="1">
        <v>26</v>
      </c>
      <c r="C55" s="3">
        <v>54</v>
      </c>
      <c r="D55" s="3">
        <v>54</v>
      </c>
      <c r="E55" s="13" t="s">
        <v>150</v>
      </c>
      <c r="F55" s="13" t="s">
        <v>151</v>
      </c>
      <c r="G55" s="1"/>
      <c r="H55" s="1" t="s">
        <v>313</v>
      </c>
      <c r="I55" s="6" t="s">
        <v>346</v>
      </c>
      <c r="J55" s="1" t="s">
        <v>270</v>
      </c>
      <c r="K55" s="1"/>
      <c r="L55" s="1"/>
      <c r="M55" s="1"/>
      <c r="N55" s="20"/>
      <c r="O55" s="20"/>
      <c r="P55" s="20"/>
      <c r="Q55" s="1"/>
      <c r="R55" s="1"/>
      <c r="S55" s="1"/>
      <c r="T55" s="1"/>
      <c r="U55" s="1"/>
      <c r="V55" s="1"/>
      <c r="W55" s="1"/>
      <c r="X55" s="3"/>
      <c r="Y55" s="3"/>
      <c r="Z55" s="3"/>
      <c r="AA55" s="3"/>
    </row>
    <row r="56" spans="1:27" ht="16.5">
      <c r="A56" s="1">
        <v>27</v>
      </c>
      <c r="B56" s="1">
        <v>27</v>
      </c>
      <c r="C56" s="3">
        <v>55</v>
      </c>
      <c r="D56" s="3">
        <v>55</v>
      </c>
      <c r="E56" s="13" t="s">
        <v>152</v>
      </c>
      <c r="F56" s="13" t="s">
        <v>28</v>
      </c>
      <c r="G56" s="1"/>
      <c r="H56" s="1" t="s">
        <v>316</v>
      </c>
      <c r="I56" s="6" t="s">
        <v>255</v>
      </c>
      <c r="J56" s="1" t="s">
        <v>273</v>
      </c>
      <c r="K56" s="1"/>
      <c r="L56" s="1"/>
      <c r="M56" s="1"/>
      <c r="N56" s="20"/>
      <c r="O56" s="20"/>
      <c r="P56" s="20"/>
      <c r="Q56" s="1"/>
      <c r="R56" s="1"/>
      <c r="S56" s="1"/>
      <c r="T56" s="1"/>
      <c r="U56" s="1"/>
      <c r="V56" s="1"/>
      <c r="W56" s="1"/>
      <c r="X56" s="3"/>
      <c r="Y56" s="3"/>
      <c r="Z56" s="3"/>
      <c r="AA56" s="3"/>
    </row>
    <row r="57" spans="1:27" ht="16.5">
      <c r="A57" s="1">
        <v>28</v>
      </c>
      <c r="B57" s="1">
        <v>28</v>
      </c>
      <c r="C57" s="3">
        <v>56</v>
      </c>
      <c r="D57" s="3">
        <v>56</v>
      </c>
      <c r="E57" s="13" t="s">
        <v>153</v>
      </c>
      <c r="F57" s="13" t="s">
        <v>27</v>
      </c>
      <c r="G57" s="1"/>
      <c r="H57" s="1" t="s">
        <v>347</v>
      </c>
      <c r="I57" s="6" t="s">
        <v>259</v>
      </c>
      <c r="J57" s="1" t="s">
        <v>337</v>
      </c>
      <c r="K57" s="1"/>
      <c r="L57" s="1"/>
      <c r="M57" s="1"/>
      <c r="N57" s="18"/>
      <c r="O57" s="18"/>
      <c r="P57" s="18"/>
      <c r="Q57" s="1"/>
      <c r="R57" s="1"/>
      <c r="S57" s="1"/>
      <c r="T57" s="1"/>
      <c r="U57" s="1"/>
      <c r="V57" s="1"/>
      <c r="W57" s="1"/>
      <c r="X57" s="3"/>
      <c r="Y57" s="3"/>
      <c r="Z57" s="3"/>
      <c r="AA57" s="3"/>
    </row>
    <row r="58" spans="1:27" ht="16.5">
      <c r="A58" s="1">
        <v>29</v>
      </c>
      <c r="B58" s="1">
        <v>29</v>
      </c>
      <c r="C58" s="3">
        <v>57</v>
      </c>
      <c r="D58" s="3">
        <v>57</v>
      </c>
      <c r="E58" s="13" t="s">
        <v>154</v>
      </c>
      <c r="F58" s="13" t="s">
        <v>26</v>
      </c>
      <c r="G58" s="1"/>
      <c r="H58" s="1" t="s">
        <v>348</v>
      </c>
      <c r="I58" s="6" t="s">
        <v>263</v>
      </c>
      <c r="J58" s="1" t="s">
        <v>338</v>
      </c>
      <c r="K58" s="1"/>
      <c r="L58" s="1"/>
      <c r="M58" s="1"/>
      <c r="N58" s="18"/>
      <c r="O58" s="18"/>
      <c r="P58" s="18"/>
      <c r="Q58" s="1"/>
      <c r="R58" s="1"/>
      <c r="S58" s="1"/>
      <c r="T58" s="1"/>
      <c r="U58" s="1"/>
      <c r="V58" s="1"/>
      <c r="W58" s="1"/>
      <c r="X58" s="3"/>
      <c r="Y58" s="3"/>
      <c r="Z58" s="3"/>
      <c r="AA58" s="3"/>
    </row>
    <row r="59" spans="1:27" ht="16.5">
      <c r="A59" s="1">
        <v>30</v>
      </c>
      <c r="B59" s="1">
        <v>30</v>
      </c>
      <c r="C59" s="3">
        <v>58</v>
      </c>
      <c r="D59" s="3">
        <v>58</v>
      </c>
      <c r="E59" s="13" t="s">
        <v>155</v>
      </c>
      <c r="F59" s="13" t="s">
        <v>156</v>
      </c>
      <c r="G59" s="1"/>
      <c r="H59" s="1" t="s">
        <v>349</v>
      </c>
      <c r="I59" s="6" t="s">
        <v>267</v>
      </c>
      <c r="J59" s="1" t="s">
        <v>339</v>
      </c>
      <c r="K59" s="1"/>
      <c r="L59" s="1"/>
      <c r="M59" s="1"/>
      <c r="N59" s="20"/>
      <c r="O59" s="20"/>
      <c r="P59" s="20"/>
      <c r="Q59" s="1"/>
      <c r="R59" s="1"/>
      <c r="S59" s="1"/>
      <c r="T59" s="1"/>
      <c r="U59" s="1"/>
      <c r="V59" s="1"/>
      <c r="W59" s="1"/>
      <c r="X59" s="3"/>
      <c r="Y59" s="3"/>
      <c r="Z59" s="3"/>
      <c r="AA59" s="3"/>
    </row>
    <row r="60" spans="1:27" ht="16.5">
      <c r="A60" s="1">
        <v>31</v>
      </c>
      <c r="B60" s="1">
        <v>31</v>
      </c>
      <c r="C60" s="3">
        <v>59</v>
      </c>
      <c r="D60" s="3">
        <v>59</v>
      </c>
      <c r="E60" s="13" t="s">
        <v>157</v>
      </c>
      <c r="F60" s="13" t="s">
        <v>158</v>
      </c>
      <c r="G60" s="1"/>
      <c r="H60" s="7" t="s">
        <v>350</v>
      </c>
      <c r="I60" s="6" t="s">
        <v>279</v>
      </c>
      <c r="J60" s="1" t="s">
        <v>340</v>
      </c>
      <c r="K60" s="1"/>
      <c r="L60" s="1"/>
      <c r="M60" s="1"/>
      <c r="N60" s="20"/>
      <c r="O60" s="20"/>
      <c r="P60" s="20"/>
      <c r="Q60" s="1" t="s">
        <v>44</v>
      </c>
      <c r="R60" s="1"/>
      <c r="S60" s="1"/>
      <c r="T60" s="1"/>
      <c r="U60" s="1"/>
      <c r="V60" s="1"/>
      <c r="W60" s="1"/>
      <c r="X60" s="3"/>
      <c r="Y60" s="3"/>
      <c r="Z60" s="3"/>
      <c r="AA60" s="3"/>
    </row>
    <row r="61" spans="1:27" ht="16.5">
      <c r="A61" s="1">
        <v>32</v>
      </c>
      <c r="B61" s="1">
        <v>32</v>
      </c>
      <c r="C61" s="3">
        <v>60</v>
      </c>
      <c r="D61" s="3">
        <v>60</v>
      </c>
      <c r="E61" s="13" t="s">
        <v>82</v>
      </c>
      <c r="F61" s="13" t="s">
        <v>240</v>
      </c>
      <c r="G61" s="1"/>
      <c r="H61" s="1"/>
      <c r="I61" s="6"/>
      <c r="J61" s="1"/>
      <c r="K61" s="1"/>
      <c r="L61" s="1"/>
      <c r="M61" s="1"/>
      <c r="N61" s="20"/>
      <c r="O61" s="20"/>
      <c r="P61" s="20"/>
      <c r="Q61" s="1"/>
      <c r="R61" s="1"/>
      <c r="S61" s="1"/>
      <c r="T61" s="1"/>
      <c r="U61" s="1"/>
      <c r="V61" s="1"/>
      <c r="W61" s="1"/>
      <c r="X61" s="3"/>
      <c r="Y61" s="3"/>
      <c r="Z61" s="3"/>
      <c r="AA61" s="3"/>
    </row>
    <row r="62" spans="1:27" ht="16.5">
      <c r="A62" s="1"/>
      <c r="B62" s="1"/>
      <c r="C62" s="3">
        <v>61</v>
      </c>
      <c r="D62" s="3">
        <v>61</v>
      </c>
      <c r="E62" s="13" t="s">
        <v>83</v>
      </c>
      <c r="F62" s="13" t="s">
        <v>241</v>
      </c>
      <c r="G62" s="1"/>
      <c r="H62" s="1"/>
      <c r="I62" s="6"/>
      <c r="J62" s="1"/>
      <c r="K62" s="1"/>
      <c r="L62" s="1"/>
      <c r="M62" s="1"/>
      <c r="N62" s="20"/>
      <c r="O62" s="20"/>
      <c r="P62" s="20"/>
      <c r="Q62" s="1"/>
      <c r="R62" s="1"/>
      <c r="S62" s="1"/>
      <c r="T62" s="1"/>
      <c r="U62" s="1"/>
      <c r="V62" s="1"/>
      <c r="W62" s="1"/>
      <c r="X62" s="3"/>
      <c r="Y62" s="3"/>
      <c r="Z62" s="3"/>
      <c r="AA62" s="3"/>
    </row>
    <row r="63" spans="1:27" ht="16.5">
      <c r="A63" s="1">
        <v>33</v>
      </c>
      <c r="B63" s="1">
        <v>33</v>
      </c>
      <c r="C63" s="3">
        <v>62</v>
      </c>
      <c r="D63" s="3">
        <v>62</v>
      </c>
      <c r="E63" s="13" t="s">
        <v>996</v>
      </c>
      <c r="F63" s="13" t="s">
        <v>159</v>
      </c>
      <c r="G63" s="1"/>
      <c r="H63" s="1"/>
      <c r="I63" s="6"/>
      <c r="J63" s="1"/>
      <c r="K63" s="1"/>
      <c r="L63" s="1"/>
      <c r="M63" s="1"/>
      <c r="N63" s="20"/>
      <c r="O63" s="18"/>
      <c r="P63" s="18"/>
      <c r="Q63" s="1"/>
      <c r="R63" s="1"/>
      <c r="S63" s="1"/>
      <c r="T63" s="1"/>
      <c r="U63" s="1"/>
      <c r="V63" s="1"/>
      <c r="W63" s="1"/>
      <c r="X63" s="3"/>
      <c r="Y63" s="3"/>
      <c r="Z63" s="3"/>
      <c r="AA63" s="3"/>
    </row>
    <row r="64" spans="1:27" ht="16.5">
      <c r="A64" s="1">
        <v>34</v>
      </c>
      <c r="B64" s="1">
        <v>34</v>
      </c>
      <c r="C64" s="3">
        <v>63</v>
      </c>
      <c r="D64" s="3">
        <v>63</v>
      </c>
      <c r="E64" s="13" t="s">
        <v>160</v>
      </c>
      <c r="F64" s="13" t="s">
        <v>161</v>
      </c>
      <c r="G64" s="1"/>
      <c r="H64" s="1" t="s">
        <v>351</v>
      </c>
      <c r="I64" s="6" t="s">
        <v>352</v>
      </c>
      <c r="J64" s="1" t="s">
        <v>335</v>
      </c>
      <c r="K64" s="1"/>
      <c r="L64" s="1"/>
      <c r="M64" s="1"/>
      <c r="N64" s="18"/>
      <c r="O64" s="18"/>
      <c r="P64" s="18"/>
      <c r="Q64" s="1"/>
      <c r="R64" s="1"/>
      <c r="S64" s="1"/>
      <c r="T64" s="1"/>
      <c r="U64" s="1"/>
      <c r="V64" s="1"/>
      <c r="W64" s="1"/>
      <c r="X64" s="3"/>
      <c r="Y64" s="3"/>
      <c r="Z64" s="3"/>
      <c r="AA64" s="3"/>
    </row>
    <row r="65" spans="1:27" ht="16.5">
      <c r="A65" s="1">
        <v>35</v>
      </c>
      <c r="B65" s="1">
        <v>35</v>
      </c>
      <c r="C65" s="3">
        <v>64</v>
      </c>
      <c r="D65" s="3">
        <v>64</v>
      </c>
      <c r="E65" s="13" t="s">
        <v>162</v>
      </c>
      <c r="F65" s="13" t="s">
        <v>163</v>
      </c>
      <c r="G65" s="1"/>
      <c r="H65" s="1" t="s">
        <v>353</v>
      </c>
      <c r="I65" s="6" t="s">
        <v>354</v>
      </c>
      <c r="J65" s="1" t="s">
        <v>355</v>
      </c>
      <c r="K65" s="1"/>
      <c r="L65" s="1"/>
      <c r="M65" s="1"/>
      <c r="N65" s="18"/>
      <c r="O65" s="18"/>
      <c r="P65" s="18"/>
      <c r="Q65" s="1"/>
      <c r="R65" s="1"/>
      <c r="S65" s="1"/>
      <c r="T65" s="1"/>
      <c r="U65" s="1"/>
      <c r="V65" s="1"/>
      <c r="W65" s="1"/>
      <c r="X65" s="3"/>
      <c r="Y65" s="3"/>
      <c r="Z65" s="3"/>
      <c r="AA65" s="3"/>
    </row>
    <row r="66" spans="1:27" ht="16.5">
      <c r="A66" s="1">
        <v>36</v>
      </c>
      <c r="B66" s="1">
        <v>36</v>
      </c>
      <c r="C66" s="3">
        <v>65</v>
      </c>
      <c r="D66" s="3">
        <v>65</v>
      </c>
      <c r="E66" s="13" t="s">
        <v>164</v>
      </c>
      <c r="F66" s="13" t="s">
        <v>165</v>
      </c>
      <c r="G66" s="1"/>
      <c r="H66" s="1" t="s">
        <v>356</v>
      </c>
      <c r="I66" s="6" t="s">
        <v>357</v>
      </c>
      <c r="J66" s="1" t="s">
        <v>358</v>
      </c>
      <c r="K66" s="1"/>
      <c r="L66" s="1"/>
      <c r="M66" s="1"/>
      <c r="N66" s="20"/>
      <c r="O66" s="20"/>
      <c r="P66" s="20"/>
      <c r="Q66" s="1"/>
      <c r="R66" s="1"/>
      <c r="S66" s="1"/>
      <c r="T66" s="1"/>
      <c r="U66" s="1"/>
      <c r="V66" s="1"/>
      <c r="W66" s="1"/>
      <c r="X66" s="3"/>
      <c r="Y66" s="3"/>
      <c r="Z66" s="3"/>
      <c r="AA66" s="3"/>
    </row>
    <row r="67" spans="1:27" ht="16.5">
      <c r="A67" s="1"/>
      <c r="B67" s="1"/>
      <c r="C67" s="3">
        <v>66</v>
      </c>
      <c r="D67" s="3">
        <v>66</v>
      </c>
      <c r="E67" s="13" t="s">
        <v>166</v>
      </c>
      <c r="F67" s="13" t="s">
        <v>167</v>
      </c>
      <c r="G67" s="1"/>
      <c r="H67" s="1" t="s">
        <v>359</v>
      </c>
      <c r="I67" s="6" t="s">
        <v>360</v>
      </c>
      <c r="J67" s="1" t="s">
        <v>361</v>
      </c>
      <c r="K67" s="1"/>
      <c r="L67" s="1"/>
      <c r="M67" s="1"/>
      <c r="N67" s="20"/>
      <c r="O67" s="20"/>
      <c r="P67" s="20"/>
      <c r="Q67" s="1"/>
      <c r="R67" s="1"/>
      <c r="S67" s="1"/>
      <c r="T67" s="1"/>
      <c r="U67" s="1"/>
      <c r="V67" s="1"/>
      <c r="W67" s="1"/>
      <c r="X67" s="3"/>
      <c r="Y67" s="3"/>
      <c r="Z67" s="3"/>
      <c r="AA67" s="3"/>
    </row>
    <row r="68" spans="1:27" ht="16.5">
      <c r="A68" s="1">
        <v>37</v>
      </c>
      <c r="B68" s="1">
        <v>37</v>
      </c>
      <c r="C68" s="3">
        <v>67</v>
      </c>
      <c r="D68" s="3">
        <v>67</v>
      </c>
      <c r="E68" s="13" t="s">
        <v>168</v>
      </c>
      <c r="F68" s="13" t="s">
        <v>169</v>
      </c>
      <c r="G68" s="1"/>
      <c r="H68" s="1" t="s">
        <v>362</v>
      </c>
      <c r="I68" s="6" t="s">
        <v>363</v>
      </c>
      <c r="J68" s="1" t="s">
        <v>364</v>
      </c>
      <c r="K68" s="1"/>
      <c r="L68" s="1"/>
      <c r="M68" s="1"/>
      <c r="N68" s="20"/>
      <c r="O68" s="20"/>
      <c r="P68" s="20"/>
      <c r="Q68" s="1"/>
      <c r="R68" s="1"/>
      <c r="S68" s="1"/>
      <c r="T68" s="1"/>
      <c r="U68" s="1"/>
      <c r="V68" s="1"/>
      <c r="W68" s="1"/>
      <c r="X68" s="3"/>
      <c r="Y68" s="3"/>
      <c r="Z68" s="3"/>
      <c r="AA68" s="3"/>
    </row>
    <row r="69" spans="1:27" ht="16.5">
      <c r="A69" s="1"/>
      <c r="B69" s="1"/>
      <c r="C69" s="3">
        <v>68</v>
      </c>
      <c r="D69" s="3">
        <v>68</v>
      </c>
      <c r="E69" s="13" t="s">
        <v>170</v>
      </c>
      <c r="F69" s="13" t="s">
        <v>171</v>
      </c>
      <c r="G69" s="1"/>
      <c r="H69" s="1" t="s">
        <v>365</v>
      </c>
      <c r="I69" s="6" t="s">
        <v>366</v>
      </c>
      <c r="J69" s="1" t="s">
        <v>367</v>
      </c>
      <c r="K69" s="1"/>
      <c r="L69" s="1"/>
      <c r="M69" s="1"/>
      <c r="N69" s="20"/>
      <c r="O69" s="20"/>
      <c r="P69" s="20"/>
      <c r="Q69" s="1"/>
      <c r="R69" s="1"/>
      <c r="S69" s="1"/>
      <c r="T69" s="1"/>
      <c r="U69" s="1"/>
      <c r="V69" s="1"/>
      <c r="W69" s="1"/>
      <c r="X69" s="3"/>
      <c r="Y69" s="3"/>
      <c r="Z69" s="3"/>
      <c r="AA69" s="3"/>
    </row>
    <row r="70" spans="1:27" ht="16.5">
      <c r="A70" s="1"/>
      <c r="B70" s="1"/>
      <c r="C70" s="3">
        <v>69</v>
      </c>
      <c r="D70" s="3">
        <v>69</v>
      </c>
      <c r="E70" s="13" t="s">
        <v>172</v>
      </c>
      <c r="F70" s="13" t="s">
        <v>242</v>
      </c>
      <c r="G70" s="1"/>
      <c r="H70" s="1"/>
      <c r="I70" s="6"/>
      <c r="J70" s="1"/>
      <c r="K70" s="1"/>
      <c r="L70" s="1"/>
      <c r="M70" s="1"/>
      <c r="N70" s="20"/>
      <c r="O70" s="20"/>
      <c r="P70" s="20"/>
      <c r="Q70" s="1"/>
      <c r="R70" s="1"/>
      <c r="S70" s="1"/>
      <c r="T70" s="1"/>
      <c r="U70" s="1"/>
      <c r="V70" s="1"/>
      <c r="W70" s="1"/>
      <c r="X70" s="3"/>
      <c r="Y70" s="3"/>
      <c r="Z70" s="3"/>
      <c r="AA70" s="3"/>
    </row>
    <row r="71" spans="1:27" ht="16.5">
      <c r="A71" s="1">
        <v>38</v>
      </c>
      <c r="B71" s="1">
        <v>38</v>
      </c>
      <c r="C71" s="3">
        <v>70</v>
      </c>
      <c r="D71" s="3">
        <v>70</v>
      </c>
      <c r="E71" s="13" t="s">
        <v>173</v>
      </c>
      <c r="F71" s="13" t="s">
        <v>174</v>
      </c>
      <c r="G71" s="1"/>
      <c r="H71" s="1" t="s">
        <v>348</v>
      </c>
      <c r="I71" s="6" t="s">
        <v>330</v>
      </c>
      <c r="J71" s="1" t="s">
        <v>303</v>
      </c>
      <c r="K71" s="1"/>
      <c r="L71" s="1"/>
      <c r="M71" s="1"/>
      <c r="N71" s="20"/>
      <c r="O71" s="20"/>
      <c r="P71" s="20"/>
      <c r="Q71" s="1"/>
      <c r="R71" s="1"/>
      <c r="S71" s="1"/>
      <c r="T71" s="1"/>
      <c r="U71" s="1"/>
      <c r="V71" s="1"/>
      <c r="W71" s="1"/>
      <c r="X71" s="3"/>
      <c r="Y71" s="3"/>
      <c r="Z71" s="3"/>
      <c r="AA71" s="3"/>
    </row>
    <row r="72" spans="1:27" ht="16.5">
      <c r="A72" s="1"/>
      <c r="B72" s="1"/>
      <c r="C72" s="3">
        <v>71</v>
      </c>
      <c r="D72" s="3">
        <v>71</v>
      </c>
      <c r="E72" s="13" t="s">
        <v>175</v>
      </c>
      <c r="F72" s="13" t="s">
        <v>176</v>
      </c>
      <c r="G72" s="1"/>
      <c r="H72" s="1" t="s">
        <v>347</v>
      </c>
      <c r="I72" s="6" t="s">
        <v>328</v>
      </c>
      <c r="J72" s="1" t="s">
        <v>306</v>
      </c>
      <c r="K72" s="1"/>
      <c r="L72" s="1"/>
      <c r="M72" s="1"/>
      <c r="N72" s="20"/>
      <c r="O72" s="20"/>
      <c r="P72" s="20"/>
      <c r="Q72" s="1"/>
      <c r="R72" s="1"/>
      <c r="S72" s="1"/>
      <c r="T72" s="1"/>
      <c r="U72" s="1"/>
      <c r="V72" s="1"/>
      <c r="W72" s="1"/>
      <c r="X72" s="3"/>
      <c r="Y72" s="3"/>
      <c r="Z72" s="3"/>
      <c r="AA72" s="3"/>
    </row>
    <row r="73" spans="1:27" ht="16.5">
      <c r="A73" s="1"/>
      <c r="B73" s="1"/>
      <c r="C73" s="3">
        <v>72</v>
      </c>
      <c r="D73" s="3">
        <v>72</v>
      </c>
      <c r="E73" s="13" t="s">
        <v>177</v>
      </c>
      <c r="F73" s="13" t="s">
        <v>177</v>
      </c>
      <c r="G73" s="1"/>
      <c r="H73" s="1"/>
      <c r="I73" s="6"/>
      <c r="J73" s="1"/>
      <c r="K73" s="1"/>
      <c r="L73" s="1"/>
      <c r="M73" s="1"/>
      <c r="N73" s="20"/>
      <c r="O73" s="20"/>
      <c r="P73" s="20"/>
      <c r="Q73" s="1"/>
      <c r="R73" s="1"/>
      <c r="S73" s="1"/>
      <c r="T73" s="1"/>
      <c r="U73" s="1"/>
      <c r="V73" s="1"/>
      <c r="W73" s="1"/>
      <c r="X73" s="3"/>
      <c r="Y73" s="3"/>
      <c r="Z73" s="3"/>
      <c r="AA73" s="3"/>
    </row>
    <row r="74" spans="1:27" ht="16.5">
      <c r="A74" s="1"/>
      <c r="B74" s="1"/>
      <c r="C74" s="3">
        <v>73</v>
      </c>
      <c r="D74" s="3">
        <v>73</v>
      </c>
      <c r="E74" s="13" t="s">
        <v>178</v>
      </c>
      <c r="F74" s="13" t="s">
        <v>179</v>
      </c>
      <c r="G74" s="1"/>
      <c r="H74" s="1" t="s">
        <v>302</v>
      </c>
      <c r="I74" s="6" t="s">
        <v>368</v>
      </c>
      <c r="J74" s="1"/>
      <c r="K74" s="1"/>
      <c r="L74" s="1"/>
      <c r="M74" s="1"/>
      <c r="N74" s="20"/>
      <c r="O74" s="20"/>
      <c r="P74" s="20"/>
      <c r="Q74" s="1"/>
      <c r="R74" s="1"/>
      <c r="S74" s="1"/>
      <c r="T74" s="1"/>
      <c r="U74" s="1"/>
      <c r="V74" s="1"/>
      <c r="W74" s="1"/>
      <c r="X74" s="3"/>
      <c r="Y74" s="3"/>
      <c r="Z74" s="3"/>
      <c r="AA74" s="3"/>
    </row>
    <row r="75" spans="1:27" ht="16.5">
      <c r="A75" s="1">
        <v>39</v>
      </c>
      <c r="B75" s="1">
        <v>39</v>
      </c>
      <c r="C75" s="3">
        <v>74</v>
      </c>
      <c r="D75" s="3">
        <v>74</v>
      </c>
      <c r="E75" s="13" t="s">
        <v>180</v>
      </c>
      <c r="F75" s="13" t="s">
        <v>250</v>
      </c>
      <c r="G75" s="1"/>
      <c r="H75" s="1" t="s">
        <v>305</v>
      </c>
      <c r="I75" s="6" t="s">
        <v>369</v>
      </c>
      <c r="J75" s="1"/>
      <c r="K75" s="1"/>
      <c r="L75" s="1"/>
      <c r="M75" s="1"/>
      <c r="N75" s="20"/>
      <c r="O75" s="20"/>
      <c r="P75" s="20"/>
      <c r="Q75" s="1"/>
      <c r="R75" s="1"/>
      <c r="S75" s="1"/>
      <c r="T75" s="1"/>
      <c r="U75" s="1"/>
      <c r="V75" s="1"/>
      <c r="W75" s="1"/>
      <c r="X75" s="5"/>
      <c r="Y75" s="3"/>
      <c r="Z75" s="3"/>
      <c r="AA75" s="3"/>
    </row>
    <row r="76" spans="1:27" ht="16.5">
      <c r="A76" s="1">
        <v>40</v>
      </c>
      <c r="B76" s="1">
        <v>40</v>
      </c>
      <c r="C76" s="3">
        <v>75</v>
      </c>
      <c r="D76" s="3">
        <v>75</v>
      </c>
      <c r="E76" s="13" t="s">
        <v>181</v>
      </c>
      <c r="F76" s="13" t="s">
        <v>682</v>
      </c>
      <c r="G76" s="1"/>
      <c r="H76" s="1" t="s">
        <v>349</v>
      </c>
      <c r="I76" s="6" t="s">
        <v>370</v>
      </c>
      <c r="J76" s="1" t="s">
        <v>329</v>
      </c>
      <c r="K76" s="1"/>
      <c r="L76" s="1"/>
      <c r="M76" s="1"/>
      <c r="N76" s="20"/>
      <c r="O76" s="20"/>
      <c r="P76" s="20"/>
      <c r="Q76" s="1"/>
      <c r="R76" s="1"/>
      <c r="S76" s="1"/>
      <c r="T76" s="1"/>
      <c r="U76" s="1"/>
      <c r="V76" s="1"/>
      <c r="W76" s="1"/>
      <c r="X76" s="5"/>
      <c r="Y76" s="3"/>
      <c r="Z76" s="3"/>
      <c r="AA76" s="3"/>
    </row>
    <row r="77" spans="1:27" ht="16.5">
      <c r="A77" s="1"/>
      <c r="B77" s="1"/>
      <c r="C77" s="3">
        <v>76</v>
      </c>
      <c r="D77" s="3">
        <v>76</v>
      </c>
      <c r="E77" s="13" t="s">
        <v>182</v>
      </c>
      <c r="F77" s="13" t="s">
        <v>40</v>
      </c>
      <c r="G77" s="1"/>
      <c r="H77" s="1" t="s">
        <v>350</v>
      </c>
      <c r="I77" s="6" t="s">
        <v>371</v>
      </c>
      <c r="J77" s="1" t="s">
        <v>331</v>
      </c>
      <c r="K77" s="1"/>
      <c r="L77" s="1"/>
      <c r="M77" s="1"/>
      <c r="N77" s="20"/>
      <c r="O77" s="20"/>
      <c r="P77" s="20"/>
      <c r="Q77" s="1"/>
      <c r="R77" s="1"/>
      <c r="S77" s="1"/>
      <c r="T77" s="1"/>
      <c r="U77" s="1"/>
      <c r="V77" s="1"/>
      <c r="W77" s="1"/>
      <c r="X77" s="3"/>
      <c r="Y77" s="3"/>
      <c r="Z77" s="3"/>
      <c r="AA77" s="3"/>
    </row>
    <row r="78" spans="1:27" ht="16.5">
      <c r="A78" s="1">
        <v>41</v>
      </c>
      <c r="B78" s="1">
        <v>41</v>
      </c>
      <c r="C78" s="3">
        <v>77</v>
      </c>
      <c r="D78" s="3">
        <v>77</v>
      </c>
      <c r="E78" s="13" t="s">
        <v>251</v>
      </c>
      <c r="F78" s="13" t="s">
        <v>251</v>
      </c>
      <c r="G78" s="1"/>
      <c r="H78" s="1" t="s">
        <v>372</v>
      </c>
      <c r="I78" s="6" t="s">
        <v>351</v>
      </c>
      <c r="J78" s="1" t="s">
        <v>352</v>
      </c>
      <c r="K78" s="1"/>
      <c r="L78" s="1"/>
      <c r="M78" s="1"/>
      <c r="N78" s="20"/>
      <c r="O78" s="20"/>
      <c r="P78" s="20"/>
      <c r="Q78" s="1"/>
      <c r="R78" s="1"/>
      <c r="S78" s="1"/>
      <c r="T78" s="1"/>
      <c r="U78" s="1"/>
      <c r="V78" s="1"/>
      <c r="W78" s="1"/>
      <c r="X78" s="3"/>
      <c r="Y78" s="3"/>
      <c r="Z78" s="3"/>
      <c r="AA78" s="3"/>
    </row>
    <row r="79" spans="1:27" ht="16.5">
      <c r="A79" s="1"/>
      <c r="B79" s="1"/>
      <c r="C79" s="3">
        <v>78</v>
      </c>
      <c r="D79" s="3">
        <v>78</v>
      </c>
      <c r="E79" s="13" t="s">
        <v>183</v>
      </c>
      <c r="F79" s="13" t="s">
        <v>25</v>
      </c>
      <c r="G79" s="1"/>
      <c r="H79" s="1" t="s">
        <v>373</v>
      </c>
      <c r="I79" s="6" t="s">
        <v>353</v>
      </c>
      <c r="J79" s="1" t="s">
        <v>354</v>
      </c>
      <c r="K79" s="1"/>
      <c r="L79" s="1"/>
      <c r="M79" s="1"/>
      <c r="N79" s="20"/>
      <c r="O79" s="20"/>
      <c r="P79" s="20"/>
      <c r="Q79" s="1"/>
      <c r="R79" s="1"/>
      <c r="S79" s="1"/>
      <c r="T79" s="1"/>
      <c r="U79" s="1"/>
      <c r="V79" s="1"/>
      <c r="W79" s="1"/>
      <c r="X79" s="3"/>
      <c r="Y79" s="3"/>
      <c r="Z79" s="3"/>
      <c r="AA79" s="3"/>
    </row>
    <row r="80" spans="1:27" ht="16.5">
      <c r="A80" s="1"/>
      <c r="B80" s="1"/>
      <c r="C80" s="3">
        <v>79</v>
      </c>
      <c r="D80" s="3">
        <v>79</v>
      </c>
      <c r="E80" s="13" t="s">
        <v>184</v>
      </c>
      <c r="F80" s="13" t="s">
        <v>24</v>
      </c>
      <c r="G80" s="1"/>
      <c r="H80" s="1" t="s">
        <v>374</v>
      </c>
      <c r="I80" s="6" t="s">
        <v>356</v>
      </c>
      <c r="J80" s="1" t="s">
        <v>357</v>
      </c>
      <c r="K80" s="1"/>
      <c r="L80" s="1"/>
      <c r="M80" s="1"/>
      <c r="N80" s="20"/>
      <c r="O80" s="20"/>
      <c r="P80" s="20"/>
      <c r="Q80" s="1"/>
      <c r="R80" s="1"/>
      <c r="S80" s="1"/>
      <c r="T80" s="1"/>
      <c r="U80" s="1"/>
      <c r="V80" s="1"/>
      <c r="W80" s="1"/>
      <c r="X80" s="3"/>
      <c r="Y80" s="3"/>
      <c r="Z80" s="3"/>
      <c r="AA80" s="3"/>
    </row>
    <row r="81" spans="1:27" ht="16.5">
      <c r="A81" s="1"/>
      <c r="B81" s="1"/>
      <c r="C81" s="3">
        <v>80</v>
      </c>
      <c r="D81" s="3">
        <v>80</v>
      </c>
      <c r="E81" s="13" t="s">
        <v>185</v>
      </c>
      <c r="F81" s="13" t="s">
        <v>23</v>
      </c>
      <c r="G81" s="1"/>
      <c r="H81" s="1" t="s">
        <v>375</v>
      </c>
      <c r="I81" s="6" t="s">
        <v>359</v>
      </c>
      <c r="J81" s="1" t="s">
        <v>360</v>
      </c>
      <c r="K81" s="1"/>
      <c r="L81" s="1"/>
      <c r="M81" s="1"/>
      <c r="N81" s="20"/>
      <c r="O81" s="20"/>
      <c r="P81" s="20"/>
      <c r="Q81" s="1"/>
      <c r="R81" s="1"/>
      <c r="S81" s="1"/>
      <c r="T81" s="1"/>
      <c r="U81" s="1"/>
      <c r="V81" s="1"/>
      <c r="W81" s="1"/>
      <c r="X81" s="3"/>
      <c r="Y81" s="3"/>
      <c r="Z81" s="3"/>
      <c r="AA81" s="3"/>
    </row>
    <row r="82" spans="1:27" ht="16.5">
      <c r="A82" s="1">
        <v>42</v>
      </c>
      <c r="B82" s="1">
        <v>42</v>
      </c>
      <c r="C82" s="3">
        <v>81</v>
      </c>
      <c r="D82" s="3">
        <v>81</v>
      </c>
      <c r="E82" s="13" t="s">
        <v>186</v>
      </c>
      <c r="F82" s="13" t="s">
        <v>21</v>
      </c>
      <c r="G82" s="1"/>
      <c r="H82" s="1" t="s">
        <v>376</v>
      </c>
      <c r="I82" s="6" t="s">
        <v>362</v>
      </c>
      <c r="J82" s="1" t="s">
        <v>363</v>
      </c>
      <c r="K82" s="1"/>
      <c r="L82" s="1"/>
      <c r="M82" s="1"/>
      <c r="N82" s="20"/>
      <c r="O82" s="20"/>
      <c r="P82" s="20"/>
      <c r="Q82" s="1"/>
      <c r="R82" s="1"/>
      <c r="S82" s="1"/>
      <c r="T82" s="1"/>
      <c r="U82" s="1"/>
      <c r="V82" s="1"/>
      <c r="W82" s="1"/>
      <c r="X82" s="5"/>
      <c r="Y82" s="3"/>
      <c r="Z82" s="3"/>
      <c r="AA82" s="3"/>
    </row>
    <row r="83" spans="1:27" ht="16.5">
      <c r="A83" s="1">
        <v>43</v>
      </c>
      <c r="B83" s="1">
        <v>43</v>
      </c>
      <c r="C83" s="3">
        <v>82</v>
      </c>
      <c r="D83" s="3">
        <v>82</v>
      </c>
      <c r="E83" s="13" t="s">
        <v>187</v>
      </c>
      <c r="F83" s="13" t="s">
        <v>188</v>
      </c>
      <c r="G83" s="1"/>
      <c r="H83" s="1" t="s">
        <v>377</v>
      </c>
      <c r="I83" s="6" t="s">
        <v>365</v>
      </c>
      <c r="J83" s="1" t="s">
        <v>366</v>
      </c>
      <c r="K83" s="1"/>
      <c r="L83" s="1"/>
      <c r="M83" s="1"/>
      <c r="N83" s="20"/>
      <c r="O83" s="20"/>
      <c r="P83" s="20"/>
      <c r="Q83" s="1"/>
      <c r="R83" s="1"/>
      <c r="S83" s="1"/>
      <c r="T83" s="1"/>
      <c r="U83" s="1"/>
      <c r="V83" s="1"/>
      <c r="W83" s="1"/>
      <c r="X83" s="5"/>
      <c r="Y83" s="3"/>
      <c r="Z83" s="3"/>
      <c r="AA83" s="3"/>
    </row>
    <row r="84" spans="1:27" ht="16.5">
      <c r="A84" s="1"/>
      <c r="B84" s="1"/>
      <c r="C84" s="3">
        <v>83</v>
      </c>
      <c r="D84" s="3">
        <v>83</v>
      </c>
      <c r="E84" s="13" t="s">
        <v>82</v>
      </c>
      <c r="F84" s="13" t="s">
        <v>240</v>
      </c>
      <c r="G84" s="1"/>
      <c r="H84" s="1"/>
      <c r="I84" s="6"/>
      <c r="J84" s="1"/>
      <c r="K84" s="1"/>
      <c r="L84" s="1"/>
      <c r="M84" s="1"/>
      <c r="N84" s="20"/>
      <c r="O84" s="20"/>
      <c r="P84" s="20"/>
      <c r="Q84" s="1"/>
      <c r="R84" s="1"/>
      <c r="S84" s="1"/>
      <c r="T84" s="1"/>
      <c r="U84" s="1"/>
      <c r="V84" s="1"/>
      <c r="W84" s="1"/>
      <c r="X84" s="3"/>
      <c r="Y84" s="3"/>
      <c r="Z84" s="3"/>
      <c r="AA84" s="3"/>
    </row>
    <row r="85" spans="1:27" ht="16.5">
      <c r="A85" s="1"/>
      <c r="B85" s="1"/>
      <c r="C85" s="3">
        <v>84</v>
      </c>
      <c r="D85" s="3">
        <v>84</v>
      </c>
      <c r="E85" s="13" t="s">
        <v>83</v>
      </c>
      <c r="F85" s="13" t="s">
        <v>241</v>
      </c>
      <c r="G85" s="1"/>
      <c r="H85" s="1"/>
      <c r="I85" s="6"/>
      <c r="J85" s="1"/>
      <c r="K85" s="1"/>
      <c r="L85" s="1"/>
      <c r="M85" s="1"/>
      <c r="N85" s="20"/>
      <c r="O85" s="20"/>
      <c r="P85" s="20"/>
      <c r="Q85" s="1"/>
      <c r="R85" s="1"/>
      <c r="S85" s="1"/>
      <c r="T85" s="1"/>
      <c r="U85" s="1"/>
      <c r="V85" s="1"/>
      <c r="W85" s="1"/>
      <c r="X85" s="3"/>
      <c r="Y85" s="3"/>
      <c r="Z85" s="3"/>
      <c r="AA85" s="3"/>
    </row>
    <row r="86" spans="1:27" ht="16.5">
      <c r="A86" s="1"/>
      <c r="B86" s="1"/>
      <c r="C86" s="3">
        <v>85</v>
      </c>
      <c r="D86" s="3">
        <v>85</v>
      </c>
      <c r="E86" s="13" t="s">
        <v>189</v>
      </c>
      <c r="F86" s="13" t="s">
        <v>190</v>
      </c>
      <c r="G86" s="1"/>
      <c r="H86" s="1" t="s">
        <v>377</v>
      </c>
      <c r="I86" s="6" t="s">
        <v>378</v>
      </c>
      <c r="J86" s="1" t="s">
        <v>351</v>
      </c>
      <c r="K86" s="1"/>
      <c r="L86" s="1"/>
      <c r="M86" s="1"/>
      <c r="N86" s="20"/>
      <c r="O86" s="20"/>
      <c r="P86" s="20"/>
      <c r="Q86" s="1"/>
      <c r="R86" s="1"/>
      <c r="S86" s="1"/>
      <c r="T86" s="1"/>
      <c r="U86" s="1"/>
      <c r="V86" s="1"/>
      <c r="W86" s="1"/>
      <c r="X86" s="3"/>
      <c r="Y86" s="3"/>
      <c r="Z86" s="3"/>
      <c r="AA86" s="3"/>
    </row>
    <row r="87" spans="1:27" ht="16.5">
      <c r="A87" s="1"/>
      <c r="B87" s="1"/>
      <c r="C87" s="3">
        <v>86</v>
      </c>
      <c r="D87" s="3">
        <v>86</v>
      </c>
      <c r="E87" s="13" t="s">
        <v>191</v>
      </c>
      <c r="F87" s="13" t="s">
        <v>192</v>
      </c>
      <c r="G87" s="1"/>
      <c r="H87" s="1" t="s">
        <v>376</v>
      </c>
      <c r="I87" s="6" t="s">
        <v>379</v>
      </c>
      <c r="J87" s="1" t="s">
        <v>353</v>
      </c>
      <c r="K87" s="1"/>
      <c r="L87" s="1"/>
      <c r="M87" s="1"/>
      <c r="N87" s="20"/>
      <c r="O87" s="20"/>
      <c r="P87" s="20"/>
      <c r="Q87" s="1"/>
      <c r="R87" s="1"/>
      <c r="S87" s="1"/>
      <c r="T87" s="1"/>
      <c r="U87" s="1"/>
      <c r="V87" s="1"/>
      <c r="W87" s="1"/>
      <c r="X87" s="3"/>
      <c r="Y87" s="3"/>
      <c r="Z87" s="3"/>
      <c r="AA87" s="3"/>
    </row>
    <row r="88" spans="1:27" ht="16.5">
      <c r="A88" s="1"/>
      <c r="B88" s="1"/>
      <c r="C88" s="3">
        <v>87</v>
      </c>
      <c r="D88" s="3">
        <v>87</v>
      </c>
      <c r="E88" s="13" t="s">
        <v>193</v>
      </c>
      <c r="F88" s="13" t="s">
        <v>194</v>
      </c>
      <c r="G88" s="1"/>
      <c r="H88" s="1" t="s">
        <v>375</v>
      </c>
      <c r="I88" s="6" t="s">
        <v>380</v>
      </c>
      <c r="J88" s="1" t="s">
        <v>356</v>
      </c>
      <c r="K88" s="1"/>
      <c r="L88" s="1"/>
      <c r="M88" s="1"/>
      <c r="N88" s="20"/>
      <c r="O88" s="20"/>
      <c r="P88" s="20"/>
      <c r="Q88" s="1"/>
      <c r="R88" s="1"/>
      <c r="S88" s="1"/>
      <c r="T88" s="1"/>
      <c r="U88" s="1"/>
      <c r="V88" s="1"/>
      <c r="W88" s="1"/>
      <c r="X88" s="3"/>
      <c r="Y88" s="3"/>
      <c r="Z88" s="3"/>
      <c r="AA88" s="3"/>
    </row>
    <row r="89" spans="1:27" ht="16.5">
      <c r="A89" s="1"/>
      <c r="B89" s="1"/>
      <c r="C89" s="3">
        <v>88</v>
      </c>
      <c r="D89" s="3">
        <v>88</v>
      </c>
      <c r="E89" s="13" t="s">
        <v>195</v>
      </c>
      <c r="F89" s="13" t="s">
        <v>196</v>
      </c>
      <c r="G89" s="1"/>
      <c r="H89" s="1" t="s">
        <v>374</v>
      </c>
      <c r="I89" s="6" t="s">
        <v>381</v>
      </c>
      <c r="J89" s="1" t="s">
        <v>359</v>
      </c>
      <c r="K89" s="1"/>
      <c r="L89" s="1"/>
      <c r="M89" s="1"/>
      <c r="N89" s="20"/>
      <c r="O89" s="20"/>
      <c r="P89" s="20"/>
      <c r="Q89" s="1"/>
      <c r="R89" s="1"/>
      <c r="S89" s="1"/>
      <c r="T89" s="1"/>
      <c r="U89" s="1"/>
      <c r="V89" s="1"/>
      <c r="W89" s="1"/>
      <c r="X89" s="3"/>
      <c r="Y89" s="3"/>
      <c r="Z89" s="3"/>
      <c r="AA89" s="3"/>
    </row>
    <row r="90" spans="1:27" ht="16.5">
      <c r="A90" s="1"/>
      <c r="B90" s="1"/>
      <c r="C90" s="3">
        <v>89</v>
      </c>
      <c r="D90" s="3">
        <v>89</v>
      </c>
      <c r="E90" s="13" t="s">
        <v>197</v>
      </c>
      <c r="F90" s="13" t="s">
        <v>198</v>
      </c>
      <c r="G90" s="1"/>
      <c r="H90" s="1" t="s">
        <v>373</v>
      </c>
      <c r="I90" s="6" t="s">
        <v>382</v>
      </c>
      <c r="J90" s="1" t="s">
        <v>362</v>
      </c>
      <c r="K90" s="1"/>
      <c r="L90" s="1"/>
      <c r="M90" s="1"/>
      <c r="N90" s="20"/>
      <c r="O90" s="20"/>
      <c r="P90" s="20"/>
      <c r="Q90" s="1"/>
      <c r="R90" s="1"/>
      <c r="S90" s="1"/>
      <c r="T90" s="1"/>
      <c r="U90" s="1"/>
      <c r="V90" s="1"/>
      <c r="W90" s="1"/>
      <c r="X90" s="3"/>
      <c r="Y90" s="3"/>
      <c r="Z90" s="3"/>
      <c r="AA90" s="3"/>
    </row>
    <row r="91" spans="1:27" ht="16.5">
      <c r="A91" s="1"/>
      <c r="B91" s="1"/>
      <c r="C91" s="3">
        <v>90</v>
      </c>
      <c r="D91" s="3">
        <v>90</v>
      </c>
      <c r="E91" s="13" t="s">
        <v>199</v>
      </c>
      <c r="F91" s="13" t="s">
        <v>200</v>
      </c>
      <c r="G91" s="1"/>
      <c r="H91" s="1" t="s">
        <v>372</v>
      </c>
      <c r="I91" s="6" t="s">
        <v>383</v>
      </c>
      <c r="J91" s="1" t="s">
        <v>365</v>
      </c>
      <c r="K91" s="1"/>
      <c r="L91" s="1"/>
      <c r="M91" s="1"/>
      <c r="N91" s="20"/>
      <c r="O91" s="20"/>
      <c r="P91" s="20"/>
      <c r="Q91" s="1"/>
      <c r="R91" s="1"/>
      <c r="S91" s="1"/>
      <c r="T91" s="1"/>
      <c r="U91" s="1"/>
      <c r="V91" s="1"/>
      <c r="W91" s="1"/>
      <c r="X91" s="3"/>
      <c r="Y91" s="3"/>
      <c r="Z91" s="3"/>
      <c r="AA91" s="3"/>
    </row>
    <row r="92" spans="1:27" ht="16.5">
      <c r="A92" s="1"/>
      <c r="B92" s="1"/>
      <c r="C92" s="3">
        <v>91</v>
      </c>
      <c r="D92" s="3">
        <v>91</v>
      </c>
      <c r="E92" s="13" t="s">
        <v>201</v>
      </c>
      <c r="F92" s="13" t="s">
        <v>202</v>
      </c>
      <c r="G92" s="1"/>
      <c r="H92" s="1"/>
      <c r="I92" s="6" t="s">
        <v>384</v>
      </c>
      <c r="J92" s="1"/>
      <c r="K92" s="1"/>
      <c r="L92" s="1"/>
      <c r="M92" s="1"/>
      <c r="N92" s="20"/>
      <c r="O92" s="20"/>
      <c r="P92" s="20"/>
      <c r="Q92" s="1"/>
      <c r="R92" s="1"/>
      <c r="S92" s="1"/>
      <c r="T92" s="1"/>
      <c r="U92" s="1"/>
      <c r="V92" s="1"/>
      <c r="W92" s="1"/>
      <c r="X92" s="3"/>
      <c r="Y92" s="3"/>
      <c r="Z92" s="3"/>
      <c r="AA92" s="3"/>
    </row>
    <row r="93" spans="1:27" ht="16.5">
      <c r="A93" s="1">
        <v>44</v>
      </c>
      <c r="B93" s="1">
        <v>44</v>
      </c>
      <c r="C93" s="3">
        <v>92</v>
      </c>
      <c r="D93" s="3">
        <v>92</v>
      </c>
      <c r="E93" s="13" t="s">
        <v>203</v>
      </c>
      <c r="F93" s="13" t="s">
        <v>39</v>
      </c>
      <c r="G93" s="1"/>
      <c r="H93" s="1"/>
      <c r="I93" s="6" t="s">
        <v>302</v>
      </c>
      <c r="J93" s="1" t="s">
        <v>270</v>
      </c>
      <c r="K93" s="1"/>
      <c r="L93" s="1"/>
      <c r="M93" s="1"/>
      <c r="N93" s="20"/>
      <c r="O93" s="20"/>
      <c r="P93" s="20"/>
      <c r="Q93" s="1"/>
      <c r="R93" s="1"/>
      <c r="S93" s="1"/>
      <c r="T93" s="1"/>
      <c r="U93" s="1"/>
      <c r="V93" s="1"/>
      <c r="W93" s="1"/>
      <c r="X93" s="3"/>
      <c r="Y93" s="3"/>
      <c r="Z93" s="3"/>
      <c r="AA93" s="3"/>
    </row>
    <row r="94" spans="1:27" ht="16.5">
      <c r="A94" s="1"/>
      <c r="B94" s="1"/>
      <c r="C94" s="3">
        <v>93</v>
      </c>
      <c r="D94" s="3">
        <v>93</v>
      </c>
      <c r="E94" s="13" t="s">
        <v>204</v>
      </c>
      <c r="F94" s="13" t="s">
        <v>38</v>
      </c>
      <c r="G94" s="1"/>
      <c r="H94" s="1"/>
      <c r="I94" s="6" t="s">
        <v>305</v>
      </c>
      <c r="J94" s="1" t="s">
        <v>273</v>
      </c>
      <c r="K94" s="1"/>
      <c r="L94" s="1"/>
      <c r="M94" s="1"/>
      <c r="N94" s="20"/>
      <c r="O94" s="20"/>
      <c r="P94" s="20"/>
      <c r="Q94" s="1"/>
      <c r="R94" s="1"/>
      <c r="S94" s="1"/>
      <c r="T94" s="1"/>
      <c r="U94" s="1"/>
      <c r="V94" s="1"/>
      <c r="W94" s="1"/>
      <c r="X94" s="3"/>
      <c r="Y94" s="3"/>
      <c r="Z94" s="3"/>
      <c r="AA94" s="3"/>
    </row>
    <row r="95" spans="1:27" ht="16.5">
      <c r="A95" s="1">
        <v>45</v>
      </c>
      <c r="B95" s="1">
        <v>45</v>
      </c>
      <c r="C95" s="3">
        <v>94</v>
      </c>
      <c r="D95" s="3">
        <v>94</v>
      </c>
      <c r="E95" s="13" t="s">
        <v>205</v>
      </c>
      <c r="F95" s="13" t="s">
        <v>37</v>
      </c>
      <c r="G95" s="1"/>
      <c r="H95" s="1"/>
      <c r="I95" s="6"/>
      <c r="J95" s="1" t="s">
        <v>368</v>
      </c>
      <c r="K95" s="1"/>
      <c r="L95" s="1"/>
      <c r="M95" s="1"/>
      <c r="N95" s="20"/>
      <c r="O95" s="20"/>
      <c r="P95" s="20"/>
      <c r="Q95" s="1"/>
      <c r="R95" s="1"/>
      <c r="S95" s="1"/>
      <c r="T95" s="1"/>
      <c r="U95" s="1"/>
      <c r="V95" s="1"/>
      <c r="W95" s="1"/>
      <c r="X95" s="3"/>
      <c r="Y95" s="3"/>
      <c r="Z95" s="3"/>
      <c r="AA95" s="3"/>
    </row>
    <row r="96" spans="1:27" ht="16.5">
      <c r="A96" s="1">
        <v>46</v>
      </c>
      <c r="B96" s="1">
        <v>46</v>
      </c>
      <c r="C96" s="3">
        <v>95</v>
      </c>
      <c r="D96" s="3">
        <v>95</v>
      </c>
      <c r="E96" s="13" t="s">
        <v>206</v>
      </c>
      <c r="F96" s="13" t="s">
        <v>36</v>
      </c>
      <c r="G96" s="1"/>
      <c r="H96" s="1"/>
      <c r="I96" s="6" t="s">
        <v>385</v>
      </c>
      <c r="J96" s="1" t="s">
        <v>369</v>
      </c>
      <c r="K96" s="1"/>
      <c r="L96" s="1"/>
      <c r="M96" s="1"/>
      <c r="N96" s="20"/>
      <c r="O96" s="20"/>
      <c r="P96" s="20"/>
      <c r="Q96" s="2"/>
      <c r="R96" s="2"/>
      <c r="S96" s="2"/>
      <c r="T96" s="2"/>
      <c r="U96" s="2"/>
      <c r="V96" s="2"/>
      <c r="W96" s="2"/>
      <c r="X96" s="3"/>
      <c r="Y96" s="3"/>
      <c r="Z96" s="3"/>
      <c r="AA96" s="3"/>
    </row>
    <row r="97" spans="1:27" ht="16.5">
      <c r="A97" s="1">
        <v>47</v>
      </c>
      <c r="B97" s="1">
        <v>47</v>
      </c>
      <c r="C97" s="3">
        <v>96</v>
      </c>
      <c r="D97" s="3">
        <v>96</v>
      </c>
      <c r="E97" s="13" t="s">
        <v>207</v>
      </c>
      <c r="F97" s="13" t="s">
        <v>35</v>
      </c>
      <c r="G97" s="1"/>
      <c r="H97" s="1" t="s">
        <v>386</v>
      </c>
      <c r="I97" s="6" t="s">
        <v>387</v>
      </c>
      <c r="J97" s="1" t="s">
        <v>358</v>
      </c>
      <c r="K97" s="1"/>
      <c r="L97" s="1"/>
      <c r="M97" s="1"/>
      <c r="N97" s="20"/>
      <c r="O97" s="20"/>
      <c r="P97" s="20"/>
      <c r="Q97" s="2"/>
      <c r="R97" s="2"/>
      <c r="S97" s="2"/>
      <c r="T97" s="2"/>
      <c r="U97" s="2"/>
      <c r="V97" s="2"/>
      <c r="W97" s="2"/>
      <c r="X97" s="3"/>
      <c r="Y97" s="3"/>
      <c r="Z97" s="3"/>
      <c r="AA97" s="3"/>
    </row>
    <row r="98" spans="1:27" ht="16.5">
      <c r="A98" s="1">
        <v>48</v>
      </c>
      <c r="B98" s="1">
        <v>48</v>
      </c>
      <c r="C98" s="3">
        <v>97</v>
      </c>
      <c r="D98" s="3">
        <v>97</v>
      </c>
      <c r="E98" s="13" t="s">
        <v>208</v>
      </c>
      <c r="F98" s="13" t="s">
        <v>34</v>
      </c>
      <c r="G98" s="1"/>
      <c r="H98" s="1" t="s">
        <v>388</v>
      </c>
      <c r="I98" s="6" t="s">
        <v>389</v>
      </c>
      <c r="J98" s="1" t="s">
        <v>361</v>
      </c>
      <c r="K98" s="1"/>
      <c r="L98" s="1"/>
      <c r="M98" s="1"/>
      <c r="N98" s="20"/>
      <c r="O98" s="20"/>
      <c r="P98" s="20"/>
      <c r="Q98" s="2"/>
      <c r="R98" s="2"/>
      <c r="S98" s="2"/>
      <c r="T98" s="2"/>
      <c r="U98" s="2"/>
      <c r="V98" s="2"/>
      <c r="W98" s="2"/>
      <c r="X98" s="3"/>
      <c r="Y98" s="3"/>
      <c r="Z98" s="3"/>
      <c r="AA98" s="3"/>
    </row>
    <row r="99" spans="1:27" ht="16.5">
      <c r="A99" s="1">
        <v>49</v>
      </c>
      <c r="B99" s="1">
        <v>49</v>
      </c>
      <c r="C99" s="3">
        <v>98</v>
      </c>
      <c r="D99" s="3">
        <v>98</v>
      </c>
      <c r="E99" s="13" t="s">
        <v>209</v>
      </c>
      <c r="F99" s="13" t="s">
        <v>33</v>
      </c>
      <c r="G99" s="1"/>
      <c r="H99" s="1" t="s">
        <v>390</v>
      </c>
      <c r="I99" s="6" t="s">
        <v>391</v>
      </c>
      <c r="J99" s="1" t="s">
        <v>364</v>
      </c>
      <c r="K99" s="1"/>
      <c r="L99" s="1"/>
      <c r="M99" s="1"/>
      <c r="N99" s="20"/>
      <c r="O99" s="20"/>
      <c r="P99" s="20"/>
      <c r="Q99" s="2"/>
      <c r="R99" s="2"/>
      <c r="S99" s="2"/>
      <c r="T99" s="2"/>
      <c r="U99" s="2"/>
      <c r="V99" s="2"/>
      <c r="W99" s="2"/>
      <c r="X99" s="3"/>
      <c r="Y99" s="3"/>
      <c r="Z99" s="3"/>
      <c r="AA99" s="3"/>
    </row>
    <row r="100" spans="1:27" ht="16.5">
      <c r="A100" s="1">
        <v>50</v>
      </c>
      <c r="B100" s="1">
        <v>50</v>
      </c>
      <c r="C100" s="3">
        <v>99</v>
      </c>
      <c r="D100" s="3">
        <v>99</v>
      </c>
      <c r="E100" s="13" t="s">
        <v>210</v>
      </c>
      <c r="F100" s="13" t="s">
        <v>211</v>
      </c>
      <c r="G100" s="1"/>
      <c r="H100" s="1" t="s">
        <v>392</v>
      </c>
      <c r="I100" s="6" t="s">
        <v>393</v>
      </c>
      <c r="J100" s="1" t="s">
        <v>367</v>
      </c>
      <c r="K100" s="1"/>
      <c r="L100" s="1"/>
      <c r="M100" s="1"/>
      <c r="N100" s="20"/>
      <c r="O100" s="20"/>
      <c r="P100" s="20"/>
      <c r="Q100" s="2"/>
      <c r="R100" s="2"/>
      <c r="S100" s="2"/>
      <c r="T100" s="2"/>
      <c r="U100" s="2"/>
      <c r="V100" s="2"/>
      <c r="W100" s="2"/>
      <c r="X100" s="3"/>
      <c r="Y100" s="3"/>
      <c r="Z100" s="3"/>
      <c r="AA100" s="3"/>
    </row>
    <row r="101" spans="1:27" ht="16.5">
      <c r="A101" s="1">
        <v>51</v>
      </c>
      <c r="B101" s="1">
        <v>51</v>
      </c>
      <c r="C101" s="3">
        <v>100</v>
      </c>
      <c r="D101" s="3">
        <v>100</v>
      </c>
      <c r="E101" s="13" t="s">
        <v>212</v>
      </c>
      <c r="F101" s="13" t="s">
        <v>213</v>
      </c>
      <c r="G101" s="1"/>
      <c r="H101" s="1" t="s">
        <v>386</v>
      </c>
      <c r="I101" s="6" t="s">
        <v>394</v>
      </c>
      <c r="J101" s="1" t="s">
        <v>355</v>
      </c>
      <c r="K101" s="1"/>
      <c r="L101" s="1"/>
      <c r="M101" s="1"/>
      <c r="N101" s="20"/>
      <c r="O101" s="20"/>
      <c r="P101" s="20"/>
      <c r="Q101" s="2"/>
      <c r="R101" s="2"/>
      <c r="S101" s="2"/>
      <c r="T101" s="2"/>
      <c r="U101" s="2"/>
      <c r="V101" s="2"/>
      <c r="W101" s="2"/>
      <c r="X101" s="3"/>
      <c r="Y101" s="3"/>
      <c r="Z101" s="3"/>
      <c r="AA101" s="3"/>
    </row>
    <row r="102" spans="1:27" ht="16.5">
      <c r="A102" s="1"/>
      <c r="B102" s="1"/>
      <c r="C102" s="3">
        <v>101</v>
      </c>
      <c r="D102" s="3">
        <v>101</v>
      </c>
      <c r="E102" s="13" t="s">
        <v>214</v>
      </c>
      <c r="F102" s="13" t="s">
        <v>55</v>
      </c>
      <c r="G102" s="1"/>
      <c r="H102" s="1" t="s">
        <v>315</v>
      </c>
      <c r="I102" s="6" t="s">
        <v>395</v>
      </c>
      <c r="J102" s="1" t="s">
        <v>368</v>
      </c>
      <c r="K102" s="1"/>
      <c r="L102" s="1"/>
      <c r="M102" s="1"/>
      <c r="N102" s="20"/>
      <c r="O102" s="20"/>
      <c r="P102" s="20"/>
      <c r="Q102" s="1"/>
      <c r="R102" s="1"/>
      <c r="S102" s="1"/>
      <c r="T102" s="1"/>
      <c r="U102" s="1"/>
      <c r="V102" s="1"/>
      <c r="W102" s="1"/>
      <c r="X102" s="3"/>
      <c r="Y102" s="3"/>
      <c r="Z102" s="3"/>
      <c r="AA102" s="3"/>
    </row>
    <row r="103" spans="1:27" ht="16.5">
      <c r="A103" s="1">
        <v>52</v>
      </c>
      <c r="B103" s="1">
        <v>52</v>
      </c>
      <c r="C103" s="3">
        <v>102</v>
      </c>
      <c r="D103" s="3">
        <v>102</v>
      </c>
      <c r="E103" s="13" t="s">
        <v>215</v>
      </c>
      <c r="F103" s="13" t="s">
        <v>57</v>
      </c>
      <c r="G103" s="1"/>
      <c r="H103" s="1" t="s">
        <v>318</v>
      </c>
      <c r="I103" s="6" t="s">
        <v>396</v>
      </c>
      <c r="J103" s="1" t="s">
        <v>369</v>
      </c>
      <c r="K103" s="1"/>
      <c r="L103" s="1"/>
      <c r="M103" s="1"/>
      <c r="N103" s="20"/>
      <c r="O103" s="20"/>
      <c r="P103" s="20"/>
      <c r="Q103" s="1"/>
      <c r="R103" s="1"/>
      <c r="S103" s="1"/>
      <c r="T103" s="1"/>
      <c r="U103" s="1"/>
      <c r="V103" s="1"/>
      <c r="W103" s="1"/>
      <c r="X103" s="3"/>
      <c r="Y103" s="3"/>
      <c r="Z103" s="3"/>
      <c r="AA103" s="3"/>
    </row>
    <row r="104" spans="1:27" ht="16.5">
      <c r="A104" s="1">
        <v>53</v>
      </c>
      <c r="B104" s="1">
        <v>53</v>
      </c>
      <c r="C104" s="3">
        <v>103</v>
      </c>
      <c r="D104" s="3">
        <v>103</v>
      </c>
      <c r="E104" s="13" t="s">
        <v>216</v>
      </c>
      <c r="F104" s="13" t="s">
        <v>59</v>
      </c>
      <c r="G104" s="1"/>
      <c r="H104" s="1" t="s">
        <v>321</v>
      </c>
      <c r="I104" s="6" t="s">
        <v>269</v>
      </c>
      <c r="J104" s="1"/>
      <c r="K104" s="1"/>
      <c r="L104" s="1"/>
      <c r="M104" s="1"/>
      <c r="N104" s="20"/>
      <c r="O104" s="20"/>
      <c r="P104" s="20"/>
      <c r="Q104" s="1"/>
      <c r="R104" s="1"/>
      <c r="S104" s="1"/>
      <c r="T104" s="1"/>
      <c r="U104" s="1"/>
      <c r="V104" s="1"/>
      <c r="W104" s="1"/>
      <c r="X104" s="3"/>
      <c r="Y104" s="3"/>
      <c r="Z104" s="3"/>
      <c r="AA104" s="3"/>
    </row>
    <row r="105" spans="1:27" ht="16.5">
      <c r="A105" s="1"/>
      <c r="B105" s="1"/>
      <c r="C105" s="3">
        <v>104</v>
      </c>
      <c r="D105" s="3">
        <v>104</v>
      </c>
      <c r="E105" s="13" t="s">
        <v>217</v>
      </c>
      <c r="F105" s="13" t="s">
        <v>60</v>
      </c>
      <c r="G105" s="1"/>
      <c r="H105" s="1" t="s">
        <v>324</v>
      </c>
      <c r="I105" s="6" t="s">
        <v>272</v>
      </c>
      <c r="J105" s="1"/>
      <c r="K105" s="1"/>
      <c r="L105" s="1"/>
      <c r="M105" s="1"/>
      <c r="N105" s="20"/>
      <c r="O105" s="20"/>
      <c r="P105" s="20"/>
      <c r="Q105" s="1"/>
      <c r="R105" s="1"/>
      <c r="S105" s="1"/>
      <c r="T105" s="1"/>
      <c r="U105" s="1"/>
      <c r="V105" s="1"/>
      <c r="W105" s="1"/>
      <c r="X105" s="3"/>
      <c r="Y105" s="3"/>
      <c r="Z105" s="3"/>
      <c r="AA105" s="3"/>
    </row>
    <row r="106" spans="1:27" ht="16.5">
      <c r="A106" s="2"/>
      <c r="B106" s="2"/>
      <c r="C106" s="3">
        <v>105</v>
      </c>
      <c r="D106" s="3">
        <v>105</v>
      </c>
      <c r="E106" s="13" t="s">
        <v>243</v>
      </c>
      <c r="F106" s="13" t="s">
        <v>243</v>
      </c>
      <c r="G106" s="1"/>
      <c r="H106" s="1"/>
      <c r="I106" s="6"/>
      <c r="J106" s="1"/>
      <c r="K106" s="1"/>
      <c r="L106" s="1"/>
      <c r="M106" s="1"/>
      <c r="N106" s="18"/>
      <c r="O106" s="18"/>
      <c r="P106" s="18"/>
      <c r="Q106" s="1"/>
      <c r="R106" s="1"/>
      <c r="S106" s="1"/>
      <c r="T106" s="1"/>
      <c r="U106" s="1"/>
      <c r="V106" s="1"/>
      <c r="W106" s="1"/>
      <c r="X106" s="3"/>
      <c r="Y106" s="3"/>
      <c r="Z106" s="3"/>
      <c r="AA106" s="3"/>
    </row>
    <row r="107" spans="1:27" ht="16.5">
      <c r="A107" s="1">
        <v>54</v>
      </c>
      <c r="B107" s="1">
        <v>54</v>
      </c>
      <c r="C107" s="3">
        <v>106</v>
      </c>
      <c r="D107" s="3">
        <v>106</v>
      </c>
      <c r="E107" s="13" t="s">
        <v>244</v>
      </c>
      <c r="F107" s="13" t="s">
        <v>244</v>
      </c>
      <c r="G107" s="1"/>
      <c r="H107" s="1"/>
      <c r="I107" s="6"/>
      <c r="J107" s="1"/>
      <c r="K107" s="1"/>
      <c r="L107" s="1"/>
      <c r="M107" s="1"/>
      <c r="N107" s="18"/>
      <c r="O107" s="18"/>
      <c r="P107" s="18"/>
      <c r="Q107" s="1"/>
      <c r="R107" s="1"/>
      <c r="S107" s="1"/>
      <c r="T107" s="1"/>
      <c r="U107" s="1"/>
      <c r="V107" s="1"/>
      <c r="W107" s="1"/>
      <c r="X107" s="5"/>
      <c r="Y107" s="3"/>
      <c r="Z107" s="3"/>
      <c r="AA107" s="3"/>
    </row>
    <row r="108" spans="1:27" ht="16.5">
      <c r="A108" s="1">
        <v>55</v>
      </c>
      <c r="B108" s="1">
        <v>55</v>
      </c>
      <c r="C108" s="3">
        <v>107</v>
      </c>
      <c r="D108" s="3">
        <v>107</v>
      </c>
      <c r="E108" s="13" t="s">
        <v>245</v>
      </c>
      <c r="F108" s="13" t="s">
        <v>245</v>
      </c>
      <c r="G108" s="1"/>
      <c r="H108" s="1"/>
      <c r="I108" s="6"/>
      <c r="J108" s="1"/>
      <c r="K108" s="1"/>
      <c r="L108" s="1"/>
      <c r="M108" s="1"/>
      <c r="N108" s="20"/>
      <c r="O108" s="20"/>
      <c r="P108" s="20"/>
      <c r="Q108" s="2"/>
      <c r="R108" s="2"/>
      <c r="S108" s="2"/>
      <c r="T108" s="2"/>
      <c r="U108" s="2"/>
      <c r="V108" s="2"/>
      <c r="W108" s="2"/>
      <c r="X108" s="5"/>
      <c r="Y108" s="3"/>
      <c r="Z108" s="3"/>
      <c r="AA108" s="3"/>
    </row>
    <row r="109" spans="1:27" ht="16.5">
      <c r="A109" s="1"/>
      <c r="B109" s="1"/>
      <c r="C109" s="3">
        <v>108</v>
      </c>
      <c r="D109" s="3">
        <v>108</v>
      </c>
      <c r="E109" s="13" t="s">
        <v>246</v>
      </c>
      <c r="F109" s="13" t="s">
        <v>246</v>
      </c>
      <c r="G109" s="1"/>
      <c r="H109" s="1"/>
      <c r="I109" s="6"/>
      <c r="J109" s="1"/>
      <c r="K109" s="1"/>
      <c r="L109" s="1"/>
      <c r="M109" s="1"/>
      <c r="N109" s="20"/>
      <c r="O109" s="20"/>
      <c r="P109" s="20"/>
      <c r="Q109" s="1"/>
      <c r="R109" s="1"/>
      <c r="S109" s="1"/>
      <c r="T109" s="1"/>
      <c r="U109" s="1"/>
      <c r="V109" s="1"/>
      <c r="W109" s="1"/>
      <c r="X109" s="3"/>
      <c r="Y109" s="3"/>
      <c r="Z109" s="3"/>
      <c r="AA109" s="3"/>
    </row>
    <row r="110" spans="1:27" ht="16.5">
      <c r="A110" s="1"/>
      <c r="B110" s="1"/>
      <c r="C110" s="3">
        <v>109</v>
      </c>
      <c r="D110" s="3">
        <v>109</v>
      </c>
      <c r="E110" s="13" t="s">
        <v>247</v>
      </c>
      <c r="F110" s="13" t="s">
        <v>247</v>
      </c>
      <c r="G110" s="1"/>
      <c r="H110" s="1"/>
      <c r="I110" s="6"/>
      <c r="J110" s="1"/>
      <c r="K110" s="1"/>
      <c r="L110" s="1"/>
      <c r="M110" s="1"/>
      <c r="N110" s="20"/>
      <c r="O110" s="20"/>
      <c r="P110" s="20"/>
      <c r="Q110" s="1"/>
      <c r="R110" s="1"/>
      <c r="S110" s="1"/>
      <c r="T110" s="1"/>
      <c r="U110" s="1"/>
      <c r="V110" s="1"/>
      <c r="W110" s="1"/>
      <c r="X110" s="3"/>
      <c r="Y110" s="3"/>
      <c r="Z110" s="3"/>
      <c r="AA110" s="3"/>
    </row>
    <row r="111" spans="1:27" ht="16.5">
      <c r="A111" s="1"/>
      <c r="B111" s="1"/>
      <c r="C111" s="3">
        <v>110</v>
      </c>
      <c r="D111" s="3">
        <v>110</v>
      </c>
      <c r="E111" s="13" t="s">
        <v>248</v>
      </c>
      <c r="F111" s="13" t="s">
        <v>248</v>
      </c>
      <c r="G111" s="1"/>
      <c r="H111" s="1"/>
      <c r="I111" s="6"/>
      <c r="J111" s="1"/>
      <c r="K111" s="1"/>
      <c r="L111" s="1"/>
      <c r="M111" s="1"/>
      <c r="N111" s="20"/>
      <c r="O111" s="20"/>
      <c r="P111" s="20"/>
      <c r="Q111" s="1"/>
      <c r="R111" s="1"/>
      <c r="S111" s="1"/>
      <c r="T111" s="1"/>
      <c r="U111" s="1"/>
      <c r="V111" s="1"/>
      <c r="W111" s="1"/>
      <c r="X111" s="3"/>
      <c r="Y111" s="3"/>
      <c r="Z111" s="3"/>
      <c r="AA111" s="3"/>
    </row>
    <row r="112" spans="1:27" ht="16.5">
      <c r="A112" s="1"/>
      <c r="B112" s="1"/>
      <c r="C112" s="3">
        <v>111</v>
      </c>
      <c r="D112" s="3">
        <v>111</v>
      </c>
      <c r="E112" s="13" t="s">
        <v>218</v>
      </c>
      <c r="F112" s="17" t="s">
        <v>218</v>
      </c>
      <c r="G112" s="1"/>
      <c r="H112" s="1"/>
      <c r="I112" s="6"/>
      <c r="J112" s="1"/>
      <c r="K112" s="1"/>
      <c r="L112" s="1"/>
      <c r="M112" s="1"/>
      <c r="N112" s="20"/>
      <c r="O112" s="20"/>
      <c r="P112" s="20"/>
      <c r="Q112" s="1"/>
      <c r="R112" s="1"/>
      <c r="S112" s="1"/>
      <c r="T112" s="1"/>
      <c r="U112" s="1"/>
      <c r="V112" s="1"/>
      <c r="W112" s="1"/>
      <c r="X112" s="3"/>
      <c r="Y112" s="3"/>
      <c r="Z112" s="3"/>
      <c r="AA112" s="3"/>
    </row>
    <row r="113" spans="1:27" ht="16.5">
      <c r="A113" s="1">
        <v>56</v>
      </c>
      <c r="B113" s="1">
        <v>56</v>
      </c>
      <c r="C113" s="3">
        <v>112</v>
      </c>
      <c r="D113" s="3">
        <v>112</v>
      </c>
      <c r="E113" s="13" t="s">
        <v>249</v>
      </c>
      <c r="F113" s="13" t="s">
        <v>249</v>
      </c>
      <c r="G113" s="1"/>
      <c r="H113" s="1"/>
      <c r="I113" s="6"/>
      <c r="J113" s="1"/>
      <c r="K113" s="1"/>
      <c r="L113" s="1"/>
      <c r="M113" s="1"/>
      <c r="N113" s="20"/>
      <c r="O113" s="20"/>
      <c r="P113" s="20"/>
      <c r="Q113" s="1"/>
      <c r="R113" s="1"/>
      <c r="S113" s="1"/>
      <c r="T113" s="1"/>
      <c r="U113" s="1"/>
      <c r="V113" s="1"/>
      <c r="W113" s="1"/>
      <c r="X113" s="3"/>
      <c r="Y113" s="3"/>
      <c r="Z113" s="3"/>
      <c r="AA113" s="3"/>
    </row>
    <row r="114" spans="1:27" ht="16.5">
      <c r="A114" s="1">
        <v>57</v>
      </c>
      <c r="B114" s="1">
        <v>57</v>
      </c>
      <c r="C114" s="3">
        <v>113</v>
      </c>
      <c r="D114" s="3">
        <v>113</v>
      </c>
      <c r="E114" s="13" t="s">
        <v>219</v>
      </c>
      <c r="F114" s="13" t="s">
        <v>51</v>
      </c>
      <c r="G114" s="1"/>
      <c r="H114" s="1"/>
      <c r="I114" s="6" t="s">
        <v>282</v>
      </c>
      <c r="J114" s="1" t="s">
        <v>351</v>
      </c>
      <c r="K114" s="1"/>
      <c r="L114" s="1"/>
      <c r="M114" s="1"/>
      <c r="N114" s="20"/>
      <c r="O114" s="20"/>
      <c r="P114" s="20"/>
      <c r="Q114" s="1"/>
      <c r="R114" s="1"/>
      <c r="S114" s="1"/>
      <c r="T114" s="1"/>
      <c r="U114" s="1"/>
      <c r="V114" s="1"/>
      <c r="W114" s="1"/>
      <c r="X114" s="3"/>
      <c r="Y114" s="3"/>
      <c r="Z114" s="3"/>
      <c r="AA114" s="3"/>
    </row>
    <row r="115" spans="1:27" ht="16.5">
      <c r="A115" s="1">
        <v>58</v>
      </c>
      <c r="B115" s="1">
        <v>58</v>
      </c>
      <c r="C115" s="3">
        <v>114</v>
      </c>
      <c r="D115" s="3">
        <v>114</v>
      </c>
      <c r="E115" s="13" t="s">
        <v>220</v>
      </c>
      <c r="F115" s="13" t="s">
        <v>50</v>
      </c>
      <c r="G115" s="1"/>
      <c r="H115" s="1"/>
      <c r="I115" s="6" t="s">
        <v>278</v>
      </c>
      <c r="J115" s="1" t="s">
        <v>353</v>
      </c>
      <c r="K115" s="1"/>
      <c r="L115" s="1"/>
      <c r="M115" s="1"/>
      <c r="N115" s="20"/>
      <c r="O115" s="20"/>
      <c r="P115" s="20"/>
      <c r="Q115" s="2"/>
      <c r="R115" s="2"/>
      <c r="S115" s="2"/>
      <c r="T115" s="2"/>
      <c r="U115" s="2"/>
      <c r="V115" s="2"/>
      <c r="W115" s="2"/>
      <c r="X115" s="3"/>
      <c r="Y115" s="3"/>
      <c r="Z115" s="3"/>
      <c r="AA115" s="3"/>
    </row>
    <row r="116" spans="1:27" ht="16.5">
      <c r="A116" s="1">
        <v>59</v>
      </c>
      <c r="B116" s="1">
        <v>59</v>
      </c>
      <c r="C116" s="3">
        <v>115</v>
      </c>
      <c r="D116" s="3">
        <v>115</v>
      </c>
      <c r="E116" s="13" t="s">
        <v>221</v>
      </c>
      <c r="F116" s="13" t="s">
        <v>49</v>
      </c>
      <c r="G116" s="1"/>
      <c r="H116" s="1" t="s">
        <v>284</v>
      </c>
      <c r="I116" s="6" t="s">
        <v>254</v>
      </c>
      <c r="J116" s="1" t="s">
        <v>356</v>
      </c>
      <c r="K116" s="1"/>
      <c r="L116" s="1"/>
      <c r="M116" s="1"/>
      <c r="N116" s="20"/>
      <c r="O116" s="20"/>
      <c r="P116" s="20"/>
      <c r="Q116" s="1"/>
      <c r="R116" s="1"/>
      <c r="S116" s="1"/>
      <c r="T116" s="1"/>
      <c r="U116" s="1"/>
      <c r="V116" s="1"/>
      <c r="W116" s="1"/>
      <c r="X116" s="3"/>
      <c r="Y116" s="3"/>
      <c r="Z116" s="3"/>
      <c r="AA116" s="3"/>
    </row>
    <row r="117" spans="1:27" ht="16.5">
      <c r="A117" s="1">
        <v>60</v>
      </c>
      <c r="B117" s="1">
        <v>60</v>
      </c>
      <c r="C117" s="3">
        <v>116</v>
      </c>
      <c r="D117" s="3">
        <v>116</v>
      </c>
      <c r="E117" s="13" t="s">
        <v>222</v>
      </c>
      <c r="F117" s="13" t="s">
        <v>48</v>
      </c>
      <c r="G117" s="1"/>
      <c r="H117" s="1" t="s">
        <v>288</v>
      </c>
      <c r="I117" s="6" t="s">
        <v>258</v>
      </c>
      <c r="J117" s="1" t="s">
        <v>359</v>
      </c>
      <c r="K117" s="1"/>
      <c r="L117" s="1"/>
      <c r="M117" s="1"/>
      <c r="N117" s="20"/>
      <c r="O117" s="20"/>
      <c r="P117" s="20"/>
      <c r="Q117" s="1"/>
      <c r="R117" s="1"/>
      <c r="S117" s="1"/>
      <c r="T117" s="1"/>
      <c r="U117" s="1"/>
      <c r="V117" s="1"/>
      <c r="W117" s="1"/>
      <c r="X117" s="3"/>
      <c r="Y117" s="3"/>
      <c r="Z117" s="3"/>
      <c r="AA117" s="3"/>
    </row>
    <row r="118" spans="1:27" ht="16.5">
      <c r="A118" s="1">
        <v>61</v>
      </c>
      <c r="B118" s="1">
        <v>61</v>
      </c>
      <c r="C118" s="3">
        <v>117</v>
      </c>
      <c r="D118" s="3">
        <v>117</v>
      </c>
      <c r="E118" s="13" t="s">
        <v>223</v>
      </c>
      <c r="F118" s="13" t="s">
        <v>47</v>
      </c>
      <c r="G118" s="1"/>
      <c r="H118" s="1" t="s">
        <v>291</v>
      </c>
      <c r="I118" s="6" t="s">
        <v>262</v>
      </c>
      <c r="J118" s="1" t="s">
        <v>362</v>
      </c>
      <c r="K118" s="1"/>
      <c r="L118" s="1"/>
      <c r="M118" s="1"/>
      <c r="N118" s="20"/>
      <c r="O118" s="20"/>
      <c r="P118" s="20"/>
      <c r="Q118" s="1"/>
      <c r="R118" s="1"/>
      <c r="S118" s="1"/>
      <c r="T118" s="1"/>
      <c r="U118" s="1"/>
      <c r="V118" s="1"/>
      <c r="W118" s="1"/>
      <c r="X118" s="3"/>
      <c r="Y118" s="3"/>
      <c r="Z118" s="3"/>
      <c r="AA118" s="3"/>
    </row>
    <row r="119" spans="1:27" ht="16.5">
      <c r="A119" s="1">
        <v>62</v>
      </c>
      <c r="B119" s="1">
        <v>62</v>
      </c>
      <c r="C119" s="3">
        <v>118</v>
      </c>
      <c r="D119" s="3">
        <v>118</v>
      </c>
      <c r="E119" s="13" t="s">
        <v>224</v>
      </c>
      <c r="F119" s="13" t="s">
        <v>46</v>
      </c>
      <c r="G119" s="1"/>
      <c r="H119" s="1" t="s">
        <v>294</v>
      </c>
      <c r="I119" s="6" t="s">
        <v>266</v>
      </c>
      <c r="J119" s="1" t="s">
        <v>365</v>
      </c>
      <c r="K119" s="1" t="s">
        <v>56</v>
      </c>
      <c r="L119" s="1"/>
      <c r="M119" s="1"/>
      <c r="N119" s="20"/>
      <c r="O119" s="20"/>
      <c r="P119" s="20"/>
      <c r="Q119" s="1"/>
      <c r="R119" s="1"/>
      <c r="S119" s="1"/>
      <c r="T119" s="1"/>
      <c r="U119" s="1"/>
      <c r="V119" s="1"/>
      <c r="W119" s="1"/>
      <c r="X119" s="3"/>
      <c r="Y119" s="3"/>
      <c r="Z119" s="3"/>
      <c r="AA119" s="3"/>
    </row>
    <row r="120" spans="1:27" ht="16.5">
      <c r="A120" s="1">
        <v>63</v>
      </c>
      <c r="B120" s="1">
        <v>63</v>
      </c>
      <c r="C120" s="3">
        <v>119</v>
      </c>
      <c r="D120" s="3">
        <v>119</v>
      </c>
      <c r="E120" s="13" t="s">
        <v>82</v>
      </c>
      <c r="F120" s="13" t="s">
        <v>240</v>
      </c>
      <c r="G120" s="1"/>
      <c r="H120" s="1"/>
      <c r="I120" s="6"/>
      <c r="J120" s="1"/>
      <c r="K120" s="1" t="s">
        <v>58</v>
      </c>
      <c r="L120" s="1"/>
      <c r="M120" s="1"/>
      <c r="N120" s="20"/>
      <c r="O120" s="20"/>
      <c r="P120" s="20"/>
      <c r="Q120" s="1"/>
      <c r="R120" s="1"/>
      <c r="S120" s="1"/>
      <c r="T120" s="1"/>
      <c r="U120" s="1"/>
      <c r="V120" s="1"/>
      <c r="W120" s="1"/>
      <c r="X120" s="3"/>
      <c r="Y120" s="3"/>
      <c r="Z120" s="3"/>
      <c r="AA120" s="3"/>
    </row>
    <row r="121" spans="1:27" ht="16.5">
      <c r="A121" s="1"/>
      <c r="B121" s="1"/>
      <c r="C121" s="3">
        <v>120</v>
      </c>
      <c r="D121" s="3">
        <v>120</v>
      </c>
      <c r="E121" s="13" t="s">
        <v>83</v>
      </c>
      <c r="F121" s="13" t="s">
        <v>241</v>
      </c>
      <c r="G121" s="1"/>
      <c r="H121" s="1"/>
      <c r="I121" s="6"/>
      <c r="J121" s="1"/>
      <c r="K121" s="1"/>
      <c r="L121" s="1"/>
      <c r="M121" s="1"/>
      <c r="N121" s="20"/>
      <c r="O121" s="20"/>
      <c r="P121" s="20"/>
      <c r="Q121" s="1"/>
      <c r="R121" s="1"/>
      <c r="S121" s="1"/>
      <c r="T121" s="1"/>
      <c r="U121" s="1"/>
      <c r="V121" s="1"/>
      <c r="W121" s="1"/>
      <c r="X121" s="3"/>
      <c r="Y121" s="3"/>
      <c r="Z121" s="3"/>
      <c r="AA121" s="3"/>
    </row>
    <row r="122" spans="1:27" ht="16.5">
      <c r="A122" s="1"/>
      <c r="B122" s="1"/>
      <c r="C122" s="3">
        <v>121</v>
      </c>
      <c r="D122" s="3">
        <v>121</v>
      </c>
      <c r="E122" s="13" t="s">
        <v>225</v>
      </c>
      <c r="F122" s="13" t="s">
        <v>45</v>
      </c>
      <c r="G122" s="1"/>
      <c r="H122" s="1" t="s">
        <v>386</v>
      </c>
      <c r="I122" s="6" t="s">
        <v>363</v>
      </c>
      <c r="J122" s="1" t="s">
        <v>292</v>
      </c>
      <c r="K122" s="1"/>
      <c r="L122" s="1"/>
      <c r="M122" s="1"/>
      <c r="N122" s="20"/>
      <c r="O122" s="20"/>
      <c r="P122" s="20"/>
      <c r="Q122" s="1"/>
      <c r="R122" s="1"/>
      <c r="S122" s="1"/>
      <c r="T122" s="1"/>
      <c r="U122" s="1"/>
      <c r="V122" s="1"/>
      <c r="W122" s="1"/>
      <c r="X122" s="3"/>
      <c r="Y122" s="3"/>
      <c r="Z122" s="3"/>
      <c r="AA122" s="3"/>
    </row>
    <row r="123" spans="1:27" ht="16.5">
      <c r="A123" s="1"/>
      <c r="B123" s="1"/>
      <c r="C123" s="3">
        <v>122</v>
      </c>
      <c r="D123" s="3">
        <v>122</v>
      </c>
      <c r="E123" s="13" t="s">
        <v>226</v>
      </c>
      <c r="F123" s="13" t="s">
        <v>227</v>
      </c>
      <c r="G123" s="1"/>
      <c r="H123" s="1" t="s">
        <v>388</v>
      </c>
      <c r="I123" s="6" t="s">
        <v>366</v>
      </c>
      <c r="J123" s="1" t="s">
        <v>295</v>
      </c>
      <c r="K123" s="1"/>
      <c r="L123" s="1"/>
      <c r="M123" s="1"/>
      <c r="N123" s="20"/>
      <c r="O123" s="20"/>
      <c r="P123" s="20"/>
      <c r="Q123" s="1"/>
      <c r="R123" s="1"/>
      <c r="S123" s="1"/>
      <c r="T123" s="1"/>
      <c r="U123" s="1"/>
      <c r="V123" s="1"/>
      <c r="W123" s="1"/>
      <c r="X123" s="3"/>
      <c r="Y123" s="3"/>
      <c r="Z123" s="3"/>
      <c r="AA123" s="3"/>
    </row>
    <row r="124" spans="1:27" ht="16.5">
      <c r="A124" s="1"/>
      <c r="B124" s="1"/>
      <c r="C124" s="3">
        <v>123</v>
      </c>
      <c r="D124" s="3">
        <v>123</v>
      </c>
      <c r="E124" s="13" t="s">
        <v>228</v>
      </c>
      <c r="F124" s="13" t="s">
        <v>229</v>
      </c>
      <c r="G124" s="1"/>
      <c r="H124" s="1" t="s">
        <v>390</v>
      </c>
      <c r="I124" s="6" t="s">
        <v>360</v>
      </c>
      <c r="J124" s="1" t="s">
        <v>285</v>
      </c>
      <c r="K124" s="1"/>
      <c r="L124" s="1"/>
      <c r="M124" s="1"/>
      <c r="N124" s="20"/>
      <c r="O124" s="20"/>
      <c r="P124" s="20"/>
      <c r="Q124" s="1"/>
      <c r="R124" s="1"/>
      <c r="S124" s="1"/>
      <c r="T124" s="1"/>
      <c r="U124" s="1"/>
      <c r="V124" s="1"/>
      <c r="W124" s="1"/>
      <c r="X124" s="3"/>
      <c r="Y124" s="3"/>
      <c r="Z124" s="3"/>
      <c r="AA124" s="3"/>
    </row>
    <row r="125" spans="1:27" ht="16.5">
      <c r="A125" s="1"/>
      <c r="B125" s="1"/>
      <c r="C125" s="3">
        <v>124</v>
      </c>
      <c r="D125" s="3">
        <v>124</v>
      </c>
      <c r="E125" s="13" t="s">
        <v>230</v>
      </c>
      <c r="F125" s="13" t="s">
        <v>231</v>
      </c>
      <c r="G125" s="1"/>
      <c r="H125" s="1" t="s">
        <v>392</v>
      </c>
      <c r="I125" s="6" t="s">
        <v>357</v>
      </c>
      <c r="J125" s="1" t="s">
        <v>289</v>
      </c>
      <c r="K125" s="1"/>
      <c r="L125" s="1"/>
      <c r="M125" s="1"/>
      <c r="N125" s="20"/>
      <c r="O125" s="20"/>
      <c r="P125" s="20"/>
      <c r="Q125" s="1"/>
      <c r="R125" s="1"/>
      <c r="S125" s="1"/>
      <c r="T125" s="1"/>
      <c r="U125" s="1"/>
      <c r="V125" s="1"/>
      <c r="W125" s="1"/>
      <c r="X125" s="3"/>
      <c r="Y125" s="3"/>
      <c r="Z125" s="3"/>
      <c r="AA125" s="3"/>
    </row>
    <row r="126" spans="1:27" ht="16.5">
      <c r="A126" s="1"/>
      <c r="B126" s="1"/>
      <c r="C126" s="3">
        <v>125</v>
      </c>
      <c r="D126" s="3">
        <v>125</v>
      </c>
      <c r="E126" s="13" t="s">
        <v>232</v>
      </c>
      <c r="F126" s="13" t="s">
        <v>233</v>
      </c>
      <c r="G126" s="1"/>
      <c r="H126" s="1" t="s">
        <v>397</v>
      </c>
      <c r="I126" s="6" t="s">
        <v>352</v>
      </c>
      <c r="J126" s="1" t="s">
        <v>298</v>
      </c>
      <c r="K126" s="1"/>
      <c r="L126" s="1"/>
      <c r="M126" s="1"/>
      <c r="N126" s="20"/>
      <c r="O126" s="20"/>
      <c r="P126" s="20"/>
      <c r="Q126" s="1"/>
      <c r="R126" s="1"/>
      <c r="S126" s="1"/>
      <c r="T126" s="1"/>
      <c r="U126" s="1"/>
      <c r="V126" s="1"/>
      <c r="W126" s="1"/>
      <c r="X126" s="3"/>
      <c r="Y126" s="3"/>
      <c r="Z126" s="3"/>
      <c r="AA126" s="3"/>
    </row>
    <row r="127" spans="1:27" ht="16.5">
      <c r="A127" s="1"/>
      <c r="B127" s="1"/>
      <c r="C127" s="3">
        <v>126</v>
      </c>
      <c r="D127" s="3">
        <v>126</v>
      </c>
      <c r="E127" s="13" t="s">
        <v>234</v>
      </c>
      <c r="F127" s="13" t="s">
        <v>235</v>
      </c>
      <c r="G127" s="1"/>
      <c r="H127" s="1" t="s">
        <v>398</v>
      </c>
      <c r="I127" s="6" t="s">
        <v>354</v>
      </c>
      <c r="J127" s="1"/>
      <c r="K127" s="1"/>
      <c r="L127" s="1"/>
      <c r="M127" s="1"/>
      <c r="N127" s="20"/>
      <c r="O127" s="20"/>
      <c r="P127" s="20"/>
      <c r="Q127" s="1"/>
      <c r="R127" s="1"/>
      <c r="S127" s="1"/>
      <c r="T127" s="1"/>
      <c r="U127" s="1"/>
      <c r="V127" s="1"/>
      <c r="W127" s="1"/>
      <c r="X127" s="3"/>
      <c r="Y127" s="3"/>
      <c r="Z127" s="3"/>
      <c r="AA127" s="3"/>
    </row>
    <row r="128" spans="1:27" ht="16.5">
      <c r="A128" s="1"/>
      <c r="B128" s="1"/>
      <c r="C128" s="3">
        <v>127</v>
      </c>
      <c r="D128" s="3">
        <v>127</v>
      </c>
      <c r="E128" s="13" t="s">
        <v>236</v>
      </c>
      <c r="F128" s="13" t="s">
        <v>237</v>
      </c>
      <c r="G128" s="1"/>
      <c r="H128" s="1" t="s">
        <v>300</v>
      </c>
      <c r="I128" s="6" t="s">
        <v>399</v>
      </c>
      <c r="J128" s="1" t="s">
        <v>400</v>
      </c>
      <c r="K128" s="1"/>
      <c r="L128" s="1"/>
      <c r="M128" s="1"/>
      <c r="N128" s="20"/>
      <c r="O128" s="20"/>
      <c r="P128" s="20"/>
      <c r="Q128" s="1"/>
      <c r="R128" s="1"/>
      <c r="S128" s="1"/>
      <c r="T128" s="1"/>
      <c r="U128" s="1"/>
      <c r="V128" s="1"/>
      <c r="W128" s="1"/>
      <c r="X128" s="3"/>
      <c r="Y128" s="3"/>
      <c r="Z128" s="3"/>
      <c r="AA128" s="3"/>
    </row>
    <row r="129" spans="1:27" ht="16.5">
      <c r="A129" s="1">
        <v>64</v>
      </c>
      <c r="B129" s="1">
        <v>64</v>
      </c>
      <c r="C129" s="3">
        <v>128</v>
      </c>
      <c r="D129" s="3">
        <v>128</v>
      </c>
      <c r="E129" s="13" t="s">
        <v>238</v>
      </c>
      <c r="F129" s="13" t="s">
        <v>239</v>
      </c>
      <c r="G129" s="1"/>
      <c r="H129" s="1" t="s">
        <v>301</v>
      </c>
      <c r="I129" s="6" t="s">
        <v>401</v>
      </c>
      <c r="J129" s="1" t="s">
        <v>402</v>
      </c>
      <c r="K129" s="1"/>
      <c r="L129" s="1"/>
      <c r="M129" s="1"/>
      <c r="N129" s="20"/>
      <c r="O129" s="20"/>
      <c r="P129" s="20"/>
      <c r="Q129" s="1"/>
      <c r="R129" s="1"/>
      <c r="S129" s="1"/>
      <c r="T129" s="1"/>
      <c r="U129" s="1"/>
      <c r="V129" s="1"/>
      <c r="W129" s="1"/>
      <c r="X129" s="3"/>
      <c r="Y129" s="3"/>
      <c r="Z129" s="3"/>
      <c r="AA129" s="3"/>
    </row>
  </sheetData>
  <phoneticPr fontId="56"/>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85"/>
  <sheetViews>
    <sheetView tabSelected="1" zoomScaleNormal="100" workbookViewId="0"/>
  </sheetViews>
  <sheetFormatPr defaultRowHeight="15.75" outlineLevelCol="2"/>
  <cols>
    <col min="1" max="1" width="6.5703125" bestFit="1" customWidth="1"/>
    <col min="2" max="5" width="9.7109375" bestFit="1" customWidth="1"/>
    <col min="6" max="7" width="13.140625" bestFit="1" customWidth="1"/>
    <col min="8" max="9" width="19.5703125" bestFit="1" customWidth="1"/>
    <col min="10" max="10" width="25.28515625" bestFit="1" customWidth="1"/>
    <col min="11" max="11" width="19.5703125" bestFit="1" customWidth="1"/>
    <col min="12" max="13" width="13.85546875" bestFit="1" customWidth="1"/>
    <col min="14" max="14" width="10.5703125" bestFit="1" customWidth="1"/>
    <col min="15" max="15" width="3" customWidth="1"/>
    <col min="16" max="16" width="12.42578125" customWidth="1" outlineLevel="2"/>
    <col min="17" max="17" width="9.7109375" customWidth="1" outlineLevel="2"/>
    <col min="18" max="18" width="16.7109375" customWidth="1" outlineLevel="2"/>
    <col min="19" max="19" width="3.85546875" customWidth="1"/>
    <col min="20" max="23" width="13.28515625" customWidth="1"/>
  </cols>
  <sheetData>
    <row r="1" spans="1:24" ht="30.75" thickBot="1">
      <c r="A1" s="61" t="s">
        <v>453</v>
      </c>
      <c r="B1" s="33" t="s">
        <v>1403</v>
      </c>
      <c r="C1" s="33" t="s">
        <v>1404</v>
      </c>
      <c r="D1" s="33" t="s">
        <v>1405</v>
      </c>
      <c r="E1" s="33" t="s">
        <v>1406</v>
      </c>
      <c r="F1" s="54" t="s">
        <v>1625</v>
      </c>
      <c r="G1" s="54" t="s">
        <v>1624</v>
      </c>
      <c r="H1" s="55" t="s">
        <v>1627</v>
      </c>
      <c r="I1" s="55" t="s">
        <v>454</v>
      </c>
      <c r="J1" s="55" t="s">
        <v>455</v>
      </c>
      <c r="K1" s="55" t="s">
        <v>456</v>
      </c>
      <c r="L1" s="63" t="s">
        <v>457</v>
      </c>
      <c r="M1" s="55" t="s">
        <v>458</v>
      </c>
      <c r="N1" s="55" t="s">
        <v>459</v>
      </c>
      <c r="O1" s="73"/>
      <c r="P1" s="74" t="s">
        <v>403</v>
      </c>
      <c r="Q1" s="74" t="s">
        <v>1013</v>
      </c>
      <c r="R1" s="74" t="s">
        <v>1014</v>
      </c>
      <c r="S1" s="73"/>
      <c r="T1" s="59" t="s">
        <v>8</v>
      </c>
      <c r="U1" s="59" t="s">
        <v>9</v>
      </c>
      <c r="V1" s="59" t="s">
        <v>10</v>
      </c>
      <c r="W1" s="60" t="s">
        <v>773</v>
      </c>
    </row>
    <row r="2" spans="1:24" ht="16.5">
      <c r="A2" s="61">
        <v>1</v>
      </c>
      <c r="B2" s="64">
        <v>1</v>
      </c>
      <c r="C2" s="64"/>
      <c r="D2" s="89"/>
      <c r="E2" s="89"/>
      <c r="F2" s="46" t="s">
        <v>460</v>
      </c>
      <c r="G2" s="46" t="s">
        <v>609</v>
      </c>
      <c r="H2" s="71" t="s">
        <v>1706</v>
      </c>
      <c r="I2" s="71" t="s">
        <v>1707</v>
      </c>
      <c r="J2" s="71" t="s">
        <v>592</v>
      </c>
      <c r="K2" s="71"/>
      <c r="L2" s="71"/>
      <c r="M2" s="71"/>
      <c r="N2" s="71"/>
      <c r="O2" s="71"/>
      <c r="P2" s="75"/>
      <c r="Q2" s="75"/>
      <c r="R2" s="75"/>
      <c r="S2" s="71"/>
      <c r="T2" s="9" t="s">
        <v>685</v>
      </c>
      <c r="U2" s="9" t="s">
        <v>686</v>
      </c>
      <c r="V2" s="9" t="s">
        <v>687</v>
      </c>
      <c r="W2" s="9" t="s">
        <v>673</v>
      </c>
      <c r="X2" s="90"/>
    </row>
    <row r="3" spans="1:24" ht="16.5">
      <c r="A3" s="61">
        <v>2</v>
      </c>
      <c r="B3" s="7">
        <v>2</v>
      </c>
      <c r="C3" s="7"/>
      <c r="D3" s="91"/>
      <c r="E3" s="91"/>
      <c r="F3" s="46" t="s">
        <v>462</v>
      </c>
      <c r="G3" s="46" t="s">
        <v>610</v>
      </c>
      <c r="H3" s="71" t="s">
        <v>1708</v>
      </c>
      <c r="I3" s="71" t="s">
        <v>1709</v>
      </c>
      <c r="J3" s="71" t="s">
        <v>595</v>
      </c>
      <c r="K3" s="71"/>
      <c r="L3" s="71"/>
      <c r="M3" s="71"/>
      <c r="N3" s="71"/>
      <c r="O3" s="71"/>
      <c r="P3" s="18"/>
      <c r="Q3" s="18"/>
      <c r="R3" s="18"/>
      <c r="S3" s="71"/>
      <c r="T3" s="9" t="s">
        <v>939</v>
      </c>
      <c r="U3" s="9" t="s">
        <v>884</v>
      </c>
      <c r="V3" s="9" t="s">
        <v>829</v>
      </c>
      <c r="W3" s="9" t="s">
        <v>774</v>
      </c>
      <c r="X3" s="90"/>
    </row>
    <row r="4" spans="1:24" ht="16.5">
      <c r="A4" s="61">
        <v>3</v>
      </c>
      <c r="B4" s="7">
        <v>3</v>
      </c>
      <c r="C4" s="7">
        <v>1</v>
      </c>
      <c r="D4" s="91">
        <v>1</v>
      </c>
      <c r="E4" s="91">
        <v>1</v>
      </c>
      <c r="F4" s="46" t="s">
        <v>465</v>
      </c>
      <c r="G4" s="46" t="s">
        <v>611</v>
      </c>
      <c r="H4" s="71" t="s">
        <v>1710</v>
      </c>
      <c r="I4" s="71" t="s">
        <v>1711</v>
      </c>
      <c r="J4" s="71" t="s">
        <v>485</v>
      </c>
      <c r="K4" s="71"/>
      <c r="L4" s="71"/>
      <c r="M4" s="71"/>
      <c r="N4" s="71"/>
      <c r="O4" s="71"/>
      <c r="P4" s="18"/>
      <c r="Q4" s="18"/>
      <c r="R4" s="18"/>
      <c r="S4" s="71"/>
      <c r="T4" s="9" t="s">
        <v>940</v>
      </c>
      <c r="U4" s="9" t="s">
        <v>885</v>
      </c>
      <c r="V4" s="9" t="s">
        <v>830</v>
      </c>
      <c r="W4" s="9" t="s">
        <v>775</v>
      </c>
      <c r="X4" s="90"/>
    </row>
    <row r="5" spans="1:24" ht="16.5">
      <c r="A5" s="61">
        <v>4</v>
      </c>
      <c r="B5" s="7">
        <v>4</v>
      </c>
      <c r="C5" s="7">
        <v>2</v>
      </c>
      <c r="D5" s="91">
        <v>2</v>
      </c>
      <c r="E5" s="91">
        <v>2</v>
      </c>
      <c r="F5" s="46" t="s">
        <v>468</v>
      </c>
      <c r="G5" s="46" t="s">
        <v>612</v>
      </c>
      <c r="H5" s="71" t="s">
        <v>1712</v>
      </c>
      <c r="I5" s="71" t="s">
        <v>1713</v>
      </c>
      <c r="J5" s="71" t="s">
        <v>487</v>
      </c>
      <c r="K5" s="71"/>
      <c r="L5" s="71"/>
      <c r="M5" s="71"/>
      <c r="N5" s="71"/>
      <c r="O5" s="71"/>
      <c r="P5" s="18"/>
      <c r="Q5" s="18"/>
      <c r="R5" s="18"/>
      <c r="S5" s="71"/>
      <c r="T5" s="9" t="s">
        <v>941</v>
      </c>
      <c r="U5" s="9" t="s">
        <v>886</v>
      </c>
      <c r="V5" s="9" t="s">
        <v>831</v>
      </c>
      <c r="W5" s="9" t="s">
        <v>776</v>
      </c>
      <c r="X5" s="90"/>
    </row>
    <row r="6" spans="1:24" ht="16.5">
      <c r="A6" s="61">
        <v>5</v>
      </c>
      <c r="B6" s="7">
        <v>5</v>
      </c>
      <c r="C6" s="7">
        <v>3</v>
      </c>
      <c r="D6" s="91"/>
      <c r="E6" s="91"/>
      <c r="F6" s="46" t="s">
        <v>471</v>
      </c>
      <c r="G6" s="46" t="s">
        <v>613</v>
      </c>
      <c r="H6" s="71" t="s">
        <v>1714</v>
      </c>
      <c r="I6" s="71" t="s">
        <v>1715</v>
      </c>
      <c r="J6" s="71" t="s">
        <v>489</v>
      </c>
      <c r="K6" s="71"/>
      <c r="L6" s="71"/>
      <c r="M6" s="71"/>
      <c r="N6" s="71"/>
      <c r="O6" s="71"/>
      <c r="P6" s="18"/>
      <c r="Q6" s="18"/>
      <c r="R6" s="18"/>
      <c r="S6" s="71"/>
      <c r="T6" s="9" t="s">
        <v>942</v>
      </c>
      <c r="U6" s="9" t="s">
        <v>887</v>
      </c>
      <c r="V6" s="9" t="s">
        <v>832</v>
      </c>
      <c r="W6" s="9" t="s">
        <v>777</v>
      </c>
      <c r="X6" s="90"/>
    </row>
    <row r="7" spans="1:24" ht="16.5">
      <c r="A7" s="61">
        <v>6</v>
      </c>
      <c r="B7" s="7">
        <v>6</v>
      </c>
      <c r="C7" s="7">
        <v>4</v>
      </c>
      <c r="D7" s="91"/>
      <c r="E7" s="91"/>
      <c r="F7" s="46" t="s">
        <v>474</v>
      </c>
      <c r="G7" s="46" t="s">
        <v>614</v>
      </c>
      <c r="H7" s="71" t="s">
        <v>1716</v>
      </c>
      <c r="I7" s="71" t="s">
        <v>1717</v>
      </c>
      <c r="J7" s="71" t="s">
        <v>491</v>
      </c>
      <c r="K7" s="71"/>
      <c r="L7" s="71"/>
      <c r="M7" s="71"/>
      <c r="N7" s="71"/>
      <c r="O7" s="71"/>
      <c r="P7" s="18"/>
      <c r="Q7" s="18"/>
      <c r="R7" s="18"/>
      <c r="S7" s="71"/>
      <c r="T7" s="9" t="s">
        <v>943</v>
      </c>
      <c r="U7" s="9" t="s">
        <v>888</v>
      </c>
      <c r="V7" s="9" t="s">
        <v>833</v>
      </c>
      <c r="W7" s="9" t="s">
        <v>778</v>
      </c>
      <c r="X7" s="90"/>
    </row>
    <row r="8" spans="1:24" ht="16.5">
      <c r="A8" s="61">
        <v>7</v>
      </c>
      <c r="B8" s="91">
        <v>7</v>
      </c>
      <c r="C8" s="91">
        <v>5</v>
      </c>
      <c r="D8" s="91">
        <v>3</v>
      </c>
      <c r="E8" s="91">
        <v>3</v>
      </c>
      <c r="F8" s="46" t="s">
        <v>477</v>
      </c>
      <c r="G8" s="46" t="s">
        <v>615</v>
      </c>
      <c r="H8" s="71" t="s">
        <v>1718</v>
      </c>
      <c r="I8" s="71" t="s">
        <v>1719</v>
      </c>
      <c r="J8" s="71" t="s">
        <v>493</v>
      </c>
      <c r="K8" s="71"/>
      <c r="L8" s="71"/>
      <c r="M8" s="71"/>
      <c r="N8" s="71"/>
      <c r="O8" s="71"/>
      <c r="P8" s="18"/>
      <c r="Q8" s="18"/>
      <c r="R8" s="18"/>
      <c r="S8" s="71"/>
      <c r="T8" s="9" t="s">
        <v>944</v>
      </c>
      <c r="U8" s="9" t="s">
        <v>889</v>
      </c>
      <c r="V8" s="9" t="s">
        <v>834</v>
      </c>
      <c r="W8" s="9" t="s">
        <v>779</v>
      </c>
      <c r="X8" s="90"/>
    </row>
    <row r="9" spans="1:24" ht="16.5">
      <c r="A9" s="61">
        <v>8</v>
      </c>
      <c r="B9" s="91">
        <v>8</v>
      </c>
      <c r="C9" s="91">
        <v>6</v>
      </c>
      <c r="D9" s="91">
        <v>4</v>
      </c>
      <c r="E9" s="91">
        <v>4</v>
      </c>
      <c r="F9" s="46" t="s">
        <v>480</v>
      </c>
      <c r="G9" s="46" t="s">
        <v>616</v>
      </c>
      <c r="H9" s="71" t="s">
        <v>1720</v>
      </c>
      <c r="I9" s="71" t="s">
        <v>1721</v>
      </c>
      <c r="J9" s="71" t="s">
        <v>495</v>
      </c>
      <c r="K9" s="71"/>
      <c r="L9" s="71"/>
      <c r="M9" s="71"/>
      <c r="N9" s="71"/>
      <c r="O9" s="71"/>
      <c r="P9" s="18"/>
      <c r="Q9" s="18"/>
      <c r="R9" s="18"/>
      <c r="S9" s="71"/>
      <c r="T9" s="9" t="s">
        <v>945</v>
      </c>
      <c r="U9" s="9" t="s">
        <v>890</v>
      </c>
      <c r="V9" s="9" t="s">
        <v>835</v>
      </c>
      <c r="W9" s="9" t="s">
        <v>780</v>
      </c>
      <c r="X9" s="90"/>
    </row>
    <row r="10" spans="1:24" ht="16.5">
      <c r="A10" s="61">
        <v>9</v>
      </c>
      <c r="B10" s="91">
        <v>9</v>
      </c>
      <c r="C10" s="91">
        <v>7</v>
      </c>
      <c r="D10" s="91">
        <v>5</v>
      </c>
      <c r="E10" s="91">
        <v>5</v>
      </c>
      <c r="F10" s="46" t="s">
        <v>527</v>
      </c>
      <c r="G10" s="46" t="s">
        <v>633</v>
      </c>
      <c r="H10" s="71" t="s">
        <v>1740</v>
      </c>
      <c r="I10" s="71" t="s">
        <v>1517</v>
      </c>
      <c r="J10" s="71"/>
      <c r="K10" s="71"/>
      <c r="L10" s="71"/>
      <c r="M10" s="71"/>
      <c r="N10" s="71"/>
      <c r="O10" s="71"/>
      <c r="P10" s="18"/>
      <c r="Q10" s="18"/>
      <c r="R10" s="18"/>
      <c r="S10" s="71"/>
      <c r="T10" s="9" t="s">
        <v>706</v>
      </c>
      <c r="U10" s="9" t="s">
        <v>698</v>
      </c>
      <c r="V10" s="9" t="s">
        <v>690</v>
      </c>
      <c r="W10" s="9" t="s">
        <v>676</v>
      </c>
      <c r="X10" s="90"/>
    </row>
    <row r="11" spans="1:24" ht="16.5">
      <c r="A11" s="61">
        <v>10</v>
      </c>
      <c r="B11" s="91">
        <v>10</v>
      </c>
      <c r="C11" s="91">
        <v>8</v>
      </c>
      <c r="D11" s="91">
        <v>6</v>
      </c>
      <c r="E11" s="91"/>
      <c r="F11" s="46" t="s">
        <v>529</v>
      </c>
      <c r="G11" s="46" t="s">
        <v>634</v>
      </c>
      <c r="H11" s="71" t="s">
        <v>1741</v>
      </c>
      <c r="I11" s="71" t="s">
        <v>1447</v>
      </c>
      <c r="J11" s="71"/>
      <c r="K11" s="71"/>
      <c r="L11" s="71"/>
      <c r="M11" s="71"/>
      <c r="N11" s="71"/>
      <c r="O11" s="71"/>
      <c r="P11" s="18"/>
      <c r="Q11" s="18"/>
      <c r="R11" s="18"/>
      <c r="S11" s="71"/>
      <c r="T11" s="9" t="s">
        <v>960</v>
      </c>
      <c r="U11" s="9" t="s">
        <v>905</v>
      </c>
      <c r="V11" s="9" t="s">
        <v>850</v>
      </c>
      <c r="W11" s="9" t="s">
        <v>795</v>
      </c>
      <c r="X11" s="90"/>
    </row>
    <row r="12" spans="1:24" ht="16.5">
      <c r="A12" s="61">
        <v>11</v>
      </c>
      <c r="B12" s="7">
        <v>11</v>
      </c>
      <c r="C12" s="7">
        <v>9</v>
      </c>
      <c r="D12" s="91">
        <v>7</v>
      </c>
      <c r="E12" s="91"/>
      <c r="F12" s="46" t="s">
        <v>82</v>
      </c>
      <c r="G12" s="46" t="s">
        <v>240</v>
      </c>
      <c r="H12" s="71"/>
      <c r="I12" s="71"/>
      <c r="J12" s="71"/>
      <c r="K12" s="71"/>
      <c r="L12" s="71"/>
      <c r="M12" s="71"/>
      <c r="N12" s="71"/>
      <c r="O12" s="71"/>
      <c r="P12" s="18"/>
      <c r="Q12" s="18"/>
      <c r="R12" s="18"/>
      <c r="S12" s="71"/>
      <c r="T12" s="9"/>
      <c r="U12" s="9"/>
      <c r="V12" s="9"/>
      <c r="W12" s="9"/>
      <c r="X12" s="90"/>
    </row>
    <row r="13" spans="1:24" ht="16.5">
      <c r="A13" s="61">
        <v>12</v>
      </c>
      <c r="B13" s="7">
        <v>12</v>
      </c>
      <c r="C13" s="7">
        <v>10</v>
      </c>
      <c r="D13" s="91">
        <v>8</v>
      </c>
      <c r="E13" s="91"/>
      <c r="F13" s="46" t="s">
        <v>83</v>
      </c>
      <c r="G13" s="46" t="s">
        <v>1432</v>
      </c>
      <c r="H13" s="71"/>
      <c r="I13" s="71"/>
      <c r="J13" s="71"/>
      <c r="K13" s="71"/>
      <c r="L13" s="71"/>
      <c r="M13" s="71"/>
      <c r="N13" s="71"/>
      <c r="O13" s="71"/>
      <c r="P13" s="18"/>
      <c r="Q13" s="18"/>
      <c r="R13" s="18"/>
      <c r="S13" s="71"/>
      <c r="T13" s="9"/>
      <c r="U13" s="9"/>
      <c r="V13" s="9"/>
      <c r="W13" s="9"/>
      <c r="X13" s="90"/>
    </row>
    <row r="14" spans="1:24" ht="16.5">
      <c r="A14" s="61">
        <v>13</v>
      </c>
      <c r="B14" s="7">
        <v>13</v>
      </c>
      <c r="C14" s="7">
        <v>11</v>
      </c>
      <c r="D14" s="91"/>
      <c r="E14" s="91"/>
      <c r="F14" s="46" t="s">
        <v>531</v>
      </c>
      <c r="G14" s="46" t="s">
        <v>635</v>
      </c>
      <c r="H14" s="71" t="s">
        <v>518</v>
      </c>
      <c r="I14" s="71" t="s">
        <v>1626</v>
      </c>
      <c r="J14" s="71"/>
      <c r="K14" s="71"/>
      <c r="L14" s="71"/>
      <c r="M14" s="71"/>
      <c r="N14" s="71"/>
      <c r="O14" s="71"/>
      <c r="P14" s="18"/>
      <c r="Q14" s="18"/>
      <c r="R14" s="18"/>
      <c r="S14" s="71"/>
      <c r="T14" s="9" t="s">
        <v>961</v>
      </c>
      <c r="U14" s="9" t="s">
        <v>906</v>
      </c>
      <c r="V14" s="9" t="s">
        <v>851</v>
      </c>
      <c r="W14" s="9" t="s">
        <v>796</v>
      </c>
      <c r="X14" s="90"/>
    </row>
    <row r="15" spans="1:24" ht="16.5">
      <c r="A15" s="61">
        <v>14</v>
      </c>
      <c r="B15" s="7">
        <v>14</v>
      </c>
      <c r="C15" s="7">
        <v>12</v>
      </c>
      <c r="D15" s="91"/>
      <c r="E15" s="91"/>
      <c r="F15" s="46" t="s">
        <v>534</v>
      </c>
      <c r="G15" s="46" t="s">
        <v>636</v>
      </c>
      <c r="H15" s="71" t="s">
        <v>520</v>
      </c>
      <c r="I15" s="71" t="s">
        <v>1449</v>
      </c>
      <c r="J15" s="18"/>
      <c r="K15" s="18"/>
      <c r="L15" s="71"/>
      <c r="M15" s="71"/>
      <c r="N15" s="71"/>
      <c r="O15" s="71"/>
      <c r="P15" s="18"/>
      <c r="Q15" s="18"/>
      <c r="R15" s="18"/>
      <c r="S15" s="71"/>
      <c r="T15" s="9" t="s">
        <v>962</v>
      </c>
      <c r="U15" s="9" t="s">
        <v>907</v>
      </c>
      <c r="V15" s="9" t="s">
        <v>852</v>
      </c>
      <c r="W15" s="9" t="s">
        <v>797</v>
      </c>
      <c r="X15" s="90"/>
    </row>
    <row r="16" spans="1:24" ht="16.5">
      <c r="A16" s="61">
        <v>15</v>
      </c>
      <c r="B16" s="7">
        <v>15</v>
      </c>
      <c r="C16" s="7">
        <v>13</v>
      </c>
      <c r="D16" s="91">
        <v>9</v>
      </c>
      <c r="E16" s="91">
        <v>6</v>
      </c>
      <c r="F16" s="46" t="s">
        <v>590</v>
      </c>
      <c r="G16" s="46" t="s">
        <v>660</v>
      </c>
      <c r="H16" s="71" t="s">
        <v>256</v>
      </c>
      <c r="I16" s="71"/>
      <c r="J16" s="18"/>
      <c r="K16" s="18"/>
      <c r="L16" s="18"/>
      <c r="M16" s="71"/>
      <c r="N16" s="71"/>
      <c r="O16" s="71"/>
      <c r="P16" s="71" t="s">
        <v>256</v>
      </c>
      <c r="Q16" s="18" t="s">
        <v>723</v>
      </c>
      <c r="R16" s="18" t="s">
        <v>1742</v>
      </c>
      <c r="S16" s="71"/>
      <c r="T16" s="9" t="s">
        <v>711</v>
      </c>
      <c r="U16" s="9" t="s">
        <v>703</v>
      </c>
      <c r="V16" s="9" t="s">
        <v>695</v>
      </c>
      <c r="W16" s="9" t="s">
        <v>681</v>
      </c>
      <c r="X16" s="90"/>
    </row>
    <row r="17" spans="1:24" ht="16.5">
      <c r="A17" s="61">
        <v>16</v>
      </c>
      <c r="B17" s="7">
        <v>16</v>
      </c>
      <c r="C17" s="7">
        <v>14</v>
      </c>
      <c r="D17" s="91">
        <v>10</v>
      </c>
      <c r="E17" s="91">
        <v>7</v>
      </c>
      <c r="F17" s="46" t="s">
        <v>593</v>
      </c>
      <c r="G17" s="46" t="s">
        <v>661</v>
      </c>
      <c r="H17" s="71" t="s">
        <v>260</v>
      </c>
      <c r="I17" s="71"/>
      <c r="J17" s="18"/>
      <c r="K17" s="18"/>
      <c r="L17" s="18"/>
      <c r="M17" s="71"/>
      <c r="N17" s="71"/>
      <c r="O17" s="71"/>
      <c r="P17" s="71" t="s">
        <v>260</v>
      </c>
      <c r="Q17" s="18" t="s">
        <v>724</v>
      </c>
      <c r="R17" s="18" t="s">
        <v>1743</v>
      </c>
      <c r="S17" s="71"/>
      <c r="T17" s="9" t="s">
        <v>983</v>
      </c>
      <c r="U17" s="9" t="s">
        <v>928</v>
      </c>
      <c r="V17" s="9" t="s">
        <v>873</v>
      </c>
      <c r="W17" s="9" t="s">
        <v>818</v>
      </c>
      <c r="X17" s="90"/>
    </row>
    <row r="18" spans="1:24" ht="16.5">
      <c r="A18" s="61">
        <v>17</v>
      </c>
      <c r="B18" s="7">
        <v>17</v>
      </c>
      <c r="C18" s="7">
        <v>15</v>
      </c>
      <c r="D18" s="91">
        <v>11</v>
      </c>
      <c r="E18" s="91">
        <v>8</v>
      </c>
      <c r="F18" s="46" t="s">
        <v>596</v>
      </c>
      <c r="G18" s="46" t="s">
        <v>662</v>
      </c>
      <c r="H18" s="71" t="s">
        <v>264</v>
      </c>
      <c r="I18" s="71"/>
      <c r="J18" s="18"/>
      <c r="K18" s="18"/>
      <c r="L18" s="71"/>
      <c r="M18" s="71"/>
      <c r="N18" s="71"/>
      <c r="O18" s="71"/>
      <c r="P18" s="71" t="s">
        <v>264</v>
      </c>
      <c r="Q18" s="18" t="s">
        <v>725</v>
      </c>
      <c r="R18" s="18" t="s">
        <v>1744</v>
      </c>
      <c r="S18" s="71"/>
      <c r="T18" s="9" t="s">
        <v>984</v>
      </c>
      <c r="U18" s="9" t="s">
        <v>929</v>
      </c>
      <c r="V18" s="9" t="s">
        <v>874</v>
      </c>
      <c r="W18" s="9" t="s">
        <v>819</v>
      </c>
      <c r="X18" s="90"/>
    </row>
    <row r="19" spans="1:24" ht="16.5">
      <c r="A19" s="61">
        <v>18</v>
      </c>
      <c r="B19" s="7">
        <v>18</v>
      </c>
      <c r="C19" s="7">
        <v>16</v>
      </c>
      <c r="D19" s="91">
        <v>12</v>
      </c>
      <c r="E19" s="91"/>
      <c r="F19" s="46" t="s">
        <v>1487</v>
      </c>
      <c r="G19" s="46" t="s">
        <v>1450</v>
      </c>
      <c r="H19" s="71" t="s">
        <v>276</v>
      </c>
      <c r="I19" s="71"/>
      <c r="J19" s="71"/>
      <c r="K19" s="71"/>
      <c r="L19" s="71"/>
      <c r="M19" s="71"/>
      <c r="N19" s="71"/>
      <c r="O19" s="71"/>
      <c r="P19" s="71" t="s">
        <v>276</v>
      </c>
      <c r="Q19" s="18" t="s">
        <v>726</v>
      </c>
      <c r="R19" s="18" t="s">
        <v>1745</v>
      </c>
      <c r="S19" s="71"/>
      <c r="T19" s="9" t="s">
        <v>1518</v>
      </c>
      <c r="U19" s="9" t="s">
        <v>1519</v>
      </c>
      <c r="V19" s="9" t="s">
        <v>1520</v>
      </c>
      <c r="W19" s="9" t="s">
        <v>1521</v>
      </c>
      <c r="X19" s="90"/>
    </row>
    <row r="20" spans="1:24" ht="16.5">
      <c r="A20" s="61">
        <v>19</v>
      </c>
      <c r="B20" s="7">
        <v>19</v>
      </c>
      <c r="C20" s="7"/>
      <c r="D20" s="91"/>
      <c r="E20" s="91"/>
      <c r="F20" s="46" t="s">
        <v>599</v>
      </c>
      <c r="G20" s="46" t="s">
        <v>665</v>
      </c>
      <c r="H20" s="71" t="s">
        <v>280</v>
      </c>
      <c r="I20" s="71"/>
      <c r="J20" s="71"/>
      <c r="K20" s="71"/>
      <c r="L20" s="71"/>
      <c r="M20" s="71"/>
      <c r="N20" s="71"/>
      <c r="O20" s="71"/>
      <c r="P20" s="71" t="s">
        <v>280</v>
      </c>
      <c r="Q20" s="71" t="s">
        <v>552</v>
      </c>
      <c r="R20" s="18"/>
      <c r="S20" s="71"/>
      <c r="T20" s="9" t="s">
        <v>986</v>
      </c>
      <c r="U20" s="9" t="s">
        <v>931</v>
      </c>
      <c r="V20" s="9" t="s">
        <v>876</v>
      </c>
      <c r="W20" s="9" t="s">
        <v>821</v>
      </c>
      <c r="X20" s="90"/>
    </row>
    <row r="21" spans="1:24" ht="16.5">
      <c r="A21" s="61">
        <v>20</v>
      </c>
      <c r="B21" s="7">
        <v>20</v>
      </c>
      <c r="C21" s="7"/>
      <c r="D21" s="91"/>
      <c r="E21" s="91"/>
      <c r="F21" s="46" t="s">
        <v>600</v>
      </c>
      <c r="G21" s="46" t="s">
        <v>666</v>
      </c>
      <c r="H21" s="71" t="s">
        <v>283</v>
      </c>
      <c r="I21" s="71"/>
      <c r="J21" s="71"/>
      <c r="K21" s="71"/>
      <c r="L21" s="71"/>
      <c r="M21" s="71"/>
      <c r="N21" s="71"/>
      <c r="O21" s="71"/>
      <c r="P21" s="71" t="s">
        <v>283</v>
      </c>
      <c r="Q21" s="71" t="s">
        <v>553</v>
      </c>
      <c r="R21" s="18"/>
      <c r="S21" s="71"/>
      <c r="T21" s="9" t="s">
        <v>987</v>
      </c>
      <c r="U21" s="9" t="s">
        <v>932</v>
      </c>
      <c r="V21" s="9" t="s">
        <v>877</v>
      </c>
      <c r="W21" s="9" t="s">
        <v>822</v>
      </c>
      <c r="X21" s="90"/>
    </row>
    <row r="22" spans="1:24" ht="16.5">
      <c r="A22" s="62">
        <v>21</v>
      </c>
      <c r="B22" s="7">
        <v>21</v>
      </c>
      <c r="C22" s="7">
        <v>17</v>
      </c>
      <c r="D22" s="91">
        <v>13</v>
      </c>
      <c r="E22" s="91"/>
      <c r="F22" s="46" t="s">
        <v>601</v>
      </c>
      <c r="G22" s="46" t="s">
        <v>667</v>
      </c>
      <c r="H22" s="71" t="s">
        <v>287</v>
      </c>
      <c r="I22" s="71"/>
      <c r="J22" s="71"/>
      <c r="K22" s="71"/>
      <c r="L22" s="71"/>
      <c r="M22" s="71"/>
      <c r="N22" s="71"/>
      <c r="O22" s="71"/>
      <c r="P22" s="71" t="s">
        <v>287</v>
      </c>
      <c r="Q22" s="18" t="s">
        <v>564</v>
      </c>
      <c r="R22" s="18" t="s">
        <v>1746</v>
      </c>
      <c r="S22" s="71"/>
      <c r="T22" s="9" t="s">
        <v>988</v>
      </c>
      <c r="U22" s="9" t="s">
        <v>933</v>
      </c>
      <c r="V22" s="9" t="s">
        <v>878</v>
      </c>
      <c r="W22" s="9" t="s">
        <v>823</v>
      </c>
      <c r="X22" s="90"/>
    </row>
    <row r="23" spans="1:24" ht="16.5">
      <c r="A23" s="62">
        <v>22</v>
      </c>
      <c r="B23" s="7">
        <v>22</v>
      </c>
      <c r="C23" s="7">
        <v>18</v>
      </c>
      <c r="D23" s="91">
        <v>14</v>
      </c>
      <c r="E23" s="91">
        <v>9</v>
      </c>
      <c r="F23" s="46" t="s">
        <v>603</v>
      </c>
      <c r="G23" s="46" t="s">
        <v>668</v>
      </c>
      <c r="H23" s="71" t="s">
        <v>718</v>
      </c>
      <c r="I23" s="71"/>
      <c r="J23" s="71"/>
      <c r="K23" s="71"/>
      <c r="L23" s="71"/>
      <c r="M23" s="71"/>
      <c r="N23" s="71"/>
      <c r="O23" s="71"/>
      <c r="P23" s="71" t="s">
        <v>718</v>
      </c>
      <c r="Q23" s="18" t="s">
        <v>565</v>
      </c>
      <c r="R23" s="18" t="s">
        <v>2109</v>
      </c>
      <c r="S23" s="71"/>
      <c r="T23" s="9" t="s">
        <v>989</v>
      </c>
      <c r="U23" s="9" t="s">
        <v>934</v>
      </c>
      <c r="V23" s="9" t="s">
        <v>879</v>
      </c>
      <c r="W23" s="9" t="s">
        <v>824</v>
      </c>
      <c r="X23" s="90"/>
    </row>
    <row r="24" spans="1:24" ht="16.5">
      <c r="A24" s="62">
        <v>23</v>
      </c>
      <c r="B24" s="7">
        <v>23</v>
      </c>
      <c r="C24" s="7"/>
      <c r="D24" s="91"/>
      <c r="E24" s="91"/>
      <c r="F24" s="46" t="s">
        <v>587</v>
      </c>
      <c r="G24" s="46" t="s">
        <v>657</v>
      </c>
      <c r="H24" s="71" t="s">
        <v>756</v>
      </c>
      <c r="I24" s="71"/>
      <c r="J24" s="71"/>
      <c r="K24" s="71"/>
      <c r="L24" s="71"/>
      <c r="M24" s="71"/>
      <c r="N24" s="71"/>
      <c r="O24" s="71"/>
      <c r="P24" s="71" t="s">
        <v>756</v>
      </c>
      <c r="Q24" s="71" t="s">
        <v>554</v>
      </c>
      <c r="R24" s="18"/>
      <c r="S24" s="71"/>
      <c r="T24" s="9" t="s">
        <v>708</v>
      </c>
      <c r="U24" s="9" t="s">
        <v>700</v>
      </c>
      <c r="V24" s="9" t="s">
        <v>692</v>
      </c>
      <c r="W24" s="9" t="s">
        <v>678</v>
      </c>
      <c r="X24" s="90"/>
    </row>
    <row r="25" spans="1:24" ht="16.5">
      <c r="A25" s="62">
        <v>24</v>
      </c>
      <c r="B25" s="7">
        <v>24</v>
      </c>
      <c r="C25" s="7"/>
      <c r="D25" s="91"/>
      <c r="E25" s="91"/>
      <c r="F25" s="46" t="s">
        <v>588</v>
      </c>
      <c r="G25" s="46" t="s">
        <v>658</v>
      </c>
      <c r="H25" s="71" t="s">
        <v>757</v>
      </c>
      <c r="I25" s="71"/>
      <c r="J25" s="71"/>
      <c r="K25" s="71"/>
      <c r="L25" s="71"/>
      <c r="M25" s="71"/>
      <c r="N25" s="71"/>
      <c r="O25" s="71"/>
      <c r="P25" s="71" t="s">
        <v>757</v>
      </c>
      <c r="Q25" s="71" t="s">
        <v>555</v>
      </c>
      <c r="R25" s="18"/>
      <c r="S25" s="71"/>
      <c r="T25" s="9" t="s">
        <v>981</v>
      </c>
      <c r="U25" s="9" t="s">
        <v>926</v>
      </c>
      <c r="V25" s="9" t="s">
        <v>871</v>
      </c>
      <c r="W25" s="9" t="s">
        <v>816</v>
      </c>
      <c r="X25" s="90"/>
    </row>
    <row r="26" spans="1:24" ht="16.5">
      <c r="A26" s="62">
        <v>25</v>
      </c>
      <c r="B26" s="7">
        <v>25</v>
      </c>
      <c r="C26" s="7">
        <v>19</v>
      </c>
      <c r="D26" s="91">
        <v>15</v>
      </c>
      <c r="E26" s="91">
        <v>10</v>
      </c>
      <c r="F26" s="46" t="s">
        <v>83</v>
      </c>
      <c r="G26" s="46" t="s">
        <v>568</v>
      </c>
      <c r="H26" s="71"/>
      <c r="I26" s="71"/>
      <c r="J26" s="71"/>
      <c r="K26" s="71"/>
      <c r="L26" s="71"/>
      <c r="M26" s="71"/>
      <c r="N26" s="71"/>
      <c r="O26" s="71"/>
      <c r="P26" s="18"/>
      <c r="Q26" s="18"/>
      <c r="R26" s="18"/>
      <c r="S26" s="71"/>
      <c r="T26" s="9"/>
      <c r="U26" s="9"/>
      <c r="V26" s="9"/>
      <c r="W26" s="9"/>
      <c r="X26" s="90"/>
    </row>
    <row r="27" spans="1:24" ht="16.5">
      <c r="A27" s="62">
        <v>26</v>
      </c>
      <c r="B27" s="7">
        <v>26</v>
      </c>
      <c r="C27" s="7">
        <v>20</v>
      </c>
      <c r="D27" s="91">
        <v>16</v>
      </c>
      <c r="E27" s="91">
        <v>11</v>
      </c>
      <c r="F27" s="46" t="s">
        <v>82</v>
      </c>
      <c r="G27" s="46" t="s">
        <v>549</v>
      </c>
      <c r="H27" s="71"/>
      <c r="I27" s="71"/>
      <c r="J27" s="71"/>
      <c r="K27" s="71"/>
      <c r="L27" s="71"/>
      <c r="M27" s="71"/>
      <c r="N27" s="71"/>
      <c r="O27" s="71"/>
      <c r="P27" s="18"/>
      <c r="Q27" s="18"/>
      <c r="R27" s="18"/>
      <c r="S27" s="71"/>
      <c r="T27" s="9"/>
      <c r="U27" s="9"/>
      <c r="V27" s="9"/>
      <c r="W27" s="9"/>
      <c r="X27" s="90"/>
    </row>
    <row r="28" spans="1:24" ht="16.5">
      <c r="A28" s="62">
        <v>27</v>
      </c>
      <c r="B28" s="7">
        <v>27</v>
      </c>
      <c r="C28" s="7">
        <v>21</v>
      </c>
      <c r="D28" s="91">
        <v>17</v>
      </c>
      <c r="E28" s="91"/>
      <c r="F28" s="46" t="s">
        <v>589</v>
      </c>
      <c r="G28" s="46" t="s">
        <v>659</v>
      </c>
      <c r="H28" s="71" t="s">
        <v>1507</v>
      </c>
      <c r="I28" s="71"/>
      <c r="J28" s="71"/>
      <c r="K28" s="71"/>
      <c r="L28" s="71"/>
      <c r="M28" s="71"/>
      <c r="N28" s="71"/>
      <c r="O28" s="71"/>
      <c r="P28" s="71" t="s">
        <v>1507</v>
      </c>
      <c r="Q28" s="18" t="s">
        <v>566</v>
      </c>
      <c r="R28" s="18" t="s">
        <v>1747</v>
      </c>
      <c r="S28" s="71"/>
      <c r="T28" s="9" t="s">
        <v>982</v>
      </c>
      <c r="U28" s="9" t="s">
        <v>927</v>
      </c>
      <c r="V28" s="9" t="s">
        <v>872</v>
      </c>
      <c r="W28" s="9" t="s">
        <v>817</v>
      </c>
      <c r="X28" s="90"/>
    </row>
    <row r="29" spans="1:24" ht="16.5">
      <c r="A29" s="62">
        <v>28</v>
      </c>
      <c r="B29" s="7">
        <v>28</v>
      </c>
      <c r="C29" s="7">
        <v>22</v>
      </c>
      <c r="D29" s="91"/>
      <c r="E29" s="91"/>
      <c r="F29" s="46" t="s">
        <v>1488</v>
      </c>
      <c r="G29" s="46" t="s">
        <v>1451</v>
      </c>
      <c r="H29" s="71" t="s">
        <v>758</v>
      </c>
      <c r="I29" s="71"/>
      <c r="J29" s="71"/>
      <c r="K29" s="71"/>
      <c r="L29" s="71"/>
      <c r="M29" s="71"/>
      <c r="N29" s="71"/>
      <c r="O29" s="71"/>
      <c r="P29" s="71" t="s">
        <v>758</v>
      </c>
      <c r="Q29" s="18" t="s">
        <v>567</v>
      </c>
      <c r="R29" s="18" t="s">
        <v>1748</v>
      </c>
      <c r="S29" s="71"/>
      <c r="T29" s="9" t="s">
        <v>1522</v>
      </c>
      <c r="U29" s="9" t="s">
        <v>1523</v>
      </c>
      <c r="V29" s="9" t="s">
        <v>1524</v>
      </c>
      <c r="W29" s="9" t="s">
        <v>1525</v>
      </c>
      <c r="X29" s="90"/>
    </row>
    <row r="30" spans="1:24" ht="16.5">
      <c r="A30" s="62">
        <v>29</v>
      </c>
      <c r="B30" s="7">
        <v>29</v>
      </c>
      <c r="C30" s="7">
        <v>23</v>
      </c>
      <c r="D30" s="91"/>
      <c r="E30" s="91"/>
      <c r="F30" s="46" t="s">
        <v>569</v>
      </c>
      <c r="G30" s="46" t="s">
        <v>641</v>
      </c>
      <c r="H30" s="71" t="s">
        <v>759</v>
      </c>
      <c r="I30" s="71"/>
      <c r="J30" s="71"/>
      <c r="K30" s="71"/>
      <c r="L30" s="71"/>
      <c r="M30" s="71"/>
      <c r="N30" s="71"/>
      <c r="O30" s="71"/>
      <c r="P30" s="71" t="s">
        <v>759</v>
      </c>
      <c r="Q30" s="18" t="s">
        <v>721</v>
      </c>
      <c r="R30" s="18" t="s">
        <v>1749</v>
      </c>
      <c r="S30" s="71"/>
      <c r="T30" s="9" t="s">
        <v>966</v>
      </c>
      <c r="U30" s="9" t="s">
        <v>911</v>
      </c>
      <c r="V30" s="9" t="s">
        <v>856</v>
      </c>
      <c r="W30" s="9" t="s">
        <v>801</v>
      </c>
      <c r="X30" s="90"/>
    </row>
    <row r="31" spans="1:24" ht="16.5">
      <c r="A31" s="62">
        <v>30</v>
      </c>
      <c r="B31" s="7">
        <v>30</v>
      </c>
      <c r="C31" s="7">
        <v>24</v>
      </c>
      <c r="D31" s="91">
        <v>18</v>
      </c>
      <c r="E31" s="91">
        <v>12</v>
      </c>
      <c r="F31" s="46" t="s">
        <v>570</v>
      </c>
      <c r="G31" s="46" t="s">
        <v>642</v>
      </c>
      <c r="H31" s="71" t="s">
        <v>760</v>
      </c>
      <c r="I31" s="71"/>
      <c r="J31" s="71"/>
      <c r="K31" s="71"/>
      <c r="L31" s="71"/>
      <c r="M31" s="71"/>
      <c r="N31" s="71"/>
      <c r="O31" s="71"/>
      <c r="P31" s="71" t="s">
        <v>760</v>
      </c>
      <c r="Q31" s="18" t="s">
        <v>722</v>
      </c>
      <c r="R31" s="18" t="s">
        <v>1750</v>
      </c>
      <c r="S31" s="71"/>
      <c r="T31" s="9" t="s">
        <v>967</v>
      </c>
      <c r="U31" s="9" t="s">
        <v>912</v>
      </c>
      <c r="V31" s="9" t="s">
        <v>857</v>
      </c>
      <c r="W31" s="9" t="s">
        <v>802</v>
      </c>
      <c r="X31" s="90"/>
    </row>
    <row r="32" spans="1:24" ht="16.5">
      <c r="A32" s="62">
        <v>31</v>
      </c>
      <c r="B32" s="7">
        <v>31</v>
      </c>
      <c r="C32" s="7">
        <v>25</v>
      </c>
      <c r="D32" s="91"/>
      <c r="E32" s="91"/>
      <c r="F32" s="46" t="s">
        <v>83</v>
      </c>
      <c r="G32" s="46" t="s">
        <v>1432</v>
      </c>
      <c r="H32" s="71"/>
      <c r="I32" s="71"/>
      <c r="J32" s="71"/>
      <c r="K32" s="71"/>
      <c r="L32" s="71"/>
      <c r="M32" s="71"/>
      <c r="N32" s="71"/>
      <c r="O32" s="71"/>
      <c r="P32" s="71"/>
      <c r="Q32" s="18"/>
      <c r="R32" s="18"/>
      <c r="S32" s="71"/>
      <c r="T32" s="9"/>
      <c r="U32" s="9"/>
      <c r="V32" s="9"/>
      <c r="W32" s="9"/>
      <c r="X32" s="90"/>
    </row>
    <row r="33" spans="1:24" ht="16.5">
      <c r="A33" s="62">
        <v>32</v>
      </c>
      <c r="B33" s="7">
        <v>32</v>
      </c>
      <c r="C33" s="7">
        <v>26</v>
      </c>
      <c r="D33" s="91"/>
      <c r="E33" s="91"/>
      <c r="F33" s="46" t="s">
        <v>82</v>
      </c>
      <c r="G33" s="46" t="s">
        <v>240</v>
      </c>
      <c r="H33" s="71"/>
      <c r="I33" s="71"/>
      <c r="J33" s="71"/>
      <c r="K33" s="71"/>
      <c r="L33" s="71"/>
      <c r="M33" s="71"/>
      <c r="N33" s="71"/>
      <c r="O33" s="71"/>
      <c r="P33" s="18"/>
      <c r="Q33" s="18"/>
      <c r="R33" s="18"/>
      <c r="S33" s="71"/>
      <c r="T33" s="9"/>
      <c r="U33" s="9"/>
      <c r="V33" s="9"/>
      <c r="W33" s="9"/>
      <c r="X33" s="90"/>
    </row>
    <row r="34" spans="1:24" ht="16.5">
      <c r="A34" s="62">
        <v>33</v>
      </c>
      <c r="B34" s="7">
        <v>33</v>
      </c>
      <c r="C34" s="7">
        <v>27</v>
      </c>
      <c r="D34" s="91">
        <v>19</v>
      </c>
      <c r="E34" s="91">
        <v>13</v>
      </c>
      <c r="F34" s="46" t="s">
        <v>571</v>
      </c>
      <c r="G34" s="46" t="s">
        <v>643</v>
      </c>
      <c r="H34" s="71" t="s">
        <v>761</v>
      </c>
      <c r="I34" s="71"/>
      <c r="J34" s="71"/>
      <c r="K34" s="71"/>
      <c r="L34" s="71"/>
      <c r="M34" s="71"/>
      <c r="N34" s="71"/>
      <c r="O34" s="71"/>
      <c r="P34" s="71" t="s">
        <v>761</v>
      </c>
      <c r="Q34" s="18" t="s">
        <v>558</v>
      </c>
      <c r="R34" s="18" t="s">
        <v>1751</v>
      </c>
      <c r="S34" s="71"/>
      <c r="T34" s="9" t="s">
        <v>968</v>
      </c>
      <c r="U34" s="9" t="s">
        <v>913</v>
      </c>
      <c r="V34" s="9" t="s">
        <v>858</v>
      </c>
      <c r="W34" s="9" t="s">
        <v>803</v>
      </c>
      <c r="X34" s="90"/>
    </row>
    <row r="35" spans="1:24" ht="16.5">
      <c r="A35" s="62">
        <v>34</v>
      </c>
      <c r="B35" s="7">
        <v>34</v>
      </c>
      <c r="C35" s="7">
        <v>28</v>
      </c>
      <c r="D35" s="91">
        <v>20</v>
      </c>
      <c r="E35" s="91">
        <v>14</v>
      </c>
      <c r="F35" s="46" t="s">
        <v>1489</v>
      </c>
      <c r="G35" s="46" t="s">
        <v>1452</v>
      </c>
      <c r="H35" s="71" t="s">
        <v>762</v>
      </c>
      <c r="I35" s="71"/>
      <c r="J35" s="71"/>
      <c r="K35" s="71"/>
      <c r="L35" s="71"/>
      <c r="M35" s="71"/>
      <c r="N35" s="71"/>
      <c r="O35" s="71"/>
      <c r="P35" s="71" t="s">
        <v>762</v>
      </c>
      <c r="Q35" s="18" t="s">
        <v>559</v>
      </c>
      <c r="R35" s="18" t="s">
        <v>1752</v>
      </c>
      <c r="S35" s="71"/>
      <c r="T35" s="9" t="s">
        <v>1526</v>
      </c>
      <c r="U35" s="9" t="s">
        <v>1527</v>
      </c>
      <c r="V35" s="9" t="s">
        <v>1528</v>
      </c>
      <c r="W35" s="9" t="s">
        <v>1529</v>
      </c>
      <c r="X35" s="90"/>
    </row>
    <row r="36" spans="1:24" ht="16.5">
      <c r="A36" s="62">
        <v>35</v>
      </c>
      <c r="B36" s="7">
        <v>35</v>
      </c>
      <c r="C36" s="7">
        <v>29</v>
      </c>
      <c r="D36" s="91">
        <v>21</v>
      </c>
      <c r="E36" s="91"/>
      <c r="F36" s="46" t="s">
        <v>572</v>
      </c>
      <c r="G36" s="46" t="s">
        <v>644</v>
      </c>
      <c r="H36" s="71" t="s">
        <v>763</v>
      </c>
      <c r="I36" s="71"/>
      <c r="J36" s="71"/>
      <c r="K36" s="71"/>
      <c r="L36" s="71"/>
      <c r="M36" s="71"/>
      <c r="N36" s="71"/>
      <c r="O36" s="71"/>
      <c r="P36" s="71" t="s">
        <v>763</v>
      </c>
      <c r="Q36" s="18" t="s">
        <v>560</v>
      </c>
      <c r="R36" s="18" t="s">
        <v>1753</v>
      </c>
      <c r="S36" s="71"/>
      <c r="T36" s="9" t="s">
        <v>709</v>
      </c>
      <c r="U36" s="9" t="s">
        <v>701</v>
      </c>
      <c r="V36" s="9" t="s">
        <v>693</v>
      </c>
      <c r="W36" s="9" t="s">
        <v>679</v>
      </c>
      <c r="X36" s="90"/>
    </row>
    <row r="37" spans="1:24" ht="16.5">
      <c r="A37" s="62">
        <v>36</v>
      </c>
      <c r="B37" s="7">
        <v>36</v>
      </c>
      <c r="C37" s="7">
        <v>30</v>
      </c>
      <c r="D37" s="91">
        <v>22</v>
      </c>
      <c r="E37" s="91">
        <v>15</v>
      </c>
      <c r="F37" s="46" t="s">
        <v>573</v>
      </c>
      <c r="G37" s="46" t="s">
        <v>645</v>
      </c>
      <c r="H37" s="71" t="s">
        <v>764</v>
      </c>
      <c r="I37" s="71"/>
      <c r="J37" s="71"/>
      <c r="K37" s="71"/>
      <c r="L37" s="71"/>
      <c r="M37" s="71"/>
      <c r="N37" s="71"/>
      <c r="O37" s="71"/>
      <c r="P37" s="71" t="s">
        <v>764</v>
      </c>
      <c r="Q37" s="18" t="s">
        <v>561</v>
      </c>
      <c r="R37" s="18" t="s">
        <v>1754</v>
      </c>
      <c r="S37" s="71"/>
      <c r="T37" s="9" t="s">
        <v>969</v>
      </c>
      <c r="U37" s="9" t="s">
        <v>914</v>
      </c>
      <c r="V37" s="9" t="s">
        <v>859</v>
      </c>
      <c r="W37" s="9" t="s">
        <v>804</v>
      </c>
      <c r="X37" s="90"/>
    </row>
    <row r="38" spans="1:24" ht="16.5">
      <c r="A38" s="62">
        <v>37</v>
      </c>
      <c r="B38" s="7">
        <v>37</v>
      </c>
      <c r="C38" s="7">
        <v>31</v>
      </c>
      <c r="D38" s="91">
        <v>23</v>
      </c>
      <c r="E38" s="91"/>
      <c r="F38" s="46" t="s">
        <v>574</v>
      </c>
      <c r="G38" s="46" t="s">
        <v>646</v>
      </c>
      <c r="H38" s="71" t="s">
        <v>765</v>
      </c>
      <c r="I38" s="71"/>
      <c r="J38" s="71"/>
      <c r="K38" s="71"/>
      <c r="L38" s="71"/>
      <c r="M38" s="71"/>
      <c r="N38" s="71"/>
      <c r="O38" s="71"/>
      <c r="P38" s="71" t="s">
        <v>765</v>
      </c>
      <c r="Q38" s="18" t="s">
        <v>562</v>
      </c>
      <c r="R38" s="18" t="s">
        <v>1755</v>
      </c>
      <c r="S38" s="71"/>
      <c r="T38" s="9" t="s">
        <v>970</v>
      </c>
      <c r="U38" s="9" t="s">
        <v>915</v>
      </c>
      <c r="V38" s="9" t="s">
        <v>860</v>
      </c>
      <c r="W38" s="9" t="s">
        <v>805</v>
      </c>
      <c r="X38" s="90"/>
    </row>
    <row r="39" spans="1:24" ht="16.5">
      <c r="A39" s="62">
        <v>38</v>
      </c>
      <c r="B39" s="7">
        <v>38</v>
      </c>
      <c r="C39" s="7">
        <v>32</v>
      </c>
      <c r="D39" s="91">
        <v>24</v>
      </c>
      <c r="E39" s="91">
        <v>16</v>
      </c>
      <c r="F39" s="46" t="s">
        <v>1490</v>
      </c>
      <c r="G39" s="46" t="s">
        <v>1453</v>
      </c>
      <c r="H39" s="71" t="s">
        <v>766</v>
      </c>
      <c r="I39" s="71"/>
      <c r="J39" s="71"/>
      <c r="K39" s="71"/>
      <c r="L39" s="71"/>
      <c r="M39" s="71"/>
      <c r="N39" s="71"/>
      <c r="O39" s="71"/>
      <c r="P39" s="71" t="s">
        <v>766</v>
      </c>
      <c r="Q39" s="18" t="s">
        <v>563</v>
      </c>
      <c r="R39" s="18" t="s">
        <v>1756</v>
      </c>
      <c r="S39" s="71"/>
      <c r="T39" s="9" t="s">
        <v>1530</v>
      </c>
      <c r="U39" s="9" t="s">
        <v>1531</v>
      </c>
      <c r="V39" s="9" t="s">
        <v>1532</v>
      </c>
      <c r="W39" s="9" t="s">
        <v>1533</v>
      </c>
      <c r="X39" s="90"/>
    </row>
    <row r="40" spans="1:24" ht="16.5">
      <c r="A40" s="62">
        <v>39</v>
      </c>
      <c r="B40" s="7">
        <v>39</v>
      </c>
      <c r="C40" s="7"/>
      <c r="D40" s="91"/>
      <c r="E40" s="91"/>
      <c r="F40" s="46" t="s">
        <v>605</v>
      </c>
      <c r="G40" s="46" t="s">
        <v>669</v>
      </c>
      <c r="H40" s="71" t="s">
        <v>767</v>
      </c>
      <c r="I40" s="71"/>
      <c r="J40" s="71"/>
      <c r="K40" s="71"/>
      <c r="L40" s="71"/>
      <c r="M40" s="71"/>
      <c r="N40" s="71"/>
      <c r="O40" s="71"/>
      <c r="P40" s="71" t="s">
        <v>767</v>
      </c>
      <c r="Q40" s="71" t="s">
        <v>556</v>
      </c>
      <c r="R40" s="18"/>
      <c r="S40" s="71"/>
      <c r="T40" s="9" t="s">
        <v>990</v>
      </c>
      <c r="U40" s="9" t="s">
        <v>935</v>
      </c>
      <c r="V40" s="9" t="s">
        <v>880</v>
      </c>
      <c r="W40" s="9" t="s">
        <v>825</v>
      </c>
      <c r="X40" s="90"/>
    </row>
    <row r="41" spans="1:24" ht="16.5">
      <c r="A41" s="62">
        <v>40</v>
      </c>
      <c r="B41" s="7">
        <v>40</v>
      </c>
      <c r="C41" s="7"/>
      <c r="D41" s="91"/>
      <c r="E41" s="91"/>
      <c r="F41" s="46" t="s">
        <v>606</v>
      </c>
      <c r="G41" s="46" t="s">
        <v>670</v>
      </c>
      <c r="H41" s="71" t="s">
        <v>768</v>
      </c>
      <c r="I41" s="71"/>
      <c r="J41" s="71"/>
      <c r="K41" s="71"/>
      <c r="L41" s="71"/>
      <c r="M41" s="71"/>
      <c r="N41" s="71"/>
      <c r="O41" s="71"/>
      <c r="P41" s="71" t="s">
        <v>768</v>
      </c>
      <c r="Q41" s="71" t="s">
        <v>557</v>
      </c>
      <c r="R41" s="18"/>
      <c r="S41" s="71"/>
      <c r="T41" s="9" t="s">
        <v>991</v>
      </c>
      <c r="U41" s="9" t="s">
        <v>936</v>
      </c>
      <c r="V41" s="9" t="s">
        <v>881</v>
      </c>
      <c r="W41" s="9" t="s">
        <v>826</v>
      </c>
      <c r="X41" s="90"/>
    </row>
    <row r="42" spans="1:24" ht="16.5">
      <c r="A42" s="61">
        <v>41</v>
      </c>
      <c r="B42" s="7">
        <v>41</v>
      </c>
      <c r="C42" s="7"/>
      <c r="D42" s="91"/>
      <c r="E42" s="91"/>
      <c r="F42" s="46" t="s">
        <v>607</v>
      </c>
      <c r="G42" s="46" t="s">
        <v>671</v>
      </c>
      <c r="H42" s="71" t="s">
        <v>769</v>
      </c>
      <c r="I42" s="71"/>
      <c r="J42" s="71"/>
      <c r="K42" s="71"/>
      <c r="L42" s="71"/>
      <c r="M42" s="71"/>
      <c r="N42" s="71"/>
      <c r="O42" s="71"/>
      <c r="P42" s="71" t="s">
        <v>769</v>
      </c>
      <c r="Q42" s="71" t="s">
        <v>550</v>
      </c>
      <c r="R42" s="18"/>
      <c r="S42" s="71"/>
      <c r="T42" s="9" t="s">
        <v>992</v>
      </c>
      <c r="U42" s="9" t="s">
        <v>937</v>
      </c>
      <c r="V42" s="9" t="s">
        <v>882</v>
      </c>
      <c r="W42" s="9" t="s">
        <v>827</v>
      </c>
      <c r="X42" s="90"/>
    </row>
    <row r="43" spans="1:24" ht="16.5">
      <c r="A43" s="61">
        <v>42</v>
      </c>
      <c r="B43" s="7">
        <v>42</v>
      </c>
      <c r="C43" s="7"/>
      <c r="D43" s="91"/>
      <c r="E43" s="91"/>
      <c r="F43" s="46" t="s">
        <v>608</v>
      </c>
      <c r="G43" s="46" t="s">
        <v>672</v>
      </c>
      <c r="H43" s="71" t="s">
        <v>770</v>
      </c>
      <c r="I43" s="71"/>
      <c r="J43" s="71"/>
      <c r="K43" s="71"/>
      <c r="L43" s="71"/>
      <c r="M43" s="71"/>
      <c r="N43" s="71"/>
      <c r="O43" s="71"/>
      <c r="P43" s="71" t="s">
        <v>770</v>
      </c>
      <c r="Q43" s="71" t="s">
        <v>551</v>
      </c>
      <c r="R43" s="18"/>
      <c r="S43" s="71"/>
      <c r="T43" s="9" t="s">
        <v>993</v>
      </c>
      <c r="U43" s="9" t="s">
        <v>938</v>
      </c>
      <c r="V43" s="9" t="s">
        <v>883</v>
      </c>
      <c r="W43" s="9" t="s">
        <v>828</v>
      </c>
      <c r="X43" s="90"/>
    </row>
    <row r="44" spans="1:24" ht="16.5">
      <c r="A44" s="61">
        <v>43</v>
      </c>
      <c r="B44" s="7">
        <v>43</v>
      </c>
      <c r="C44" s="7">
        <v>33</v>
      </c>
      <c r="D44" s="91">
        <v>25</v>
      </c>
      <c r="E44" s="91">
        <v>17</v>
      </c>
      <c r="F44" s="46" t="s">
        <v>597</v>
      </c>
      <c r="G44" s="46" t="s">
        <v>663</v>
      </c>
      <c r="H44" s="71" t="s">
        <v>771</v>
      </c>
      <c r="I44" s="71"/>
      <c r="J44" s="71"/>
      <c r="K44" s="71"/>
      <c r="L44" s="71"/>
      <c r="M44" s="71"/>
      <c r="N44" s="71"/>
      <c r="O44" s="71"/>
      <c r="P44" s="71" t="s">
        <v>771</v>
      </c>
      <c r="Q44" s="18" t="s">
        <v>719</v>
      </c>
      <c r="R44" s="18" t="s">
        <v>1757</v>
      </c>
      <c r="S44" s="71"/>
      <c r="T44" s="9" t="s">
        <v>710</v>
      </c>
      <c r="U44" s="9" t="s">
        <v>702</v>
      </c>
      <c r="V44" s="9" t="s">
        <v>694</v>
      </c>
      <c r="W44" s="9" t="s">
        <v>680</v>
      </c>
      <c r="X44" s="90"/>
    </row>
    <row r="45" spans="1:24" ht="16.5">
      <c r="A45" s="61">
        <v>44</v>
      </c>
      <c r="B45" s="7">
        <v>44</v>
      </c>
      <c r="C45" s="7">
        <v>34</v>
      </c>
      <c r="D45" s="91">
        <v>26</v>
      </c>
      <c r="E45" s="91">
        <v>18</v>
      </c>
      <c r="F45" s="46" t="s">
        <v>598</v>
      </c>
      <c r="G45" s="46" t="s">
        <v>664</v>
      </c>
      <c r="H45" s="71" t="s">
        <v>772</v>
      </c>
      <c r="I45" s="71"/>
      <c r="J45" s="71"/>
      <c r="K45" s="71"/>
      <c r="L45" s="71"/>
      <c r="M45" s="71"/>
      <c r="N45" s="71"/>
      <c r="O45" s="71"/>
      <c r="P45" s="71" t="s">
        <v>772</v>
      </c>
      <c r="Q45" s="18" t="s">
        <v>720</v>
      </c>
      <c r="R45" s="18" t="s">
        <v>1758</v>
      </c>
      <c r="S45" s="71"/>
      <c r="T45" s="9" t="s">
        <v>985</v>
      </c>
      <c r="U45" s="9" t="s">
        <v>930</v>
      </c>
      <c r="V45" s="9" t="s">
        <v>875</v>
      </c>
      <c r="W45" s="9" t="s">
        <v>820</v>
      </c>
      <c r="X45" s="90"/>
    </row>
    <row r="46" spans="1:24" ht="16.5">
      <c r="A46" s="61">
        <v>45</v>
      </c>
      <c r="B46" s="7">
        <v>45</v>
      </c>
      <c r="C46" s="7">
        <v>35</v>
      </c>
      <c r="D46" s="91"/>
      <c r="E46" s="91"/>
      <c r="F46" s="46" t="s">
        <v>575</v>
      </c>
      <c r="G46" s="46" t="s">
        <v>647</v>
      </c>
      <c r="H46" s="71" t="s">
        <v>1454</v>
      </c>
      <c r="I46" s="71"/>
      <c r="J46" s="71"/>
      <c r="K46" s="71"/>
      <c r="L46" s="71"/>
      <c r="M46" s="71"/>
      <c r="N46" s="71"/>
      <c r="O46" s="71"/>
      <c r="P46" s="18"/>
      <c r="Q46" s="18"/>
      <c r="R46" s="18"/>
      <c r="S46" s="71"/>
      <c r="T46" s="9" t="s">
        <v>971</v>
      </c>
      <c r="U46" s="9" t="s">
        <v>916</v>
      </c>
      <c r="V46" s="9" t="s">
        <v>861</v>
      </c>
      <c r="W46" s="9" t="s">
        <v>806</v>
      </c>
      <c r="X46" s="90"/>
    </row>
    <row r="47" spans="1:24" ht="16.5">
      <c r="A47" s="61">
        <v>46</v>
      </c>
      <c r="B47" s="7">
        <v>46</v>
      </c>
      <c r="C47" s="7">
        <v>36</v>
      </c>
      <c r="D47" s="91"/>
      <c r="E47" s="91"/>
      <c r="F47" s="46" t="s">
        <v>576</v>
      </c>
      <c r="G47" s="46" t="s">
        <v>648</v>
      </c>
      <c r="H47" s="71" t="s">
        <v>533</v>
      </c>
      <c r="I47" s="71" t="s">
        <v>1455</v>
      </c>
      <c r="J47" s="71"/>
      <c r="K47" s="71"/>
      <c r="L47" s="71"/>
      <c r="M47" s="71"/>
      <c r="N47" s="71"/>
      <c r="O47" s="71"/>
      <c r="P47" s="18"/>
      <c r="Q47" s="18"/>
      <c r="R47" s="18"/>
      <c r="S47" s="71"/>
      <c r="T47" s="9" t="s">
        <v>972</v>
      </c>
      <c r="U47" s="9" t="s">
        <v>917</v>
      </c>
      <c r="V47" s="9" t="s">
        <v>862</v>
      </c>
      <c r="W47" s="9" t="s">
        <v>807</v>
      </c>
      <c r="X47" s="90"/>
    </row>
    <row r="48" spans="1:24" ht="16.5">
      <c r="A48" s="61">
        <v>47</v>
      </c>
      <c r="B48" s="7">
        <v>47</v>
      </c>
      <c r="C48" s="7">
        <v>37</v>
      </c>
      <c r="D48" s="91"/>
      <c r="E48" s="91"/>
      <c r="F48" s="46" t="s">
        <v>577</v>
      </c>
      <c r="G48" s="46" t="s">
        <v>649</v>
      </c>
      <c r="H48" s="71" t="s">
        <v>536</v>
      </c>
      <c r="I48" s="71" t="s">
        <v>1456</v>
      </c>
      <c r="J48" s="71"/>
      <c r="K48" s="71"/>
      <c r="L48" s="71"/>
      <c r="M48" s="71"/>
      <c r="N48" s="71"/>
      <c r="O48" s="71"/>
      <c r="P48" s="18"/>
      <c r="Q48" s="18"/>
      <c r="R48" s="18"/>
      <c r="S48" s="71"/>
      <c r="T48" s="9" t="s">
        <v>973</v>
      </c>
      <c r="U48" s="9" t="s">
        <v>918</v>
      </c>
      <c r="V48" s="9" t="s">
        <v>863</v>
      </c>
      <c r="W48" s="9" t="s">
        <v>808</v>
      </c>
      <c r="X48" s="90"/>
    </row>
    <row r="49" spans="1:24" ht="16.5">
      <c r="A49" s="61">
        <v>48</v>
      </c>
      <c r="B49" s="7">
        <v>48</v>
      </c>
      <c r="C49" s="7">
        <v>38</v>
      </c>
      <c r="D49" s="91">
        <v>27</v>
      </c>
      <c r="E49" s="91"/>
      <c r="F49" s="46" t="s">
        <v>578</v>
      </c>
      <c r="G49" s="46" t="s">
        <v>650</v>
      </c>
      <c r="H49" s="71" t="s">
        <v>538</v>
      </c>
      <c r="I49" s="71" t="s">
        <v>1457</v>
      </c>
      <c r="J49" s="71"/>
      <c r="K49" s="71"/>
      <c r="L49" s="71"/>
      <c r="M49" s="71"/>
      <c r="N49" s="71"/>
      <c r="O49" s="71"/>
      <c r="P49" s="18"/>
      <c r="Q49" s="18"/>
      <c r="R49" s="18"/>
      <c r="S49" s="71"/>
      <c r="T49" s="9" t="s">
        <v>974</v>
      </c>
      <c r="U49" s="9" t="s">
        <v>919</v>
      </c>
      <c r="V49" s="9" t="s">
        <v>864</v>
      </c>
      <c r="W49" s="9" t="s">
        <v>809</v>
      </c>
      <c r="X49" s="90"/>
    </row>
    <row r="50" spans="1:24" ht="16.5">
      <c r="A50" s="61">
        <v>49</v>
      </c>
      <c r="B50" s="7">
        <v>49</v>
      </c>
      <c r="C50" s="7">
        <v>39</v>
      </c>
      <c r="D50" s="91">
        <v>28</v>
      </c>
      <c r="E50" s="91"/>
      <c r="F50" s="46" t="s">
        <v>579</v>
      </c>
      <c r="G50" s="46" t="s">
        <v>651</v>
      </c>
      <c r="H50" s="71" t="s">
        <v>540</v>
      </c>
      <c r="I50" s="71" t="s">
        <v>1458</v>
      </c>
      <c r="J50" s="71"/>
      <c r="K50" s="71"/>
      <c r="L50" s="71"/>
      <c r="M50" s="71"/>
      <c r="N50" s="71"/>
      <c r="O50" s="71"/>
      <c r="P50" s="18"/>
      <c r="Q50" s="18"/>
      <c r="R50" s="18"/>
      <c r="S50" s="71"/>
      <c r="T50" s="9" t="s">
        <v>975</v>
      </c>
      <c r="U50" s="9" t="s">
        <v>920</v>
      </c>
      <c r="V50" s="9" t="s">
        <v>865</v>
      </c>
      <c r="W50" s="9" t="s">
        <v>810</v>
      </c>
      <c r="X50" s="90"/>
    </row>
    <row r="51" spans="1:24" ht="16.5">
      <c r="A51" s="61">
        <v>50</v>
      </c>
      <c r="B51" s="7">
        <v>50</v>
      </c>
      <c r="C51" s="7">
        <v>40</v>
      </c>
      <c r="D51" s="91">
        <v>29</v>
      </c>
      <c r="E51" s="91">
        <v>19</v>
      </c>
      <c r="F51" s="46" t="s">
        <v>83</v>
      </c>
      <c r="G51" s="46" t="s">
        <v>1432</v>
      </c>
      <c r="H51" s="71"/>
      <c r="I51" s="71"/>
      <c r="J51" s="71"/>
      <c r="K51" s="71"/>
      <c r="L51" s="71"/>
      <c r="M51" s="71"/>
      <c r="N51" s="71"/>
      <c r="O51" s="71"/>
      <c r="P51" s="18"/>
      <c r="Q51" s="18"/>
      <c r="R51" s="18"/>
      <c r="S51" s="71"/>
      <c r="T51" s="9"/>
      <c r="U51" s="9"/>
      <c r="V51" s="9"/>
      <c r="W51" s="9"/>
      <c r="X51" s="90"/>
    </row>
    <row r="52" spans="1:24" ht="16.5">
      <c r="A52" s="61">
        <v>51</v>
      </c>
      <c r="B52" s="7">
        <v>51</v>
      </c>
      <c r="C52" s="7">
        <v>41</v>
      </c>
      <c r="D52" s="91">
        <v>30</v>
      </c>
      <c r="E52" s="91">
        <v>20</v>
      </c>
      <c r="F52" s="46" t="s">
        <v>82</v>
      </c>
      <c r="G52" s="46" t="s">
        <v>240</v>
      </c>
      <c r="H52" s="71"/>
      <c r="I52" s="71"/>
      <c r="J52" s="71"/>
      <c r="K52" s="71"/>
      <c r="L52" s="71"/>
      <c r="M52" s="71"/>
      <c r="N52" s="71"/>
      <c r="O52" s="71"/>
      <c r="P52" s="18"/>
      <c r="Q52" s="18"/>
      <c r="R52" s="18"/>
      <c r="S52" s="71"/>
      <c r="T52" s="9"/>
      <c r="U52" s="9"/>
      <c r="V52" s="9"/>
      <c r="W52" s="9"/>
      <c r="X52" s="90"/>
    </row>
    <row r="53" spans="1:24" ht="16.5">
      <c r="A53" s="61">
        <v>52</v>
      </c>
      <c r="B53" s="7">
        <v>52</v>
      </c>
      <c r="C53" s="7">
        <v>42</v>
      </c>
      <c r="D53" s="91">
        <v>31</v>
      </c>
      <c r="E53" s="91">
        <v>21</v>
      </c>
      <c r="F53" s="46" t="s">
        <v>580</v>
      </c>
      <c r="G53" s="46" t="s">
        <v>652</v>
      </c>
      <c r="H53" s="71" t="s">
        <v>542</v>
      </c>
      <c r="I53" s="71" t="s">
        <v>1459</v>
      </c>
      <c r="J53" s="71" t="s">
        <v>1759</v>
      </c>
      <c r="K53" s="71"/>
      <c r="L53" s="71"/>
      <c r="M53" s="71"/>
      <c r="N53" s="71"/>
      <c r="O53" s="71"/>
      <c r="P53" s="18"/>
      <c r="Q53" s="18"/>
      <c r="R53" s="18"/>
      <c r="S53" s="71"/>
      <c r="T53" s="9" t="s">
        <v>976</v>
      </c>
      <c r="U53" s="9" t="s">
        <v>921</v>
      </c>
      <c r="V53" s="9" t="s">
        <v>866</v>
      </c>
      <c r="W53" s="9" t="s">
        <v>811</v>
      </c>
      <c r="X53" s="90"/>
    </row>
    <row r="54" spans="1:24" ht="16.5">
      <c r="A54" s="61">
        <v>53</v>
      </c>
      <c r="B54" s="7">
        <v>53</v>
      </c>
      <c r="C54" s="7">
        <v>43</v>
      </c>
      <c r="D54" s="91">
        <v>32</v>
      </c>
      <c r="E54" s="91">
        <v>22</v>
      </c>
      <c r="F54" s="46" t="s">
        <v>484</v>
      </c>
      <c r="G54" s="46" t="s">
        <v>617</v>
      </c>
      <c r="H54" s="71" t="s">
        <v>544</v>
      </c>
      <c r="I54" s="71" t="s">
        <v>1461</v>
      </c>
      <c r="J54" s="71" t="s">
        <v>1739</v>
      </c>
      <c r="K54" s="71"/>
      <c r="L54" s="71"/>
      <c r="M54" s="71"/>
      <c r="N54" s="71"/>
      <c r="O54" s="71"/>
      <c r="P54" s="18"/>
      <c r="Q54" s="18"/>
      <c r="R54" s="18"/>
      <c r="S54" s="71"/>
      <c r="T54" s="9" t="s">
        <v>704</v>
      </c>
      <c r="U54" s="9" t="s">
        <v>696</v>
      </c>
      <c r="V54" s="9" t="s">
        <v>688</v>
      </c>
      <c r="W54" s="9" t="s">
        <v>674</v>
      </c>
      <c r="X54" s="90"/>
    </row>
    <row r="55" spans="1:24" ht="16.5">
      <c r="A55" s="61">
        <v>54</v>
      </c>
      <c r="B55" s="7">
        <v>54</v>
      </c>
      <c r="C55" s="7">
        <v>44</v>
      </c>
      <c r="D55" s="91"/>
      <c r="E55" s="91"/>
      <c r="F55" s="46" t="s">
        <v>486</v>
      </c>
      <c r="G55" s="46" t="s">
        <v>618</v>
      </c>
      <c r="H55" s="71" t="s">
        <v>1463</v>
      </c>
      <c r="I55" s="71"/>
      <c r="J55" s="71"/>
      <c r="K55" s="71"/>
      <c r="L55" s="71"/>
      <c r="M55" s="71"/>
      <c r="N55" s="71"/>
      <c r="O55" s="71"/>
      <c r="P55" s="18"/>
      <c r="Q55" s="18"/>
      <c r="R55" s="18"/>
      <c r="S55" s="71"/>
      <c r="T55" s="9" t="s">
        <v>946</v>
      </c>
      <c r="U55" s="9" t="s">
        <v>891</v>
      </c>
      <c r="V55" s="9" t="s">
        <v>836</v>
      </c>
      <c r="W55" s="9" t="s">
        <v>781</v>
      </c>
      <c r="X55" s="90"/>
    </row>
    <row r="56" spans="1:24" ht="16.5">
      <c r="A56" s="61">
        <v>55</v>
      </c>
      <c r="B56" s="7">
        <v>55</v>
      </c>
      <c r="C56" s="7">
        <v>45</v>
      </c>
      <c r="D56" s="91">
        <v>33</v>
      </c>
      <c r="E56" s="91"/>
      <c r="F56" s="46" t="s">
        <v>488</v>
      </c>
      <c r="G56" s="46" t="s">
        <v>619</v>
      </c>
      <c r="H56" s="71" t="s">
        <v>546</v>
      </c>
      <c r="I56" s="71" t="s">
        <v>1464</v>
      </c>
      <c r="J56" s="71"/>
      <c r="K56" s="71"/>
      <c r="L56" s="71"/>
      <c r="M56" s="71"/>
      <c r="N56" s="71"/>
      <c r="O56" s="71"/>
      <c r="P56" s="18"/>
      <c r="Q56" s="18"/>
      <c r="R56" s="18"/>
      <c r="S56" s="71"/>
      <c r="T56" s="9" t="s">
        <v>947</v>
      </c>
      <c r="U56" s="9" t="s">
        <v>892</v>
      </c>
      <c r="V56" s="9" t="s">
        <v>837</v>
      </c>
      <c r="W56" s="9" t="s">
        <v>782</v>
      </c>
      <c r="X56" s="90"/>
    </row>
    <row r="57" spans="1:24" ht="16.5">
      <c r="A57" s="61">
        <v>56</v>
      </c>
      <c r="B57" s="7">
        <v>56</v>
      </c>
      <c r="C57" s="7">
        <v>46</v>
      </c>
      <c r="D57" s="91">
        <v>34</v>
      </c>
      <c r="E57" s="91"/>
      <c r="F57" s="46" t="s">
        <v>490</v>
      </c>
      <c r="G57" s="46" t="s">
        <v>620</v>
      </c>
      <c r="H57" s="71" t="s">
        <v>1127</v>
      </c>
      <c r="I57" s="71" t="s">
        <v>1465</v>
      </c>
      <c r="J57" s="71"/>
      <c r="K57" s="71"/>
      <c r="L57" s="71"/>
      <c r="M57" s="71"/>
      <c r="N57" s="71"/>
      <c r="O57" s="71"/>
      <c r="P57" s="18"/>
      <c r="Q57" s="18"/>
      <c r="R57" s="18"/>
      <c r="S57" s="71"/>
      <c r="T57" s="9" t="s">
        <v>948</v>
      </c>
      <c r="U57" s="9" t="s">
        <v>893</v>
      </c>
      <c r="V57" s="9" t="s">
        <v>838</v>
      </c>
      <c r="W57" s="9" t="s">
        <v>783</v>
      </c>
      <c r="X57" s="90"/>
    </row>
    <row r="58" spans="1:24" ht="16.5">
      <c r="A58" s="61">
        <v>57</v>
      </c>
      <c r="B58" s="7">
        <v>57</v>
      </c>
      <c r="C58" s="7">
        <v>47</v>
      </c>
      <c r="D58" s="91">
        <v>35</v>
      </c>
      <c r="E58" s="91">
        <v>23</v>
      </c>
      <c r="F58" s="46" t="s">
        <v>492</v>
      </c>
      <c r="G58" s="46" t="s">
        <v>621</v>
      </c>
      <c r="H58" s="71" t="s">
        <v>1704</v>
      </c>
      <c r="I58" s="71" t="s">
        <v>1466</v>
      </c>
      <c r="J58" s="71"/>
      <c r="K58" s="71"/>
      <c r="L58" s="71"/>
      <c r="M58" s="71"/>
      <c r="N58" s="71"/>
      <c r="O58" s="71"/>
      <c r="P58" s="18"/>
      <c r="Q58" s="18"/>
      <c r="R58" s="18"/>
      <c r="S58" s="71"/>
      <c r="T58" s="9" t="s">
        <v>949</v>
      </c>
      <c r="U58" s="9" t="s">
        <v>894</v>
      </c>
      <c r="V58" s="9" t="s">
        <v>839</v>
      </c>
      <c r="W58" s="9" t="s">
        <v>784</v>
      </c>
      <c r="X58" s="90"/>
    </row>
    <row r="59" spans="1:24" ht="16.5">
      <c r="A59" s="61">
        <v>58</v>
      </c>
      <c r="B59" s="7">
        <v>58</v>
      </c>
      <c r="C59" s="7">
        <v>48</v>
      </c>
      <c r="D59" s="91">
        <v>36</v>
      </c>
      <c r="E59" s="91">
        <v>24</v>
      </c>
      <c r="F59" s="46" t="s">
        <v>494</v>
      </c>
      <c r="G59" s="46" t="s">
        <v>622</v>
      </c>
      <c r="H59" s="71" t="s">
        <v>1705</v>
      </c>
      <c r="I59" s="71" t="s">
        <v>1467</v>
      </c>
      <c r="J59" s="71"/>
      <c r="K59" s="71"/>
      <c r="L59" s="71"/>
      <c r="M59" s="71"/>
      <c r="N59" s="71"/>
      <c r="O59" s="71"/>
      <c r="P59" s="18"/>
      <c r="Q59" s="18"/>
      <c r="R59" s="18"/>
      <c r="S59" s="71"/>
      <c r="T59" s="9" t="s">
        <v>950</v>
      </c>
      <c r="U59" s="9" t="s">
        <v>895</v>
      </c>
      <c r="V59" s="9" t="s">
        <v>840</v>
      </c>
      <c r="W59" s="9" t="s">
        <v>785</v>
      </c>
      <c r="X59" s="90"/>
    </row>
    <row r="60" spans="1:24" ht="16.5">
      <c r="A60" s="61">
        <v>59</v>
      </c>
      <c r="B60" s="7">
        <v>59</v>
      </c>
      <c r="C60" s="7"/>
      <c r="D60" s="91"/>
      <c r="E60" s="91"/>
      <c r="F60" s="46" t="s">
        <v>504</v>
      </c>
      <c r="G60" s="46" t="s">
        <v>623</v>
      </c>
      <c r="H60" s="71" t="s">
        <v>1468</v>
      </c>
      <c r="I60" s="71"/>
      <c r="J60" s="71"/>
      <c r="K60" s="71"/>
      <c r="L60" s="71"/>
      <c r="M60" s="71"/>
      <c r="N60" s="71"/>
      <c r="O60" s="71"/>
      <c r="P60" s="18"/>
      <c r="Q60" s="18"/>
      <c r="R60" s="18"/>
      <c r="S60" s="71"/>
      <c r="T60" s="9" t="s">
        <v>951</v>
      </c>
      <c r="U60" s="9" t="s">
        <v>896</v>
      </c>
      <c r="V60" s="9" t="s">
        <v>841</v>
      </c>
      <c r="W60" s="9" t="s">
        <v>786</v>
      </c>
      <c r="X60" s="90"/>
    </row>
    <row r="61" spans="1:24" ht="16.5">
      <c r="A61" s="61">
        <v>60</v>
      </c>
      <c r="B61" s="7">
        <v>60</v>
      </c>
      <c r="C61" s="7"/>
      <c r="D61" s="91"/>
      <c r="E61" s="91"/>
      <c r="F61" s="46" t="s">
        <v>505</v>
      </c>
      <c r="G61" s="46" t="s">
        <v>624</v>
      </c>
      <c r="H61" s="71" t="s">
        <v>1469</v>
      </c>
      <c r="I61" s="71"/>
      <c r="J61" s="71"/>
      <c r="K61" s="71"/>
      <c r="L61" s="71"/>
      <c r="M61" s="71"/>
      <c r="N61" s="71"/>
      <c r="O61" s="71"/>
      <c r="P61" s="18"/>
      <c r="Q61" s="18"/>
      <c r="R61" s="18"/>
      <c r="S61" s="71"/>
      <c r="T61" s="9" t="s">
        <v>952</v>
      </c>
      <c r="U61" s="9" t="s">
        <v>897</v>
      </c>
      <c r="V61" s="9" t="s">
        <v>842</v>
      </c>
      <c r="W61" s="9" t="s">
        <v>787</v>
      </c>
      <c r="X61" s="90"/>
    </row>
    <row r="62" spans="1:24" ht="16.5">
      <c r="A62" s="62">
        <v>61</v>
      </c>
      <c r="B62" s="7">
        <v>61</v>
      </c>
      <c r="C62" s="7"/>
      <c r="D62" s="91"/>
      <c r="E62" s="91"/>
      <c r="F62" s="46" t="s">
        <v>541</v>
      </c>
      <c r="G62" s="46" t="s">
        <v>637</v>
      </c>
      <c r="H62" s="71" t="s">
        <v>1470</v>
      </c>
      <c r="I62" s="71"/>
      <c r="J62" s="71"/>
      <c r="K62" s="71"/>
      <c r="L62" s="71"/>
      <c r="M62" s="71"/>
      <c r="N62" s="71"/>
      <c r="O62" s="71"/>
      <c r="P62" s="18"/>
      <c r="Q62" s="18"/>
      <c r="R62" s="18"/>
      <c r="S62" s="71"/>
      <c r="T62" s="9" t="s">
        <v>707</v>
      </c>
      <c r="U62" s="9" t="s">
        <v>699</v>
      </c>
      <c r="V62" s="9" t="s">
        <v>691</v>
      </c>
      <c r="W62" s="9" t="s">
        <v>677</v>
      </c>
      <c r="X62" s="90"/>
    </row>
    <row r="63" spans="1:24" ht="16.5">
      <c r="A63" s="62">
        <v>62</v>
      </c>
      <c r="B63" s="7">
        <v>62</v>
      </c>
      <c r="C63" s="7"/>
      <c r="D63" s="91"/>
      <c r="E63" s="91"/>
      <c r="F63" s="46" t="s">
        <v>543</v>
      </c>
      <c r="G63" s="46" t="s">
        <v>638</v>
      </c>
      <c r="H63" s="71" t="s">
        <v>1471</v>
      </c>
      <c r="I63" s="71"/>
      <c r="J63" s="71"/>
      <c r="K63" s="71"/>
      <c r="L63" s="71"/>
      <c r="M63" s="71"/>
      <c r="N63" s="71"/>
      <c r="O63" s="71"/>
      <c r="P63" s="18"/>
      <c r="Q63" s="18"/>
      <c r="R63" s="18"/>
      <c r="S63" s="71"/>
      <c r="T63" s="9" t="s">
        <v>963</v>
      </c>
      <c r="U63" s="9" t="s">
        <v>908</v>
      </c>
      <c r="V63" s="9" t="s">
        <v>853</v>
      </c>
      <c r="W63" s="9" t="s">
        <v>798</v>
      </c>
      <c r="X63" s="90"/>
    </row>
    <row r="64" spans="1:24" ht="16.5">
      <c r="A64" s="62">
        <v>63</v>
      </c>
      <c r="B64" s="7">
        <v>63</v>
      </c>
      <c r="C64" s="7">
        <v>49</v>
      </c>
      <c r="D64" s="91"/>
      <c r="E64" s="91"/>
      <c r="F64" s="46" t="s">
        <v>545</v>
      </c>
      <c r="G64" s="46" t="s">
        <v>639</v>
      </c>
      <c r="H64" s="71" t="s">
        <v>548</v>
      </c>
      <c r="I64" s="71" t="s">
        <v>1472</v>
      </c>
      <c r="J64" s="71"/>
      <c r="K64" s="71"/>
      <c r="L64" s="71"/>
      <c r="M64" s="71"/>
      <c r="N64" s="71"/>
      <c r="O64" s="71"/>
      <c r="P64" s="18"/>
      <c r="Q64" s="18"/>
      <c r="R64" s="18"/>
      <c r="S64" s="71"/>
      <c r="T64" s="9" t="s">
        <v>964</v>
      </c>
      <c r="U64" s="9" t="s">
        <v>909</v>
      </c>
      <c r="V64" s="9" t="s">
        <v>854</v>
      </c>
      <c r="W64" s="9" t="s">
        <v>799</v>
      </c>
      <c r="X64" s="90"/>
    </row>
    <row r="65" spans="1:24" ht="16.5">
      <c r="A65" s="62">
        <v>64</v>
      </c>
      <c r="B65" s="7">
        <v>64</v>
      </c>
      <c r="C65" s="7">
        <v>50</v>
      </c>
      <c r="D65" s="91">
        <v>37</v>
      </c>
      <c r="E65" s="91">
        <v>25</v>
      </c>
      <c r="F65" s="46" t="s">
        <v>547</v>
      </c>
      <c r="G65" s="46" t="s">
        <v>640</v>
      </c>
      <c r="H65" s="71" t="s">
        <v>1510</v>
      </c>
      <c r="I65" s="71" t="s">
        <v>1473</v>
      </c>
      <c r="J65" s="71"/>
      <c r="K65" s="71"/>
      <c r="L65" s="71"/>
      <c r="M65" s="71"/>
      <c r="N65" s="71"/>
      <c r="O65" s="71"/>
      <c r="P65" s="18"/>
      <c r="Q65" s="18"/>
      <c r="R65" s="18"/>
      <c r="S65" s="71"/>
      <c r="T65" s="9" t="s">
        <v>965</v>
      </c>
      <c r="U65" s="9" t="s">
        <v>910</v>
      </c>
      <c r="V65" s="9" t="s">
        <v>855</v>
      </c>
      <c r="W65" s="9" t="s">
        <v>800</v>
      </c>
      <c r="X65" s="90"/>
    </row>
    <row r="66" spans="1:24" ht="16.5">
      <c r="A66" s="62">
        <v>65</v>
      </c>
      <c r="B66" s="7">
        <v>65</v>
      </c>
      <c r="C66" s="7">
        <v>51</v>
      </c>
      <c r="D66" s="91">
        <v>38</v>
      </c>
      <c r="E66" s="91">
        <v>26</v>
      </c>
      <c r="F66" s="46" t="s">
        <v>581</v>
      </c>
      <c r="G66" s="46" t="s">
        <v>653</v>
      </c>
      <c r="H66" s="71" t="s">
        <v>1511</v>
      </c>
      <c r="I66" s="71" t="s">
        <v>1474</v>
      </c>
      <c r="J66" s="71"/>
      <c r="K66" s="71"/>
      <c r="L66" s="71"/>
      <c r="M66" s="71"/>
      <c r="N66" s="71"/>
      <c r="O66" s="71"/>
      <c r="P66" s="18"/>
      <c r="Q66" s="18"/>
      <c r="R66" s="18"/>
      <c r="S66" s="71"/>
      <c r="T66" s="9" t="s">
        <v>977</v>
      </c>
      <c r="U66" s="9" t="s">
        <v>922</v>
      </c>
      <c r="V66" s="9" t="s">
        <v>867</v>
      </c>
      <c r="W66" s="9" t="s">
        <v>812</v>
      </c>
      <c r="X66" s="90"/>
    </row>
    <row r="67" spans="1:24" ht="16.5">
      <c r="A67" s="62">
        <v>66</v>
      </c>
      <c r="B67" s="7">
        <v>66</v>
      </c>
      <c r="C67" s="7">
        <v>52</v>
      </c>
      <c r="D67" s="91"/>
      <c r="E67" s="91"/>
      <c r="F67" s="46" t="s">
        <v>583</v>
      </c>
      <c r="G67" s="46" t="s">
        <v>654</v>
      </c>
      <c r="H67" s="71" t="s">
        <v>582</v>
      </c>
      <c r="I67" s="71" t="s">
        <v>1475</v>
      </c>
      <c r="J67" s="71"/>
      <c r="K67" s="71"/>
      <c r="L67" s="71"/>
      <c r="M67" s="71"/>
      <c r="N67" s="71"/>
      <c r="O67" s="71"/>
      <c r="P67" s="18"/>
      <c r="Q67" s="18"/>
      <c r="R67" s="18"/>
      <c r="S67" s="71"/>
      <c r="T67" s="9" t="s">
        <v>978</v>
      </c>
      <c r="U67" s="9" t="s">
        <v>923</v>
      </c>
      <c r="V67" s="9" t="s">
        <v>868</v>
      </c>
      <c r="W67" s="9" t="s">
        <v>813</v>
      </c>
      <c r="X67" s="90"/>
    </row>
    <row r="68" spans="1:24" ht="16.5">
      <c r="A68" s="62">
        <v>67</v>
      </c>
      <c r="B68" s="7">
        <v>67</v>
      </c>
      <c r="C68" s="7">
        <v>53</v>
      </c>
      <c r="D68" s="91"/>
      <c r="E68" s="91"/>
      <c r="F68" s="46" t="s">
        <v>585</v>
      </c>
      <c r="G68" s="46" t="s">
        <v>655</v>
      </c>
      <c r="H68" s="71" t="s">
        <v>584</v>
      </c>
      <c r="I68" s="71" t="s">
        <v>1476</v>
      </c>
      <c r="J68" s="71"/>
      <c r="K68" s="71"/>
      <c r="L68" s="71"/>
      <c r="M68" s="71"/>
      <c r="N68" s="71"/>
      <c r="O68" s="71"/>
      <c r="P68" s="18"/>
      <c r="Q68" s="18"/>
      <c r="R68" s="18"/>
      <c r="S68" s="71"/>
      <c r="T68" s="9" t="s">
        <v>979</v>
      </c>
      <c r="U68" s="9" t="s">
        <v>924</v>
      </c>
      <c r="V68" s="9" t="s">
        <v>869</v>
      </c>
      <c r="W68" s="9" t="s">
        <v>814</v>
      </c>
      <c r="X68" s="90"/>
    </row>
    <row r="69" spans="1:24" ht="16.5">
      <c r="A69" s="62">
        <v>68</v>
      </c>
      <c r="B69" s="7">
        <v>68</v>
      </c>
      <c r="C69" s="7">
        <v>54</v>
      </c>
      <c r="D69" s="91">
        <v>39</v>
      </c>
      <c r="E69" s="91">
        <v>27</v>
      </c>
      <c r="F69" s="46" t="s">
        <v>1435</v>
      </c>
      <c r="G69" s="46" t="s">
        <v>1435</v>
      </c>
      <c r="H69" s="71"/>
      <c r="I69" s="71"/>
      <c r="J69" s="71"/>
      <c r="K69" s="71"/>
      <c r="L69" s="71"/>
      <c r="M69" s="71"/>
      <c r="N69" s="71"/>
      <c r="O69" s="71"/>
      <c r="P69" s="18"/>
      <c r="Q69" s="18"/>
      <c r="R69" s="18"/>
      <c r="S69" s="71"/>
      <c r="T69" s="9"/>
      <c r="U69" s="9"/>
      <c r="V69" s="9"/>
      <c r="W69" s="9"/>
      <c r="X69" s="90"/>
    </row>
    <row r="70" spans="1:24" ht="16.5">
      <c r="A70" s="62">
        <v>69</v>
      </c>
      <c r="B70" s="7">
        <v>69</v>
      </c>
      <c r="C70" s="7">
        <v>55</v>
      </c>
      <c r="D70" s="91">
        <v>40</v>
      </c>
      <c r="E70" s="91">
        <v>28</v>
      </c>
      <c r="F70" s="46" t="s">
        <v>177</v>
      </c>
      <c r="G70" s="46" t="s">
        <v>483</v>
      </c>
      <c r="H70" s="71"/>
      <c r="I70" s="71"/>
      <c r="J70" s="71"/>
      <c r="K70" s="71"/>
      <c r="L70" s="71"/>
      <c r="M70" s="71"/>
      <c r="N70" s="71"/>
      <c r="O70" s="71"/>
      <c r="P70" s="18"/>
      <c r="Q70" s="18"/>
      <c r="R70" s="18"/>
      <c r="S70" s="71"/>
      <c r="T70" s="9"/>
      <c r="U70" s="9"/>
      <c r="V70" s="9"/>
      <c r="W70" s="9"/>
      <c r="X70" s="90"/>
    </row>
    <row r="71" spans="1:24" ht="16.5">
      <c r="A71" s="62">
        <v>70</v>
      </c>
      <c r="B71" s="7">
        <v>70</v>
      </c>
      <c r="C71" s="7">
        <v>56</v>
      </c>
      <c r="D71" s="91">
        <v>41</v>
      </c>
      <c r="E71" s="91">
        <v>29</v>
      </c>
      <c r="F71" s="46" t="s">
        <v>82</v>
      </c>
      <c r="G71" s="46" t="s">
        <v>240</v>
      </c>
      <c r="H71" s="71"/>
      <c r="I71" s="71"/>
      <c r="J71" s="71"/>
      <c r="K71" s="71"/>
      <c r="L71" s="71"/>
      <c r="M71" s="71"/>
      <c r="N71" s="71"/>
      <c r="O71" s="71"/>
      <c r="P71" s="18"/>
      <c r="Q71" s="18"/>
      <c r="R71" s="18"/>
      <c r="S71" s="71"/>
      <c r="T71" s="9"/>
      <c r="U71" s="9"/>
      <c r="V71" s="9"/>
      <c r="W71" s="9"/>
      <c r="X71" s="90"/>
    </row>
    <row r="72" spans="1:24" ht="16.5">
      <c r="A72" s="62">
        <v>71</v>
      </c>
      <c r="B72" s="7">
        <v>71</v>
      </c>
      <c r="C72" s="7">
        <v>57</v>
      </c>
      <c r="D72" s="91">
        <v>42</v>
      </c>
      <c r="E72" s="91">
        <v>30</v>
      </c>
      <c r="F72" s="46" t="s">
        <v>83</v>
      </c>
      <c r="G72" s="46" t="s">
        <v>1432</v>
      </c>
      <c r="H72" s="71"/>
      <c r="I72" s="71"/>
      <c r="J72" s="71"/>
      <c r="K72" s="71"/>
      <c r="L72" s="71"/>
      <c r="M72" s="71"/>
      <c r="N72" s="71"/>
      <c r="O72" s="71"/>
      <c r="P72" s="18"/>
      <c r="Q72" s="18"/>
      <c r="R72" s="18"/>
      <c r="S72" s="71"/>
      <c r="T72" s="9"/>
      <c r="U72" s="9"/>
      <c r="V72" s="9"/>
      <c r="W72" s="9"/>
      <c r="X72" s="90"/>
    </row>
    <row r="73" spans="1:24" ht="16.5">
      <c r="A73" s="62">
        <v>72</v>
      </c>
      <c r="B73" s="7">
        <v>72</v>
      </c>
      <c r="C73" s="7">
        <v>58</v>
      </c>
      <c r="D73" s="91"/>
      <c r="E73" s="91"/>
      <c r="F73" s="46" t="s">
        <v>586</v>
      </c>
      <c r="G73" s="46" t="s">
        <v>656</v>
      </c>
      <c r="H73" s="71" t="s">
        <v>1477</v>
      </c>
      <c r="I73" s="71"/>
      <c r="J73" s="71"/>
      <c r="K73" s="71"/>
      <c r="L73" s="71"/>
      <c r="M73" s="71"/>
      <c r="N73" s="71"/>
      <c r="O73" s="71"/>
      <c r="P73" s="18"/>
      <c r="Q73" s="18"/>
      <c r="R73" s="18"/>
      <c r="S73" s="71"/>
      <c r="T73" s="9" t="s">
        <v>980</v>
      </c>
      <c r="U73" s="9" t="s">
        <v>925</v>
      </c>
      <c r="V73" s="9" t="s">
        <v>870</v>
      </c>
      <c r="W73" s="9" t="s">
        <v>815</v>
      </c>
      <c r="X73" s="90"/>
    </row>
    <row r="74" spans="1:24" ht="16.5">
      <c r="A74" s="62">
        <v>73</v>
      </c>
      <c r="B74" s="7">
        <v>73</v>
      </c>
      <c r="C74" s="7">
        <v>59</v>
      </c>
      <c r="D74" s="91">
        <v>43</v>
      </c>
      <c r="E74" s="91"/>
      <c r="F74" s="46" t="s">
        <v>506</v>
      </c>
      <c r="G74" s="46" t="s">
        <v>625</v>
      </c>
      <c r="H74" s="71" t="s">
        <v>1722</v>
      </c>
      <c r="I74" s="71" t="s">
        <v>1723</v>
      </c>
      <c r="J74" s="71" t="s">
        <v>467</v>
      </c>
      <c r="K74" s="71"/>
      <c r="L74" s="71"/>
      <c r="M74" s="71"/>
      <c r="N74" s="71"/>
      <c r="O74" s="71"/>
      <c r="P74" s="18"/>
      <c r="Q74" s="18"/>
      <c r="R74" s="18"/>
      <c r="S74" s="71"/>
      <c r="T74" s="9" t="s">
        <v>705</v>
      </c>
      <c r="U74" s="9" t="s">
        <v>697</v>
      </c>
      <c r="V74" s="9" t="s">
        <v>689</v>
      </c>
      <c r="W74" s="9" t="s">
        <v>675</v>
      </c>
      <c r="X74" s="90"/>
    </row>
    <row r="75" spans="1:24" ht="16.5">
      <c r="A75" s="62">
        <v>74</v>
      </c>
      <c r="B75" s="7">
        <v>74</v>
      </c>
      <c r="C75" s="7">
        <v>60</v>
      </c>
      <c r="D75" s="91">
        <v>44</v>
      </c>
      <c r="E75" s="91"/>
      <c r="F75" s="46" t="s">
        <v>507</v>
      </c>
      <c r="G75" s="46" t="s">
        <v>626</v>
      </c>
      <c r="H75" s="71" t="s">
        <v>1724</v>
      </c>
      <c r="I75" s="71" t="s">
        <v>1725</v>
      </c>
      <c r="J75" s="71" t="s">
        <v>470</v>
      </c>
      <c r="K75" s="71"/>
      <c r="L75" s="71"/>
      <c r="M75" s="71"/>
      <c r="N75" s="71"/>
      <c r="O75" s="71"/>
      <c r="P75" s="18"/>
      <c r="Q75" s="18"/>
      <c r="R75" s="18"/>
      <c r="S75" s="71"/>
      <c r="T75" s="9" t="s">
        <v>953</v>
      </c>
      <c r="U75" s="9" t="s">
        <v>898</v>
      </c>
      <c r="V75" s="9" t="s">
        <v>843</v>
      </c>
      <c r="W75" s="9" t="s">
        <v>788</v>
      </c>
      <c r="X75" s="90"/>
    </row>
    <row r="76" spans="1:24" ht="16.5">
      <c r="A76" s="62">
        <v>75</v>
      </c>
      <c r="B76" s="7">
        <v>75</v>
      </c>
      <c r="C76" s="7">
        <v>61</v>
      </c>
      <c r="D76" s="91">
        <v>45</v>
      </c>
      <c r="E76" s="91"/>
      <c r="F76" s="46" t="s">
        <v>509</v>
      </c>
      <c r="G76" s="46" t="s">
        <v>627</v>
      </c>
      <c r="H76" s="71" t="s">
        <v>1726</v>
      </c>
      <c r="I76" s="71" t="s">
        <v>1727</v>
      </c>
      <c r="J76" s="71" t="s">
        <v>473</v>
      </c>
      <c r="K76" s="71"/>
      <c r="L76" s="71"/>
      <c r="M76" s="71"/>
      <c r="N76" s="71"/>
      <c r="O76" s="71"/>
      <c r="P76" s="18"/>
      <c r="Q76" s="18"/>
      <c r="R76" s="18"/>
      <c r="S76" s="71"/>
      <c r="T76" s="9" t="s">
        <v>954</v>
      </c>
      <c r="U76" s="9" t="s">
        <v>899</v>
      </c>
      <c r="V76" s="9" t="s">
        <v>844</v>
      </c>
      <c r="W76" s="9" t="s">
        <v>789</v>
      </c>
      <c r="X76" s="90"/>
    </row>
    <row r="77" spans="1:24" ht="16.5">
      <c r="A77" s="62">
        <v>76</v>
      </c>
      <c r="B77" s="7">
        <v>76</v>
      </c>
      <c r="C77" s="7">
        <v>62</v>
      </c>
      <c r="D77" s="91">
        <v>46</v>
      </c>
      <c r="E77" s="91"/>
      <c r="F77" s="46" t="s">
        <v>511</v>
      </c>
      <c r="G77" s="46" t="s">
        <v>628</v>
      </c>
      <c r="H77" s="71" t="s">
        <v>1728</v>
      </c>
      <c r="I77" s="71" t="s">
        <v>1729</v>
      </c>
      <c r="J77" s="71" t="s">
        <v>476</v>
      </c>
      <c r="K77" s="71"/>
      <c r="L77" s="71"/>
      <c r="M77" s="71"/>
      <c r="N77" s="71"/>
      <c r="O77" s="71"/>
      <c r="P77" s="71"/>
      <c r="Q77" s="71"/>
      <c r="R77" s="18"/>
      <c r="S77" s="71"/>
      <c r="T77" s="9" t="s">
        <v>955</v>
      </c>
      <c r="U77" s="9" t="s">
        <v>900</v>
      </c>
      <c r="V77" s="9" t="s">
        <v>845</v>
      </c>
      <c r="W77" s="9" t="s">
        <v>790</v>
      </c>
      <c r="X77" s="90"/>
    </row>
    <row r="78" spans="1:24" ht="16.5">
      <c r="A78" s="62">
        <v>77</v>
      </c>
      <c r="B78" s="7">
        <v>77</v>
      </c>
      <c r="C78" s="7">
        <v>63</v>
      </c>
      <c r="D78" s="91">
        <v>47</v>
      </c>
      <c r="E78" s="91">
        <v>31</v>
      </c>
      <c r="F78" s="46" t="s">
        <v>513</v>
      </c>
      <c r="G78" s="46" t="s">
        <v>629</v>
      </c>
      <c r="H78" s="71" t="s">
        <v>1730</v>
      </c>
      <c r="I78" s="71" t="s">
        <v>1731</v>
      </c>
      <c r="J78" s="71" t="s">
        <v>479</v>
      </c>
      <c r="K78" s="71"/>
      <c r="L78" s="71"/>
      <c r="M78" s="71"/>
      <c r="N78" s="71"/>
      <c r="O78" s="71"/>
      <c r="P78" s="71"/>
      <c r="Q78" s="71"/>
      <c r="R78" s="18"/>
      <c r="S78" s="71"/>
      <c r="T78" s="9" t="s">
        <v>956</v>
      </c>
      <c r="U78" s="9" t="s">
        <v>901</v>
      </c>
      <c r="V78" s="9" t="s">
        <v>846</v>
      </c>
      <c r="W78" s="9" t="s">
        <v>791</v>
      </c>
      <c r="X78" s="90"/>
    </row>
    <row r="79" spans="1:24" ht="16.5">
      <c r="A79" s="62">
        <v>78</v>
      </c>
      <c r="B79" s="7">
        <v>78</v>
      </c>
      <c r="C79" s="7">
        <v>64</v>
      </c>
      <c r="D79" s="91">
        <v>48</v>
      </c>
      <c r="E79" s="91">
        <v>32</v>
      </c>
      <c r="F79" s="46" t="s">
        <v>515</v>
      </c>
      <c r="G79" s="46" t="s">
        <v>630</v>
      </c>
      <c r="H79" s="71" t="s">
        <v>1732</v>
      </c>
      <c r="I79" s="71" t="s">
        <v>1733</v>
      </c>
      <c r="J79" s="71" t="s">
        <v>482</v>
      </c>
      <c r="K79" s="71"/>
      <c r="L79" s="71"/>
      <c r="M79" s="71"/>
      <c r="N79" s="71"/>
      <c r="O79" s="71"/>
      <c r="P79" s="71"/>
      <c r="Q79" s="71"/>
      <c r="R79" s="18"/>
      <c r="S79" s="71"/>
      <c r="T79" s="9" t="s">
        <v>957</v>
      </c>
      <c r="U79" s="9" t="s">
        <v>902</v>
      </c>
      <c r="V79" s="9" t="s">
        <v>847</v>
      </c>
      <c r="W79" s="9" t="s">
        <v>792</v>
      </c>
      <c r="X79" s="90"/>
    </row>
    <row r="80" spans="1:24" ht="16.5">
      <c r="A80" s="62">
        <v>79</v>
      </c>
      <c r="B80" s="7">
        <v>79</v>
      </c>
      <c r="C80" s="7"/>
      <c r="D80" s="91"/>
      <c r="E80" s="91"/>
      <c r="F80" s="46" t="s">
        <v>517</v>
      </c>
      <c r="G80" s="46" t="s">
        <v>631</v>
      </c>
      <c r="H80" s="71" t="s">
        <v>1734</v>
      </c>
      <c r="I80" s="71" t="s">
        <v>1735</v>
      </c>
      <c r="J80" s="71" t="s">
        <v>602</v>
      </c>
      <c r="K80" s="71"/>
      <c r="L80" s="71"/>
      <c r="M80" s="71"/>
      <c r="N80" s="71"/>
      <c r="O80" s="71"/>
      <c r="P80" s="71"/>
      <c r="Q80" s="71"/>
      <c r="R80" s="18"/>
      <c r="S80" s="71"/>
      <c r="T80" s="9" t="s">
        <v>958</v>
      </c>
      <c r="U80" s="9" t="s">
        <v>903</v>
      </c>
      <c r="V80" s="9" t="s">
        <v>848</v>
      </c>
      <c r="W80" s="9" t="s">
        <v>793</v>
      </c>
      <c r="X80" s="90"/>
    </row>
    <row r="81" spans="1:24" ht="16.5">
      <c r="A81" s="62">
        <v>80</v>
      </c>
      <c r="B81" s="7">
        <v>80</v>
      </c>
      <c r="C81" s="7"/>
      <c r="D81" s="91"/>
      <c r="E81" s="91"/>
      <c r="F81" s="46" t="s">
        <v>519</v>
      </c>
      <c r="G81" s="46" t="s">
        <v>632</v>
      </c>
      <c r="H81" s="71" t="s">
        <v>1736</v>
      </c>
      <c r="I81" s="71" t="s">
        <v>1737</v>
      </c>
      <c r="J81" s="71" t="s">
        <v>604</v>
      </c>
      <c r="K81" s="71"/>
      <c r="L81" s="71"/>
      <c r="M81" s="71"/>
      <c r="N81" s="71"/>
      <c r="O81" s="71"/>
      <c r="P81" s="71"/>
      <c r="Q81" s="71"/>
      <c r="R81" s="18"/>
      <c r="S81" s="71"/>
      <c r="T81" s="9" t="s">
        <v>959</v>
      </c>
      <c r="U81" s="9" t="s">
        <v>904</v>
      </c>
      <c r="V81" s="9" t="s">
        <v>849</v>
      </c>
      <c r="W81" s="9" t="s">
        <v>794</v>
      </c>
      <c r="X81" s="90"/>
    </row>
    <row r="82" spans="1:24">
      <c r="O82" s="19"/>
      <c r="P82" s="19"/>
      <c r="Q82" s="19"/>
      <c r="R82" s="19"/>
      <c r="S82" s="19"/>
    </row>
    <row r="83" spans="1:24">
      <c r="O83" s="19"/>
      <c r="P83" s="19"/>
      <c r="Q83" s="19"/>
      <c r="R83" s="19"/>
      <c r="S83" s="19"/>
    </row>
    <row r="84" spans="1:24">
      <c r="R84" s="19"/>
    </row>
    <row r="85" spans="1:24">
      <c r="R85" s="19"/>
    </row>
  </sheetData>
  <autoFilter ref="A1:X81"/>
  <phoneticPr fontId="56"/>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7"/>
  <sheetViews>
    <sheetView workbookViewId="0">
      <selection activeCell="B19" sqref="B19:B22"/>
    </sheetView>
  </sheetViews>
  <sheetFormatPr defaultRowHeight="15.75"/>
  <cols>
    <col min="1" max="1" width="20.42578125" bestFit="1" customWidth="1"/>
    <col min="2" max="3" width="23.85546875" bestFit="1" customWidth="1"/>
    <col min="4" max="4" width="13.140625" bestFit="1" customWidth="1"/>
    <col min="5" max="5" width="11.85546875" bestFit="1" customWidth="1"/>
    <col min="6" max="6" width="10.140625" bestFit="1" customWidth="1"/>
    <col min="7" max="8" width="11.28515625" style="141" customWidth="1"/>
    <col min="9" max="9" width="42.85546875" style="141" bestFit="1" customWidth="1"/>
    <col min="10" max="10" width="9.140625" style="141"/>
  </cols>
  <sheetData>
    <row r="1" spans="1:9">
      <c r="A1" s="194" t="s">
        <v>1534</v>
      </c>
      <c r="B1" s="194"/>
      <c r="C1" s="206" t="s">
        <v>1628</v>
      </c>
      <c r="D1" s="207"/>
      <c r="E1" s="207"/>
      <c r="F1" s="208"/>
      <c r="G1" s="204" t="s">
        <v>1629</v>
      </c>
      <c r="H1" s="205"/>
      <c r="I1" s="240" t="s">
        <v>2112</v>
      </c>
    </row>
    <row r="2" spans="1:9">
      <c r="A2" s="191" t="s">
        <v>1591</v>
      </c>
      <c r="B2" s="142" t="s">
        <v>1594</v>
      </c>
      <c r="C2" s="143"/>
      <c r="D2" s="144"/>
      <c r="E2" s="144"/>
      <c r="F2" s="144"/>
      <c r="G2" s="145" t="s">
        <v>1760</v>
      </c>
      <c r="H2" s="146" t="str">
        <f>"0x"&amp;BIN2HEX(RIGHT(G2,6),2)</f>
        <v>0x00</v>
      </c>
      <c r="I2" s="239"/>
    </row>
    <row r="3" spans="1:9">
      <c r="A3" s="192"/>
      <c r="B3" s="196" t="s">
        <v>1593</v>
      </c>
      <c r="C3" s="143" t="s">
        <v>461</v>
      </c>
      <c r="D3" s="144"/>
      <c r="E3" s="144"/>
      <c r="F3" s="144"/>
      <c r="G3" s="145" t="s">
        <v>1761</v>
      </c>
      <c r="H3" s="146" t="str">
        <f t="shared" ref="H3:H66" si="0">"0x"&amp;BIN2HEX(RIGHT(G3,6),2)</f>
        <v>0x01</v>
      </c>
      <c r="I3" s="239"/>
    </row>
    <row r="4" spans="1:9">
      <c r="A4" s="192"/>
      <c r="B4" s="197"/>
      <c r="C4" s="143" t="s">
        <v>463</v>
      </c>
      <c r="D4" s="144"/>
      <c r="E4" s="144"/>
      <c r="F4" s="144"/>
      <c r="G4" s="145" t="s">
        <v>1762</v>
      </c>
      <c r="H4" s="146" t="str">
        <f t="shared" si="0"/>
        <v>0x02</v>
      </c>
      <c r="I4" s="239"/>
    </row>
    <row r="5" spans="1:9">
      <c r="A5" s="192"/>
      <c r="B5" s="197"/>
      <c r="C5" s="143" t="s">
        <v>466</v>
      </c>
      <c r="D5" s="144"/>
      <c r="E5" s="144"/>
      <c r="F5" s="144"/>
      <c r="G5" s="145" t="s">
        <v>1763</v>
      </c>
      <c r="H5" s="146" t="str">
        <f t="shared" si="0"/>
        <v>0x03</v>
      </c>
      <c r="I5" s="239"/>
    </row>
    <row r="6" spans="1:9">
      <c r="A6" s="192"/>
      <c r="B6" s="197"/>
      <c r="C6" s="143" t="s">
        <v>469</v>
      </c>
      <c r="D6" s="144"/>
      <c r="E6" s="144"/>
      <c r="F6" s="144"/>
      <c r="G6" s="145" t="s">
        <v>1764</v>
      </c>
      <c r="H6" s="146" t="str">
        <f t="shared" si="0"/>
        <v>0x04</v>
      </c>
      <c r="I6" s="239"/>
    </row>
    <row r="7" spans="1:9">
      <c r="A7" s="192"/>
      <c r="B7" s="197"/>
      <c r="C7" s="143" t="s">
        <v>528</v>
      </c>
      <c r="D7" s="144"/>
      <c r="E7" s="144"/>
      <c r="F7" s="144"/>
      <c r="G7" s="145" t="s">
        <v>1765</v>
      </c>
      <c r="H7" s="146" t="str">
        <f t="shared" si="0"/>
        <v>0x05</v>
      </c>
      <c r="I7" s="239"/>
    </row>
    <row r="8" spans="1:9">
      <c r="A8" s="192"/>
      <c r="B8" s="197"/>
      <c r="C8" s="143" t="s">
        <v>530</v>
      </c>
      <c r="D8" s="144"/>
      <c r="E8" s="144"/>
      <c r="F8" s="144"/>
      <c r="G8" s="145" t="s">
        <v>1766</v>
      </c>
      <c r="H8" s="146" t="str">
        <f t="shared" si="0"/>
        <v>0x06</v>
      </c>
      <c r="I8" s="239"/>
    </row>
    <row r="9" spans="1:9">
      <c r="A9" s="192"/>
      <c r="B9" s="197"/>
      <c r="C9" s="143" t="s">
        <v>532</v>
      </c>
      <c r="D9" s="144"/>
      <c r="E9" s="144"/>
      <c r="F9" s="144"/>
      <c r="G9" s="145" t="s">
        <v>1767</v>
      </c>
      <c r="H9" s="146" t="str">
        <f t="shared" si="0"/>
        <v>0x07</v>
      </c>
      <c r="I9" s="239"/>
    </row>
    <row r="10" spans="1:9">
      <c r="A10" s="192"/>
      <c r="B10" s="198"/>
      <c r="C10" s="143" t="s">
        <v>535</v>
      </c>
      <c r="D10" s="144"/>
      <c r="E10" s="144"/>
      <c r="F10" s="144"/>
      <c r="G10" s="145" t="s">
        <v>1768</v>
      </c>
      <c r="H10" s="146" t="str">
        <f t="shared" si="0"/>
        <v>0x08</v>
      </c>
      <c r="I10" s="239"/>
    </row>
    <row r="11" spans="1:9">
      <c r="A11" s="192"/>
      <c r="B11" s="195" t="s">
        <v>1595</v>
      </c>
      <c r="C11" s="147" t="s">
        <v>1808</v>
      </c>
      <c r="D11" s="147" t="s">
        <v>1809</v>
      </c>
      <c r="E11" s="147" t="s">
        <v>1810</v>
      </c>
      <c r="F11" s="147"/>
      <c r="G11" s="145" t="s">
        <v>1769</v>
      </c>
      <c r="H11" s="146" t="str">
        <f t="shared" si="0"/>
        <v>0x09</v>
      </c>
      <c r="I11" s="239"/>
    </row>
    <row r="12" spans="1:9">
      <c r="A12" s="192"/>
      <c r="B12" s="195"/>
      <c r="C12" s="147" t="s">
        <v>1811</v>
      </c>
      <c r="D12" s="147" t="s">
        <v>1812</v>
      </c>
      <c r="E12" s="147"/>
      <c r="F12" s="147"/>
      <c r="G12" s="145" t="s">
        <v>1770</v>
      </c>
      <c r="H12" s="146" t="str">
        <f t="shared" si="0"/>
        <v>0x0A</v>
      </c>
      <c r="I12" s="239"/>
    </row>
    <row r="13" spans="1:9">
      <c r="A13" s="192"/>
      <c r="B13" s="195"/>
      <c r="C13" s="147" t="s">
        <v>1813</v>
      </c>
      <c r="D13" s="147"/>
      <c r="E13" s="147" t="s">
        <v>1814</v>
      </c>
      <c r="F13" s="147"/>
      <c r="G13" s="145" t="s">
        <v>1771</v>
      </c>
      <c r="H13" s="146" t="str">
        <f t="shared" si="0"/>
        <v>0x0B</v>
      </c>
      <c r="I13" s="239"/>
    </row>
    <row r="14" spans="1:9">
      <c r="A14" s="192"/>
      <c r="B14" s="195"/>
      <c r="C14" s="147" t="s">
        <v>1815</v>
      </c>
      <c r="D14" s="147"/>
      <c r="E14" s="147"/>
      <c r="F14" s="147"/>
      <c r="G14" s="145" t="s">
        <v>1772</v>
      </c>
      <c r="H14" s="146" t="str">
        <f t="shared" si="0"/>
        <v>0x0C</v>
      </c>
      <c r="I14" s="239"/>
    </row>
    <row r="15" spans="1:9">
      <c r="A15" s="192"/>
      <c r="B15" s="195" t="s">
        <v>1596</v>
      </c>
      <c r="C15" s="147" t="s">
        <v>1816</v>
      </c>
      <c r="D15" s="147" t="s">
        <v>1817</v>
      </c>
      <c r="E15" s="144"/>
      <c r="F15" s="144"/>
      <c r="G15" s="145" t="s">
        <v>1773</v>
      </c>
      <c r="H15" s="146" t="str">
        <f t="shared" si="0"/>
        <v>0x0D</v>
      </c>
      <c r="I15" s="239"/>
    </row>
    <row r="16" spans="1:9">
      <c r="A16" s="192"/>
      <c r="B16" s="195"/>
      <c r="C16" s="147" t="s">
        <v>1818</v>
      </c>
      <c r="D16" s="147" t="s">
        <v>1819</v>
      </c>
      <c r="E16" s="144"/>
      <c r="F16" s="144"/>
      <c r="G16" s="145" t="s">
        <v>1774</v>
      </c>
      <c r="H16" s="146" t="str">
        <f t="shared" si="0"/>
        <v>0x0E</v>
      </c>
      <c r="I16" s="239"/>
    </row>
    <row r="17" spans="1:9">
      <c r="A17" s="192"/>
      <c r="B17" s="195"/>
      <c r="C17" s="147" t="s">
        <v>2111</v>
      </c>
      <c r="D17" s="147"/>
      <c r="E17" s="144"/>
      <c r="F17" s="144"/>
      <c r="G17" s="145" t="s">
        <v>1775</v>
      </c>
      <c r="H17" s="146" t="str">
        <f t="shared" si="0"/>
        <v>0x0F</v>
      </c>
      <c r="I17" s="239" t="s">
        <v>2113</v>
      </c>
    </row>
    <row r="18" spans="1:9">
      <c r="A18" s="192"/>
      <c r="B18" s="195"/>
      <c r="C18" s="147" t="s">
        <v>1820</v>
      </c>
      <c r="D18" s="147"/>
      <c r="E18" s="144"/>
      <c r="F18" s="144"/>
      <c r="G18" s="145" t="s">
        <v>1776</v>
      </c>
      <c r="H18" s="146" t="str">
        <f t="shared" si="0"/>
        <v>0x10</v>
      </c>
      <c r="I18" s="239"/>
    </row>
    <row r="19" spans="1:9">
      <c r="A19" s="192"/>
      <c r="B19" s="195" t="s">
        <v>1597</v>
      </c>
      <c r="C19" s="147" t="s">
        <v>1821</v>
      </c>
      <c r="D19" s="147" t="s">
        <v>1822</v>
      </c>
      <c r="E19" s="144"/>
      <c r="F19" s="144"/>
      <c r="G19" s="145" t="s">
        <v>1777</v>
      </c>
      <c r="H19" s="146" t="str">
        <f t="shared" si="0"/>
        <v>0x11</v>
      </c>
      <c r="I19" s="239"/>
    </row>
    <row r="20" spans="1:9">
      <c r="A20" s="192"/>
      <c r="B20" s="195"/>
      <c r="C20" s="147" t="s">
        <v>1823</v>
      </c>
      <c r="D20" s="147" t="s">
        <v>1824</v>
      </c>
      <c r="E20" s="144"/>
      <c r="F20" s="144"/>
      <c r="G20" s="145" t="s">
        <v>1778</v>
      </c>
      <c r="H20" s="146" t="str">
        <f t="shared" si="0"/>
        <v>0x12</v>
      </c>
      <c r="I20" s="239"/>
    </row>
    <row r="21" spans="1:9">
      <c r="A21" s="192"/>
      <c r="B21" s="195"/>
      <c r="C21" s="147" t="s">
        <v>1825</v>
      </c>
      <c r="D21" s="147"/>
      <c r="E21" s="144"/>
      <c r="F21" s="144"/>
      <c r="G21" s="145" t="s">
        <v>1779</v>
      </c>
      <c r="H21" s="146" t="str">
        <f t="shared" si="0"/>
        <v>0x13</v>
      </c>
      <c r="I21" s="239"/>
    </row>
    <row r="22" spans="1:9">
      <c r="A22" s="192"/>
      <c r="B22" s="195"/>
      <c r="C22" s="147" t="s">
        <v>1826</v>
      </c>
      <c r="D22" s="147"/>
      <c r="E22" s="144"/>
      <c r="F22" s="144"/>
      <c r="G22" s="145" t="s">
        <v>1780</v>
      </c>
      <c r="H22" s="146" t="str">
        <f t="shared" si="0"/>
        <v>0x14</v>
      </c>
      <c r="I22" s="239"/>
    </row>
    <row r="23" spans="1:9">
      <c r="A23" s="192"/>
      <c r="B23" s="199" t="s">
        <v>1623</v>
      </c>
      <c r="C23" s="147" t="s">
        <v>1827</v>
      </c>
      <c r="D23" s="144"/>
      <c r="E23" s="144"/>
      <c r="F23" s="144"/>
      <c r="G23" s="145" t="s">
        <v>1781</v>
      </c>
      <c r="H23" s="146" t="str">
        <f t="shared" si="0"/>
        <v>0x15</v>
      </c>
      <c r="I23" s="239"/>
    </row>
    <row r="24" spans="1:9">
      <c r="A24" s="192"/>
      <c r="B24" s="200"/>
      <c r="C24" s="147" t="s">
        <v>1828</v>
      </c>
      <c r="D24" s="144"/>
      <c r="E24" s="144"/>
      <c r="F24" s="144"/>
      <c r="G24" s="145" t="s">
        <v>1782</v>
      </c>
      <c r="H24" s="146" t="str">
        <f t="shared" si="0"/>
        <v>0x16</v>
      </c>
      <c r="I24" s="239"/>
    </row>
    <row r="25" spans="1:9">
      <c r="A25" s="192"/>
      <c r="B25" s="148" t="s">
        <v>1621</v>
      </c>
      <c r="C25" s="147" t="s">
        <v>1576</v>
      </c>
      <c r="D25" s="147"/>
      <c r="E25" s="147"/>
      <c r="F25" s="147"/>
      <c r="G25" s="145" t="s">
        <v>1783</v>
      </c>
      <c r="H25" s="146" t="str">
        <f t="shared" si="0"/>
        <v>0x17</v>
      </c>
      <c r="I25" s="239"/>
    </row>
    <row r="26" spans="1:9">
      <c r="A26" s="192"/>
      <c r="B26" s="195" t="s">
        <v>1603</v>
      </c>
      <c r="C26" s="147" t="s">
        <v>1829</v>
      </c>
      <c r="D26" s="147"/>
      <c r="E26" s="147"/>
      <c r="F26" s="147"/>
      <c r="G26" s="145" t="s">
        <v>1784</v>
      </c>
      <c r="H26" s="146" t="str">
        <f t="shared" si="0"/>
        <v>0x18</v>
      </c>
      <c r="I26" s="239"/>
    </row>
    <row r="27" spans="1:9">
      <c r="A27" s="192"/>
      <c r="B27" s="195"/>
      <c r="C27" s="147" t="s">
        <v>1830</v>
      </c>
      <c r="D27" s="147"/>
      <c r="E27" s="147"/>
      <c r="F27" s="147"/>
      <c r="G27" s="145" t="s">
        <v>1785</v>
      </c>
      <c r="H27" s="146" t="str">
        <f t="shared" si="0"/>
        <v>0x19</v>
      </c>
      <c r="I27" s="239"/>
    </row>
    <row r="28" spans="1:9">
      <c r="A28" s="192"/>
      <c r="B28" s="195"/>
      <c r="C28" s="147" t="s">
        <v>1831</v>
      </c>
      <c r="D28" s="147"/>
      <c r="E28" s="147"/>
      <c r="F28" s="147"/>
      <c r="G28" s="145" t="s">
        <v>1786</v>
      </c>
      <c r="H28" s="146" t="str">
        <f t="shared" si="0"/>
        <v>0x1A</v>
      </c>
      <c r="I28" s="239"/>
    </row>
    <row r="29" spans="1:9">
      <c r="A29" s="192"/>
      <c r="B29" s="195"/>
      <c r="C29" s="147" t="s">
        <v>1832</v>
      </c>
      <c r="D29" s="147"/>
      <c r="E29" s="147"/>
      <c r="F29" s="147"/>
      <c r="G29" s="145" t="s">
        <v>1787</v>
      </c>
      <c r="H29" s="146" t="str">
        <f t="shared" si="0"/>
        <v>0x1B</v>
      </c>
      <c r="I29" s="239"/>
    </row>
    <row r="30" spans="1:9">
      <c r="A30" s="192"/>
      <c r="B30" s="195"/>
      <c r="C30" s="147" t="s">
        <v>1833</v>
      </c>
      <c r="D30" s="147"/>
      <c r="E30" s="147"/>
      <c r="F30" s="147"/>
      <c r="G30" s="145" t="s">
        <v>1788</v>
      </c>
      <c r="H30" s="146" t="str">
        <f t="shared" si="0"/>
        <v>0x1C</v>
      </c>
      <c r="I30" s="239"/>
    </row>
    <row r="31" spans="1:9">
      <c r="A31" s="192"/>
      <c r="B31" s="195"/>
      <c r="C31" s="147" t="s">
        <v>1834</v>
      </c>
      <c r="D31" s="147"/>
      <c r="E31" s="147"/>
      <c r="F31" s="147"/>
      <c r="G31" s="145" t="s">
        <v>1789</v>
      </c>
      <c r="H31" s="146" t="str">
        <f t="shared" si="0"/>
        <v>0x1D</v>
      </c>
      <c r="I31" s="239"/>
    </row>
    <row r="32" spans="1:9">
      <c r="A32" s="192"/>
      <c r="B32" s="195"/>
      <c r="C32" s="147" t="s">
        <v>1835</v>
      </c>
      <c r="D32" s="147"/>
      <c r="E32" s="147"/>
      <c r="F32" s="147"/>
      <c r="G32" s="145" t="s">
        <v>1790</v>
      </c>
      <c r="H32" s="146" t="str">
        <f t="shared" si="0"/>
        <v>0x1E</v>
      </c>
      <c r="I32" s="239"/>
    </row>
    <row r="33" spans="1:9">
      <c r="A33" s="192"/>
      <c r="B33" s="195"/>
      <c r="C33" s="147" t="s">
        <v>1836</v>
      </c>
      <c r="D33" s="147"/>
      <c r="E33" s="147"/>
      <c r="F33" s="147"/>
      <c r="G33" s="145" t="s">
        <v>1791</v>
      </c>
      <c r="H33" s="146" t="str">
        <f t="shared" si="0"/>
        <v>0x1F</v>
      </c>
      <c r="I33" s="239"/>
    </row>
    <row r="34" spans="1:9">
      <c r="A34" s="192"/>
      <c r="B34" s="195" t="s">
        <v>1604</v>
      </c>
      <c r="C34" s="147" t="s">
        <v>1617</v>
      </c>
      <c r="D34" s="147"/>
      <c r="E34" s="147"/>
      <c r="F34" s="147"/>
      <c r="G34" s="145" t="s">
        <v>1792</v>
      </c>
      <c r="H34" s="146" t="str">
        <f t="shared" si="0"/>
        <v>0x20</v>
      </c>
      <c r="I34" s="239"/>
    </row>
    <row r="35" spans="1:9">
      <c r="A35" s="192"/>
      <c r="B35" s="195"/>
      <c r="C35" s="147" t="s">
        <v>1618</v>
      </c>
      <c r="D35" s="147"/>
      <c r="E35" s="147"/>
      <c r="F35" s="147"/>
      <c r="G35" s="145" t="s">
        <v>1793</v>
      </c>
      <c r="H35" s="146" t="str">
        <f t="shared" si="0"/>
        <v>0x21</v>
      </c>
      <c r="I35" s="239"/>
    </row>
    <row r="36" spans="1:9">
      <c r="A36" s="192"/>
      <c r="B36" s="195"/>
      <c r="C36" s="147" t="s">
        <v>1619</v>
      </c>
      <c r="D36" s="147"/>
      <c r="E36" s="147"/>
      <c r="F36" s="147"/>
      <c r="G36" s="145" t="s">
        <v>1794</v>
      </c>
      <c r="H36" s="146" t="str">
        <f t="shared" si="0"/>
        <v>0x22</v>
      </c>
      <c r="I36" s="239"/>
    </row>
    <row r="37" spans="1:9">
      <c r="A37" s="192"/>
      <c r="B37" s="195" t="s">
        <v>1605</v>
      </c>
      <c r="C37" s="147" t="s">
        <v>1837</v>
      </c>
      <c r="D37" s="147"/>
      <c r="E37" s="147"/>
      <c r="F37" s="147"/>
      <c r="G37" s="145" t="s">
        <v>1795</v>
      </c>
      <c r="H37" s="146" t="str">
        <f t="shared" si="0"/>
        <v>0x23</v>
      </c>
      <c r="I37" s="239"/>
    </row>
    <row r="38" spans="1:9">
      <c r="A38" s="192"/>
      <c r="B38" s="195"/>
      <c r="C38" s="147" t="s">
        <v>1838</v>
      </c>
      <c r="D38" s="147"/>
      <c r="E38" s="147"/>
      <c r="F38" s="147"/>
      <c r="G38" s="145" t="s">
        <v>1796</v>
      </c>
      <c r="H38" s="146" t="str">
        <f t="shared" si="0"/>
        <v>0x24</v>
      </c>
      <c r="I38" s="239"/>
    </row>
    <row r="39" spans="1:9">
      <c r="A39" s="192"/>
      <c r="B39" s="195"/>
      <c r="C39" s="147" t="s">
        <v>1839</v>
      </c>
      <c r="D39" s="147"/>
      <c r="E39" s="147"/>
      <c r="F39" s="147"/>
      <c r="G39" s="145" t="s">
        <v>1797</v>
      </c>
      <c r="H39" s="146" t="str">
        <f t="shared" si="0"/>
        <v>0x25</v>
      </c>
      <c r="I39" s="239"/>
    </row>
    <row r="40" spans="1:9">
      <c r="A40" s="192"/>
      <c r="B40" s="195"/>
      <c r="C40" s="147" t="s">
        <v>1840</v>
      </c>
      <c r="D40" s="147"/>
      <c r="E40" s="147"/>
      <c r="F40" s="147"/>
      <c r="G40" s="145" t="s">
        <v>1798</v>
      </c>
      <c r="H40" s="146" t="str">
        <f t="shared" si="0"/>
        <v>0x26</v>
      </c>
      <c r="I40" s="239"/>
    </row>
    <row r="41" spans="1:9">
      <c r="A41" s="192"/>
      <c r="B41" s="195"/>
      <c r="C41" s="147" t="s">
        <v>1841</v>
      </c>
      <c r="D41" s="147"/>
      <c r="E41" s="147"/>
      <c r="F41" s="147"/>
      <c r="G41" s="145" t="s">
        <v>1799</v>
      </c>
      <c r="H41" s="146" t="str">
        <f t="shared" si="0"/>
        <v>0x27</v>
      </c>
      <c r="I41" s="239"/>
    </row>
    <row r="42" spans="1:9">
      <c r="A42" s="192"/>
      <c r="B42" s="195"/>
      <c r="C42" s="147" t="s">
        <v>1842</v>
      </c>
      <c r="D42" s="147"/>
      <c r="E42" s="147"/>
      <c r="F42" s="147"/>
      <c r="G42" s="145" t="s">
        <v>1800</v>
      </c>
      <c r="H42" s="146" t="str">
        <f t="shared" si="0"/>
        <v>0x28</v>
      </c>
      <c r="I42" s="239"/>
    </row>
    <row r="43" spans="1:9">
      <c r="A43" s="192"/>
      <c r="B43" s="195"/>
      <c r="C43" s="147" t="s">
        <v>1843</v>
      </c>
      <c r="D43" s="147"/>
      <c r="E43" s="147"/>
      <c r="F43" s="147"/>
      <c r="G43" s="145" t="s">
        <v>1801</v>
      </c>
      <c r="H43" s="146" t="str">
        <f t="shared" si="0"/>
        <v>0x29</v>
      </c>
      <c r="I43" s="239"/>
    </row>
    <row r="44" spans="1:9">
      <c r="A44" s="192"/>
      <c r="B44" s="195"/>
      <c r="C44" s="147" t="s">
        <v>1844</v>
      </c>
      <c r="D44" s="147"/>
      <c r="E44" s="147"/>
      <c r="F44" s="147"/>
      <c r="G44" s="145" t="s">
        <v>1802</v>
      </c>
      <c r="H44" s="146" t="str">
        <f t="shared" si="0"/>
        <v>0x2A</v>
      </c>
      <c r="I44" s="239"/>
    </row>
    <row r="45" spans="1:9">
      <c r="A45" s="192"/>
      <c r="B45" s="195"/>
      <c r="C45" s="147" t="s">
        <v>1845</v>
      </c>
      <c r="D45" s="147"/>
      <c r="E45" s="147"/>
      <c r="F45" s="147"/>
      <c r="G45" s="145" t="s">
        <v>1803</v>
      </c>
      <c r="H45" s="146" t="str">
        <f t="shared" si="0"/>
        <v>0x2B</v>
      </c>
      <c r="I45" s="239"/>
    </row>
    <row r="46" spans="1:9">
      <c r="A46" s="192"/>
      <c r="B46" s="195"/>
      <c r="C46" s="147" t="s">
        <v>1846</v>
      </c>
      <c r="D46" s="147"/>
      <c r="E46" s="147"/>
      <c r="F46" s="147"/>
      <c r="G46" s="145" t="s">
        <v>1804</v>
      </c>
      <c r="H46" s="146" t="str">
        <f t="shared" si="0"/>
        <v>0x2C</v>
      </c>
      <c r="I46" s="239"/>
    </row>
    <row r="47" spans="1:9">
      <c r="A47" s="192"/>
      <c r="B47" s="195"/>
      <c r="C47" s="147" t="s">
        <v>1847</v>
      </c>
      <c r="D47" s="147"/>
      <c r="E47" s="147"/>
      <c r="F47" s="147"/>
      <c r="G47" s="145" t="s">
        <v>1805</v>
      </c>
      <c r="H47" s="146" t="str">
        <f t="shared" si="0"/>
        <v>0x2D</v>
      </c>
      <c r="I47" s="239"/>
    </row>
    <row r="48" spans="1:9">
      <c r="A48" s="192"/>
      <c r="B48" s="195"/>
      <c r="C48" s="147" t="s">
        <v>1848</v>
      </c>
      <c r="D48" s="147"/>
      <c r="E48" s="147"/>
      <c r="F48" s="147"/>
      <c r="G48" s="145" t="s">
        <v>1806</v>
      </c>
      <c r="H48" s="146" t="str">
        <f t="shared" si="0"/>
        <v>0x2E</v>
      </c>
      <c r="I48" s="239"/>
    </row>
    <row r="49" spans="1:9">
      <c r="A49" s="193"/>
      <c r="B49" s="148" t="s">
        <v>1606</v>
      </c>
      <c r="C49" s="147" t="s">
        <v>1589</v>
      </c>
      <c r="D49" s="147"/>
      <c r="E49" s="147"/>
      <c r="F49" s="147"/>
      <c r="G49" s="145" t="s">
        <v>1807</v>
      </c>
      <c r="H49" s="146" t="str">
        <f t="shared" si="0"/>
        <v>0x2F</v>
      </c>
      <c r="I49" s="239"/>
    </row>
    <row r="50" spans="1:9">
      <c r="A50" s="191" t="s">
        <v>1598</v>
      </c>
      <c r="B50" s="142" t="s">
        <v>1594</v>
      </c>
      <c r="C50" s="143"/>
      <c r="D50" s="144"/>
      <c r="E50" s="144"/>
      <c r="F50" s="144"/>
      <c r="G50" s="145" t="s">
        <v>1760</v>
      </c>
      <c r="H50" s="146" t="str">
        <f t="shared" si="0"/>
        <v>0x00</v>
      </c>
      <c r="I50" s="239"/>
    </row>
    <row r="51" spans="1:9">
      <c r="A51" s="192"/>
      <c r="B51" s="201" t="s">
        <v>1535</v>
      </c>
      <c r="C51" s="143" t="s">
        <v>472</v>
      </c>
      <c r="D51" s="147"/>
      <c r="E51" s="147"/>
      <c r="F51" s="147"/>
      <c r="G51" s="145" t="s">
        <v>1761</v>
      </c>
      <c r="H51" s="146" t="str">
        <f t="shared" si="0"/>
        <v>0x01</v>
      </c>
      <c r="I51" s="239"/>
    </row>
    <row r="52" spans="1:9">
      <c r="A52" s="192"/>
      <c r="B52" s="202"/>
      <c r="C52" s="143" t="s">
        <v>475</v>
      </c>
      <c r="D52" s="147"/>
      <c r="E52" s="147"/>
      <c r="F52" s="147"/>
      <c r="G52" s="145" t="s">
        <v>1762</v>
      </c>
      <c r="H52" s="146" t="str">
        <f t="shared" si="0"/>
        <v>0x02</v>
      </c>
      <c r="I52" s="239"/>
    </row>
    <row r="53" spans="1:9">
      <c r="A53" s="192"/>
      <c r="B53" s="202"/>
      <c r="C53" s="143" t="s">
        <v>478</v>
      </c>
      <c r="D53" s="147"/>
      <c r="E53" s="147"/>
      <c r="F53" s="147"/>
      <c r="G53" s="145" t="s">
        <v>1763</v>
      </c>
      <c r="H53" s="146" t="str">
        <f t="shared" si="0"/>
        <v>0x03</v>
      </c>
      <c r="I53" s="239"/>
    </row>
    <row r="54" spans="1:9">
      <c r="A54" s="192"/>
      <c r="B54" s="202"/>
      <c r="C54" s="143" t="s">
        <v>481</v>
      </c>
      <c r="D54" s="147"/>
      <c r="E54" s="147"/>
      <c r="F54" s="147"/>
      <c r="G54" s="145" t="s">
        <v>1764</v>
      </c>
      <c r="H54" s="146" t="str">
        <f t="shared" si="0"/>
        <v>0x04</v>
      </c>
      <c r="I54" s="239"/>
    </row>
    <row r="55" spans="1:9">
      <c r="A55" s="192"/>
      <c r="B55" s="202"/>
      <c r="C55" s="147" t="s">
        <v>1701</v>
      </c>
      <c r="D55" s="147"/>
      <c r="E55" s="147"/>
      <c r="F55" s="147"/>
      <c r="G55" s="145" t="s">
        <v>1765</v>
      </c>
      <c r="H55" s="146" t="str">
        <f t="shared" si="0"/>
        <v>0x05</v>
      </c>
      <c r="I55" s="239"/>
    </row>
    <row r="56" spans="1:9">
      <c r="A56" s="192"/>
      <c r="B56" s="202"/>
      <c r="C56" s="143" t="s">
        <v>539</v>
      </c>
      <c r="D56" s="147"/>
      <c r="E56" s="147"/>
      <c r="F56" s="147"/>
      <c r="G56" s="145" t="s">
        <v>1766</v>
      </c>
      <c r="H56" s="146" t="str">
        <f t="shared" si="0"/>
        <v>0x06</v>
      </c>
      <c r="I56" s="239"/>
    </row>
    <row r="57" spans="1:9">
      <c r="A57" s="192"/>
      <c r="B57" s="202"/>
      <c r="C57" s="143" t="s">
        <v>591</v>
      </c>
      <c r="D57" s="147"/>
      <c r="E57" s="147"/>
      <c r="F57" s="147"/>
      <c r="G57" s="145" t="s">
        <v>1767</v>
      </c>
      <c r="H57" s="146" t="str">
        <f t="shared" si="0"/>
        <v>0x07</v>
      </c>
      <c r="I57" s="239"/>
    </row>
    <row r="58" spans="1:9">
      <c r="A58" s="192"/>
      <c r="B58" s="203"/>
      <c r="C58" s="143" t="s">
        <v>594</v>
      </c>
      <c r="D58" s="147"/>
      <c r="E58" s="147"/>
      <c r="F58" s="147"/>
      <c r="G58" s="145" t="s">
        <v>1768</v>
      </c>
      <c r="H58" s="146" t="str">
        <f t="shared" si="0"/>
        <v>0x08</v>
      </c>
      <c r="I58" s="239"/>
    </row>
    <row r="59" spans="1:9">
      <c r="A59" s="192"/>
      <c r="B59" s="195" t="s">
        <v>1600</v>
      </c>
      <c r="C59" s="147" t="s">
        <v>1850</v>
      </c>
      <c r="D59" s="147" t="s">
        <v>1851</v>
      </c>
      <c r="E59" s="147" t="s">
        <v>1852</v>
      </c>
      <c r="F59" s="147"/>
      <c r="G59" s="145" t="s">
        <v>1769</v>
      </c>
      <c r="H59" s="146" t="str">
        <f t="shared" si="0"/>
        <v>0x09</v>
      </c>
      <c r="I59" s="239"/>
    </row>
    <row r="60" spans="1:9">
      <c r="A60" s="192"/>
      <c r="B60" s="195"/>
      <c r="C60" s="147" t="s">
        <v>1853</v>
      </c>
      <c r="D60" s="147" t="s">
        <v>1854</v>
      </c>
      <c r="E60" s="147"/>
      <c r="F60" s="147"/>
      <c r="G60" s="145" t="s">
        <v>1770</v>
      </c>
      <c r="H60" s="146" t="str">
        <f t="shared" si="0"/>
        <v>0x0A</v>
      </c>
      <c r="I60" s="239"/>
    </row>
    <row r="61" spans="1:9">
      <c r="A61" s="192"/>
      <c r="B61" s="195"/>
      <c r="C61" s="147" t="s">
        <v>1855</v>
      </c>
      <c r="D61" s="147"/>
      <c r="E61" s="147" t="s">
        <v>1856</v>
      </c>
      <c r="F61" s="147"/>
      <c r="G61" s="145" t="s">
        <v>1771</v>
      </c>
      <c r="H61" s="146" t="str">
        <f t="shared" si="0"/>
        <v>0x0B</v>
      </c>
      <c r="I61" s="239"/>
    </row>
    <row r="62" spans="1:9">
      <c r="A62" s="192"/>
      <c r="B62" s="195"/>
      <c r="C62" s="147" t="s">
        <v>1857</v>
      </c>
      <c r="D62" s="147"/>
      <c r="E62" s="147"/>
      <c r="F62" s="147"/>
      <c r="G62" s="145" t="s">
        <v>1772</v>
      </c>
      <c r="H62" s="146" t="str">
        <f t="shared" si="0"/>
        <v>0x0C</v>
      </c>
      <c r="I62" s="239"/>
    </row>
    <row r="63" spans="1:9">
      <c r="A63" s="192"/>
      <c r="B63" s="195" t="s">
        <v>1599</v>
      </c>
      <c r="C63" s="147" t="s">
        <v>1858</v>
      </c>
      <c r="D63" s="147" t="s">
        <v>1859</v>
      </c>
      <c r="E63" s="144"/>
      <c r="F63" s="144"/>
      <c r="G63" s="145" t="s">
        <v>1773</v>
      </c>
      <c r="H63" s="146" t="str">
        <f t="shared" si="0"/>
        <v>0x0D</v>
      </c>
      <c r="I63" s="239"/>
    </row>
    <row r="64" spans="1:9">
      <c r="A64" s="192"/>
      <c r="B64" s="195"/>
      <c r="C64" s="147" t="s">
        <v>1860</v>
      </c>
      <c r="D64" s="147" t="s">
        <v>1861</v>
      </c>
      <c r="E64" s="144"/>
      <c r="F64" s="144"/>
      <c r="G64" s="145" t="s">
        <v>1774</v>
      </c>
      <c r="H64" s="146" t="str">
        <f t="shared" si="0"/>
        <v>0x0E</v>
      </c>
      <c r="I64" s="239"/>
    </row>
    <row r="65" spans="1:9">
      <c r="A65" s="192"/>
      <c r="B65" s="195"/>
      <c r="C65" s="147" t="s">
        <v>1862</v>
      </c>
      <c r="D65" s="147"/>
      <c r="E65" s="144"/>
      <c r="F65" s="144"/>
      <c r="G65" s="145" t="s">
        <v>1775</v>
      </c>
      <c r="H65" s="146" t="str">
        <f t="shared" si="0"/>
        <v>0x0F</v>
      </c>
      <c r="I65" s="239" t="s">
        <v>2114</v>
      </c>
    </row>
    <row r="66" spans="1:9">
      <c r="A66" s="192"/>
      <c r="B66" s="195"/>
      <c r="C66" s="147" t="s">
        <v>1863</v>
      </c>
      <c r="D66" s="147"/>
      <c r="E66" s="144"/>
      <c r="F66" s="144"/>
      <c r="G66" s="145" t="s">
        <v>1776</v>
      </c>
      <c r="H66" s="146" t="str">
        <f t="shared" si="0"/>
        <v>0x10</v>
      </c>
      <c r="I66" s="239"/>
    </row>
    <row r="67" spans="1:9">
      <c r="A67" s="192"/>
      <c r="B67" s="195" t="s">
        <v>1601</v>
      </c>
      <c r="C67" s="147" t="s">
        <v>1864</v>
      </c>
      <c r="D67" s="147" t="s">
        <v>1865</v>
      </c>
      <c r="E67" s="147"/>
      <c r="F67" s="147" t="s">
        <v>1866</v>
      </c>
      <c r="G67" s="145" t="s">
        <v>1777</v>
      </c>
      <c r="H67" s="146" t="str">
        <f t="shared" ref="H67:H97" si="1">"0x"&amp;BIN2HEX(RIGHT(G67,6),2)</f>
        <v>0x11</v>
      </c>
      <c r="I67" s="239"/>
    </row>
    <row r="68" spans="1:9">
      <c r="A68" s="192"/>
      <c r="B68" s="195"/>
      <c r="C68" s="147" t="s">
        <v>1867</v>
      </c>
      <c r="D68" s="147" t="s">
        <v>1868</v>
      </c>
      <c r="E68" s="147"/>
      <c r="F68" s="147" t="s">
        <v>1869</v>
      </c>
      <c r="G68" s="145" t="s">
        <v>1778</v>
      </c>
      <c r="H68" s="146" t="str">
        <f t="shared" si="1"/>
        <v>0x12</v>
      </c>
      <c r="I68" s="239"/>
    </row>
    <row r="69" spans="1:9">
      <c r="A69" s="192"/>
      <c r="B69" s="195"/>
      <c r="C69" s="147" t="s">
        <v>1870</v>
      </c>
      <c r="D69" s="147"/>
      <c r="E69" s="144"/>
      <c r="F69" s="144"/>
      <c r="G69" s="145" t="s">
        <v>1779</v>
      </c>
      <c r="H69" s="146" t="str">
        <f t="shared" si="1"/>
        <v>0x13</v>
      </c>
      <c r="I69" s="239" t="s">
        <v>2116</v>
      </c>
    </row>
    <row r="70" spans="1:9">
      <c r="A70" s="192"/>
      <c r="B70" s="195" t="s">
        <v>1602</v>
      </c>
      <c r="C70" s="147" t="s">
        <v>1871</v>
      </c>
      <c r="D70" s="147" t="s">
        <v>1872</v>
      </c>
      <c r="E70" s="144"/>
      <c r="F70" s="144"/>
      <c r="G70" s="145" t="s">
        <v>1780</v>
      </c>
      <c r="H70" s="146" t="str">
        <f t="shared" si="1"/>
        <v>0x14</v>
      </c>
      <c r="I70" s="239"/>
    </row>
    <row r="71" spans="1:9">
      <c r="A71" s="192"/>
      <c r="B71" s="195"/>
      <c r="C71" s="147" t="s">
        <v>1873</v>
      </c>
      <c r="D71" s="147" t="s">
        <v>1874</v>
      </c>
      <c r="E71" s="144"/>
      <c r="F71" s="144"/>
      <c r="G71" s="145" t="s">
        <v>1781</v>
      </c>
      <c r="H71" s="146" t="str">
        <f t="shared" si="1"/>
        <v>0x15</v>
      </c>
      <c r="I71" s="239"/>
    </row>
    <row r="72" spans="1:9">
      <c r="A72" s="192"/>
      <c r="B72" s="195"/>
      <c r="C72" s="147" t="s">
        <v>1875</v>
      </c>
      <c r="D72" s="147"/>
      <c r="E72" s="144"/>
      <c r="F72" s="144"/>
      <c r="G72" s="145" t="s">
        <v>1782</v>
      </c>
      <c r="H72" s="146" t="str">
        <f t="shared" si="1"/>
        <v>0x16</v>
      </c>
      <c r="I72" s="239" t="s">
        <v>2115</v>
      </c>
    </row>
    <row r="73" spans="1:9">
      <c r="A73" s="192"/>
      <c r="B73" s="148" t="s">
        <v>1621</v>
      </c>
      <c r="C73" s="147" t="s">
        <v>1608</v>
      </c>
      <c r="D73" s="147"/>
      <c r="E73" s="147"/>
      <c r="F73" s="147"/>
      <c r="G73" s="145" t="s">
        <v>1783</v>
      </c>
      <c r="H73" s="146" t="str">
        <f t="shared" si="1"/>
        <v>0x17</v>
      </c>
      <c r="I73" s="239"/>
    </row>
    <row r="74" spans="1:9">
      <c r="A74" s="192"/>
      <c r="B74" s="195" t="s">
        <v>1603</v>
      </c>
      <c r="C74" s="147" t="s">
        <v>1829</v>
      </c>
      <c r="D74" s="147"/>
      <c r="E74" s="147"/>
      <c r="F74" s="147"/>
      <c r="G74" s="145" t="s">
        <v>1784</v>
      </c>
      <c r="H74" s="146" t="str">
        <f t="shared" si="1"/>
        <v>0x18</v>
      </c>
      <c r="I74" s="239"/>
    </row>
    <row r="75" spans="1:9">
      <c r="A75" s="192"/>
      <c r="B75" s="195"/>
      <c r="C75" s="147" t="s">
        <v>1830</v>
      </c>
      <c r="D75" s="147"/>
      <c r="E75" s="147"/>
      <c r="F75" s="147"/>
      <c r="G75" s="145" t="s">
        <v>1785</v>
      </c>
      <c r="H75" s="146" t="str">
        <f t="shared" si="1"/>
        <v>0x19</v>
      </c>
      <c r="I75" s="239"/>
    </row>
    <row r="76" spans="1:9">
      <c r="A76" s="192"/>
      <c r="B76" s="195"/>
      <c r="C76" s="147" t="s">
        <v>1831</v>
      </c>
      <c r="D76" s="147"/>
      <c r="E76" s="147"/>
      <c r="F76" s="147"/>
      <c r="G76" s="145" t="s">
        <v>1786</v>
      </c>
      <c r="H76" s="146" t="str">
        <f t="shared" si="1"/>
        <v>0x1A</v>
      </c>
      <c r="I76" s="239"/>
    </row>
    <row r="77" spans="1:9">
      <c r="A77" s="192"/>
      <c r="B77" s="195"/>
      <c r="C77" s="147" t="s">
        <v>1832</v>
      </c>
      <c r="D77" s="147"/>
      <c r="E77" s="147"/>
      <c r="F77" s="147"/>
      <c r="G77" s="145" t="s">
        <v>1787</v>
      </c>
      <c r="H77" s="146" t="str">
        <f t="shared" si="1"/>
        <v>0x1B</v>
      </c>
      <c r="I77" s="239"/>
    </row>
    <row r="78" spans="1:9">
      <c r="A78" s="192"/>
      <c r="B78" s="195"/>
      <c r="C78" s="147" t="s">
        <v>1833</v>
      </c>
      <c r="D78" s="147"/>
      <c r="E78" s="147"/>
      <c r="F78" s="147"/>
      <c r="G78" s="145" t="s">
        <v>1788</v>
      </c>
      <c r="H78" s="146" t="str">
        <f t="shared" si="1"/>
        <v>0x1C</v>
      </c>
      <c r="I78" s="239"/>
    </row>
    <row r="79" spans="1:9">
      <c r="A79" s="192"/>
      <c r="B79" s="195"/>
      <c r="C79" s="147" t="s">
        <v>1834</v>
      </c>
      <c r="D79" s="147"/>
      <c r="E79" s="147"/>
      <c r="F79" s="147"/>
      <c r="G79" s="145" t="s">
        <v>1789</v>
      </c>
      <c r="H79" s="146" t="str">
        <f t="shared" si="1"/>
        <v>0x1D</v>
      </c>
      <c r="I79" s="239"/>
    </row>
    <row r="80" spans="1:9">
      <c r="A80" s="192"/>
      <c r="B80" s="195"/>
      <c r="C80" s="147" t="s">
        <v>1835</v>
      </c>
      <c r="D80" s="147"/>
      <c r="E80" s="147"/>
      <c r="F80" s="147"/>
      <c r="G80" s="145" t="s">
        <v>1790</v>
      </c>
      <c r="H80" s="146" t="str">
        <f t="shared" si="1"/>
        <v>0x1E</v>
      </c>
      <c r="I80" s="239"/>
    </row>
    <row r="81" spans="1:9">
      <c r="A81" s="192"/>
      <c r="B81" s="195"/>
      <c r="C81" s="147" t="s">
        <v>2105</v>
      </c>
      <c r="D81" s="147"/>
      <c r="E81" s="147"/>
      <c r="F81" s="147"/>
      <c r="G81" s="145" t="s">
        <v>1791</v>
      </c>
      <c r="H81" s="146" t="str">
        <f t="shared" si="1"/>
        <v>0x1F</v>
      </c>
      <c r="I81" s="239"/>
    </row>
    <row r="82" spans="1:9">
      <c r="A82" s="192"/>
      <c r="B82" s="195" t="s">
        <v>1604</v>
      </c>
      <c r="C82" s="147" t="s">
        <v>2104</v>
      </c>
      <c r="D82" s="147"/>
      <c r="E82" s="147"/>
      <c r="F82" s="147"/>
      <c r="G82" s="145" t="s">
        <v>1792</v>
      </c>
      <c r="H82" s="146" t="str">
        <f t="shared" si="1"/>
        <v>0x20</v>
      </c>
      <c r="I82" s="239"/>
    </row>
    <row r="83" spans="1:9">
      <c r="A83" s="192"/>
      <c r="B83" s="195"/>
      <c r="C83" s="147" t="s">
        <v>1618</v>
      </c>
      <c r="D83" s="147"/>
      <c r="E83" s="147"/>
      <c r="F83" s="147"/>
      <c r="G83" s="145" t="s">
        <v>1793</v>
      </c>
      <c r="H83" s="146" t="str">
        <f t="shared" si="1"/>
        <v>0x21</v>
      </c>
      <c r="I83" s="239"/>
    </row>
    <row r="84" spans="1:9">
      <c r="A84" s="192"/>
      <c r="B84" s="195"/>
      <c r="C84" s="147" t="s">
        <v>1619</v>
      </c>
      <c r="D84" s="147"/>
      <c r="E84" s="147"/>
      <c r="F84" s="147"/>
      <c r="G84" s="145" t="s">
        <v>1794</v>
      </c>
      <c r="H84" s="146" t="str">
        <f t="shared" si="1"/>
        <v>0x22</v>
      </c>
      <c r="I84" s="239"/>
    </row>
    <row r="85" spans="1:9">
      <c r="A85" s="192"/>
      <c r="B85" s="195" t="s">
        <v>1605</v>
      </c>
      <c r="C85" s="147" t="s">
        <v>1837</v>
      </c>
      <c r="D85" s="147"/>
      <c r="E85" s="147"/>
      <c r="F85" s="147"/>
      <c r="G85" s="145" t="s">
        <v>1795</v>
      </c>
      <c r="H85" s="146" t="str">
        <f t="shared" si="1"/>
        <v>0x23</v>
      </c>
      <c r="I85" s="239"/>
    </row>
    <row r="86" spans="1:9">
      <c r="A86" s="192"/>
      <c r="B86" s="195"/>
      <c r="C86" s="147" t="s">
        <v>1838</v>
      </c>
      <c r="D86" s="147"/>
      <c r="E86" s="147"/>
      <c r="F86" s="147"/>
      <c r="G86" s="145" t="s">
        <v>1796</v>
      </c>
      <c r="H86" s="146" t="str">
        <f t="shared" si="1"/>
        <v>0x24</v>
      </c>
      <c r="I86" s="239"/>
    </row>
    <row r="87" spans="1:9">
      <c r="A87" s="192"/>
      <c r="B87" s="195"/>
      <c r="C87" s="147" t="s">
        <v>1839</v>
      </c>
      <c r="D87" s="147"/>
      <c r="E87" s="147"/>
      <c r="F87" s="147"/>
      <c r="G87" s="145" t="s">
        <v>1797</v>
      </c>
      <c r="H87" s="146" t="str">
        <f t="shared" si="1"/>
        <v>0x25</v>
      </c>
      <c r="I87" s="239"/>
    </row>
    <row r="88" spans="1:9">
      <c r="A88" s="192"/>
      <c r="B88" s="195"/>
      <c r="C88" s="147" t="s">
        <v>1840</v>
      </c>
      <c r="D88" s="147"/>
      <c r="E88" s="147"/>
      <c r="F88" s="147"/>
      <c r="G88" s="145" t="s">
        <v>1798</v>
      </c>
      <c r="H88" s="146" t="str">
        <f t="shared" si="1"/>
        <v>0x26</v>
      </c>
      <c r="I88" s="239"/>
    </row>
    <row r="89" spans="1:9">
      <c r="A89" s="192"/>
      <c r="B89" s="195"/>
      <c r="C89" s="147" t="s">
        <v>1841</v>
      </c>
      <c r="D89" s="147"/>
      <c r="E89" s="147"/>
      <c r="F89" s="147"/>
      <c r="G89" s="145" t="s">
        <v>1799</v>
      </c>
      <c r="H89" s="146" t="str">
        <f t="shared" si="1"/>
        <v>0x27</v>
      </c>
      <c r="I89" s="239"/>
    </row>
    <row r="90" spans="1:9">
      <c r="A90" s="192"/>
      <c r="B90" s="195"/>
      <c r="C90" s="147" t="s">
        <v>1842</v>
      </c>
      <c r="D90" s="147"/>
      <c r="E90" s="147"/>
      <c r="F90" s="147"/>
      <c r="G90" s="145" t="s">
        <v>1800</v>
      </c>
      <c r="H90" s="146" t="str">
        <f t="shared" si="1"/>
        <v>0x28</v>
      </c>
      <c r="I90" s="239"/>
    </row>
    <row r="91" spans="1:9">
      <c r="A91" s="192"/>
      <c r="B91" s="195"/>
      <c r="C91" s="147" t="s">
        <v>1843</v>
      </c>
      <c r="D91" s="147"/>
      <c r="E91" s="147"/>
      <c r="F91" s="147"/>
      <c r="G91" s="145" t="s">
        <v>1801</v>
      </c>
      <c r="H91" s="146" t="str">
        <f t="shared" si="1"/>
        <v>0x29</v>
      </c>
      <c r="I91" s="239"/>
    </row>
    <row r="92" spans="1:9">
      <c r="A92" s="192"/>
      <c r="B92" s="195"/>
      <c r="C92" s="147" t="s">
        <v>1844</v>
      </c>
      <c r="D92" s="147"/>
      <c r="E92" s="147"/>
      <c r="F92" s="147"/>
      <c r="G92" s="145" t="s">
        <v>1802</v>
      </c>
      <c r="H92" s="146" t="str">
        <f t="shared" si="1"/>
        <v>0x2A</v>
      </c>
      <c r="I92" s="239"/>
    </row>
    <row r="93" spans="1:9">
      <c r="A93" s="192"/>
      <c r="B93" s="195"/>
      <c r="C93" s="147" t="s">
        <v>1845</v>
      </c>
      <c r="D93" s="147"/>
      <c r="E93" s="147"/>
      <c r="F93" s="147"/>
      <c r="G93" s="145" t="s">
        <v>1803</v>
      </c>
      <c r="H93" s="146" t="str">
        <f t="shared" si="1"/>
        <v>0x2B</v>
      </c>
      <c r="I93" s="239"/>
    </row>
    <row r="94" spans="1:9">
      <c r="A94" s="192"/>
      <c r="B94" s="195"/>
      <c r="C94" s="147" t="s">
        <v>1846</v>
      </c>
      <c r="D94" s="147"/>
      <c r="E94" s="147"/>
      <c r="F94" s="147"/>
      <c r="G94" s="145" t="s">
        <v>1804</v>
      </c>
      <c r="H94" s="146" t="str">
        <f t="shared" si="1"/>
        <v>0x2C</v>
      </c>
      <c r="I94" s="239"/>
    </row>
    <row r="95" spans="1:9">
      <c r="A95" s="192"/>
      <c r="B95" s="195"/>
      <c r="C95" s="147" t="s">
        <v>1847</v>
      </c>
      <c r="D95" s="147"/>
      <c r="E95" s="147"/>
      <c r="F95" s="147"/>
      <c r="G95" s="145" t="s">
        <v>1805</v>
      </c>
      <c r="H95" s="146" t="str">
        <f t="shared" si="1"/>
        <v>0x2D</v>
      </c>
      <c r="I95" s="239"/>
    </row>
    <row r="96" spans="1:9">
      <c r="A96" s="192"/>
      <c r="B96" s="195"/>
      <c r="C96" s="147" t="s">
        <v>1848</v>
      </c>
      <c r="D96" s="147"/>
      <c r="E96" s="147"/>
      <c r="F96" s="147"/>
      <c r="G96" s="145" t="s">
        <v>1806</v>
      </c>
      <c r="H96" s="146" t="str">
        <f t="shared" si="1"/>
        <v>0x2E</v>
      </c>
      <c r="I96" s="239"/>
    </row>
    <row r="97" spans="1:9">
      <c r="A97" s="193"/>
      <c r="B97" s="148" t="s">
        <v>1606</v>
      </c>
      <c r="C97" s="147" t="s">
        <v>1607</v>
      </c>
      <c r="D97" s="147"/>
      <c r="E97" s="147"/>
      <c r="F97" s="147"/>
      <c r="G97" s="145" t="s">
        <v>1807</v>
      </c>
      <c r="H97" s="146" t="str">
        <f t="shared" si="1"/>
        <v>0x2F</v>
      </c>
      <c r="I97" s="239"/>
    </row>
  </sheetData>
  <mergeCells count="21">
    <mergeCell ref="G1:H1"/>
    <mergeCell ref="C1:F1"/>
    <mergeCell ref="B70:B72"/>
    <mergeCell ref="B74:B81"/>
    <mergeCell ref="B82:B84"/>
    <mergeCell ref="A50:A97"/>
    <mergeCell ref="A2:A49"/>
    <mergeCell ref="A1:B1"/>
    <mergeCell ref="B85:B96"/>
    <mergeCell ref="B3:B10"/>
    <mergeCell ref="B26:B33"/>
    <mergeCell ref="B34:B36"/>
    <mergeCell ref="B37:B48"/>
    <mergeCell ref="B11:B14"/>
    <mergeCell ref="B15:B18"/>
    <mergeCell ref="B19:B22"/>
    <mergeCell ref="B23:B24"/>
    <mergeCell ref="B51:B58"/>
    <mergeCell ref="B59:B62"/>
    <mergeCell ref="B63:B66"/>
    <mergeCell ref="B67:B69"/>
  </mergeCells>
  <phoneticPr fontId="65"/>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B2:J17"/>
  <sheetViews>
    <sheetView zoomScale="145" zoomScaleNormal="145" workbookViewId="0">
      <selection activeCell="F19" sqref="F19"/>
    </sheetView>
  </sheetViews>
  <sheetFormatPr defaultRowHeight="15.75"/>
  <cols>
    <col min="2" max="10" width="13.140625" customWidth="1"/>
  </cols>
  <sheetData>
    <row r="2" spans="2:10" ht="16.5" thickBot="1"/>
    <row r="3" spans="2:10" ht="16.5" customHeight="1">
      <c r="B3" s="21" t="s">
        <v>415</v>
      </c>
      <c r="C3" s="209" t="s">
        <v>1426</v>
      </c>
      <c r="D3" s="210"/>
      <c r="E3" s="211" t="s">
        <v>1427</v>
      </c>
      <c r="F3" s="211"/>
      <c r="G3" s="211" t="s">
        <v>1430</v>
      </c>
      <c r="H3" s="211"/>
      <c r="I3" s="211" t="s">
        <v>1431</v>
      </c>
      <c r="J3" s="212"/>
    </row>
    <row r="4" spans="2:10" ht="16.5" customHeight="1">
      <c r="B4" s="22" t="s">
        <v>1428</v>
      </c>
      <c r="C4" s="85" t="s">
        <v>2107</v>
      </c>
      <c r="D4" s="86" t="s">
        <v>1415</v>
      </c>
      <c r="E4" s="85" t="s">
        <v>1396</v>
      </c>
      <c r="F4" s="86" t="s">
        <v>1418</v>
      </c>
      <c r="G4" s="85" t="s">
        <v>1397</v>
      </c>
      <c r="H4" s="86" t="s">
        <v>1421</v>
      </c>
      <c r="I4" s="85" t="s">
        <v>1398</v>
      </c>
      <c r="J4" s="23" t="s">
        <v>1424</v>
      </c>
    </row>
    <row r="5" spans="2:10" ht="16.5" customHeight="1" thickBot="1">
      <c r="B5" s="24" t="s">
        <v>1429</v>
      </c>
      <c r="C5" s="87" t="s">
        <v>1399</v>
      </c>
      <c r="D5" s="88" t="s">
        <v>1415</v>
      </c>
      <c r="E5" s="87" t="s">
        <v>1400</v>
      </c>
      <c r="F5" s="88" t="s">
        <v>1418</v>
      </c>
      <c r="G5" s="87" t="s">
        <v>2108</v>
      </c>
      <c r="H5" s="88" t="s">
        <v>1421</v>
      </c>
      <c r="I5" s="87" t="s">
        <v>1402</v>
      </c>
      <c r="J5" s="26" t="s">
        <v>1424</v>
      </c>
    </row>
    <row r="6" spans="2:10">
      <c r="C6" s="76"/>
    </row>
    <row r="9" spans="2:10" ht="16.5" thickBot="1"/>
    <row r="10" spans="2:10" ht="31.5">
      <c r="B10" s="43" t="s">
        <v>1414</v>
      </c>
      <c r="C10" s="44" t="s">
        <v>1417</v>
      </c>
      <c r="D10" s="44" t="s">
        <v>1420</v>
      </c>
      <c r="E10" s="45" t="s">
        <v>1423</v>
      </c>
    </row>
    <row r="11" spans="2:10" ht="16.5" thickBot="1">
      <c r="B11" s="27" t="s">
        <v>1416</v>
      </c>
      <c r="C11" s="25" t="s">
        <v>1419</v>
      </c>
      <c r="D11" s="25" t="s">
        <v>1422</v>
      </c>
      <c r="E11" s="26" t="s">
        <v>1425</v>
      </c>
    </row>
    <row r="12" spans="2:10" ht="16.5" thickBot="1"/>
    <row r="13" spans="2:10" ht="16.5" thickBot="1">
      <c r="B13" s="28" t="s">
        <v>1433</v>
      </c>
      <c r="C13" s="72" t="s">
        <v>713</v>
      </c>
      <c r="D13" s="29"/>
      <c r="E13" s="30"/>
    </row>
    <row r="14" spans="2:10" ht="16.5" thickBot="1"/>
    <row r="15" spans="2:10" ht="16.5" thickBot="1">
      <c r="B15" s="28" t="s">
        <v>1434</v>
      </c>
      <c r="C15" s="72" t="s">
        <v>713</v>
      </c>
      <c r="D15" s="29"/>
      <c r="E15" s="30"/>
    </row>
    <row r="16" spans="2:10" ht="16.5" thickBot="1"/>
    <row r="17" spans="2:5" ht="16.5" thickBot="1">
      <c r="B17" s="28" t="s">
        <v>1435</v>
      </c>
      <c r="C17" s="72" t="s">
        <v>713</v>
      </c>
      <c r="D17" s="29"/>
      <c r="E17" s="30"/>
    </row>
  </sheetData>
  <mergeCells count="4">
    <mergeCell ref="C3:D3"/>
    <mergeCell ref="E3:F3"/>
    <mergeCell ref="G3:H3"/>
    <mergeCell ref="I3:J3"/>
  </mergeCells>
  <phoneticPr fontId="13" type="noConversion"/>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22"/>
  <sheetViews>
    <sheetView zoomScale="115" zoomScaleNormal="115" workbookViewId="0">
      <selection activeCell="D12" sqref="D12"/>
    </sheetView>
  </sheetViews>
  <sheetFormatPr defaultColWidth="9.140625" defaultRowHeight="15.75"/>
  <cols>
    <col min="1" max="1" width="15.28515625" style="133" customWidth="1"/>
    <col min="2" max="9" width="12.85546875" style="133" customWidth="1"/>
    <col min="10" max="16384" width="9.140625" style="133"/>
  </cols>
  <sheetData>
    <row r="1" spans="1:9" ht="23.25" customHeight="1">
      <c r="A1" s="34"/>
      <c r="B1" s="35" t="s">
        <v>417</v>
      </c>
      <c r="C1" s="35" t="s">
        <v>417</v>
      </c>
      <c r="D1" s="35" t="s">
        <v>417</v>
      </c>
      <c r="E1" s="35" t="s">
        <v>417</v>
      </c>
      <c r="F1" s="35" t="s">
        <v>417</v>
      </c>
      <c r="G1" s="35" t="s">
        <v>417</v>
      </c>
      <c r="H1" s="35" t="s">
        <v>417</v>
      </c>
      <c r="I1" s="31" t="s">
        <v>712</v>
      </c>
    </row>
    <row r="2" spans="1:9" ht="30">
      <c r="A2" s="36"/>
      <c r="B2" s="32" t="s">
        <v>1395</v>
      </c>
      <c r="C2" s="32" t="s">
        <v>1396</v>
      </c>
      <c r="D2" s="32" t="s">
        <v>1397</v>
      </c>
      <c r="E2" s="32" t="s">
        <v>1398</v>
      </c>
      <c r="F2" s="32" t="s">
        <v>1399</v>
      </c>
      <c r="G2" s="32" t="s">
        <v>1400</v>
      </c>
      <c r="H2" s="32" t="s">
        <v>1401</v>
      </c>
      <c r="I2" s="37" t="s">
        <v>1402</v>
      </c>
    </row>
    <row r="3" spans="1:9" ht="30">
      <c r="A3" s="36" t="s">
        <v>416</v>
      </c>
      <c r="B3" s="33" t="s">
        <v>1403</v>
      </c>
      <c r="C3" s="33" t="s">
        <v>1404</v>
      </c>
      <c r="D3" s="33" t="s">
        <v>1405</v>
      </c>
      <c r="E3" s="33" t="s">
        <v>1406</v>
      </c>
      <c r="F3" s="33" t="s">
        <v>1407</v>
      </c>
      <c r="G3" s="33" t="s">
        <v>1408</v>
      </c>
      <c r="H3" s="33" t="s">
        <v>1409</v>
      </c>
      <c r="I3" s="38" t="s">
        <v>1410</v>
      </c>
    </row>
    <row r="4" spans="1:9">
      <c r="A4" s="213" t="s">
        <v>717</v>
      </c>
      <c r="B4" s="134"/>
      <c r="C4" s="134"/>
      <c r="D4" s="134"/>
      <c r="E4" s="134" t="s">
        <v>741</v>
      </c>
      <c r="F4" s="134"/>
      <c r="G4" s="134"/>
      <c r="H4" s="134"/>
      <c r="I4" s="135" t="s">
        <v>741</v>
      </c>
    </row>
    <row r="5" spans="1:9">
      <c r="A5" s="214"/>
      <c r="B5" s="134"/>
      <c r="C5" s="134"/>
      <c r="D5" s="134"/>
      <c r="E5" s="134" t="s">
        <v>742</v>
      </c>
      <c r="F5" s="134"/>
      <c r="G5" s="134"/>
      <c r="H5" s="134"/>
      <c r="I5" s="135" t="s">
        <v>742</v>
      </c>
    </row>
    <row r="6" spans="1:9">
      <c r="A6" s="214"/>
      <c r="B6" s="134"/>
      <c r="C6" s="134"/>
      <c r="D6" s="134" t="s">
        <v>745</v>
      </c>
      <c r="E6" s="134" t="s">
        <v>745</v>
      </c>
      <c r="F6" s="134"/>
      <c r="G6" s="134"/>
      <c r="H6" s="134" t="s">
        <v>745</v>
      </c>
      <c r="I6" s="135" t="s">
        <v>745</v>
      </c>
    </row>
    <row r="7" spans="1:9">
      <c r="A7" s="214"/>
      <c r="B7" s="134"/>
      <c r="C7" s="134" t="s">
        <v>747</v>
      </c>
      <c r="D7" s="134" t="s">
        <v>747</v>
      </c>
      <c r="E7" s="134" t="s">
        <v>747</v>
      </c>
      <c r="F7" s="134"/>
      <c r="G7" s="134" t="s">
        <v>747</v>
      </c>
      <c r="H7" s="134" t="s">
        <v>747</v>
      </c>
      <c r="I7" s="135" t="s">
        <v>747</v>
      </c>
    </row>
    <row r="8" spans="1:9">
      <c r="A8" s="214"/>
      <c r="B8" s="134"/>
      <c r="C8" s="134" t="s">
        <v>714</v>
      </c>
      <c r="D8" s="134" t="s">
        <v>714</v>
      </c>
      <c r="E8" s="134" t="s">
        <v>714</v>
      </c>
      <c r="F8" s="134"/>
      <c r="G8" s="134" t="s">
        <v>714</v>
      </c>
      <c r="H8" s="134" t="s">
        <v>714</v>
      </c>
      <c r="I8" s="135" t="s">
        <v>714</v>
      </c>
    </row>
    <row r="9" spans="1:9" ht="15.75" customHeight="1">
      <c r="A9" s="215" t="s">
        <v>1512</v>
      </c>
      <c r="B9" s="136"/>
      <c r="C9" s="136"/>
      <c r="D9" s="136"/>
      <c r="E9" s="136" t="s">
        <v>1515</v>
      </c>
      <c r="F9" s="136"/>
      <c r="G9" s="136"/>
      <c r="H9" s="136"/>
      <c r="I9" s="137" t="s">
        <v>1514</v>
      </c>
    </row>
    <row r="10" spans="1:9" ht="15.75" customHeight="1">
      <c r="A10" s="215"/>
      <c r="B10" s="136"/>
      <c r="C10" s="136"/>
      <c r="D10" s="136" t="s">
        <v>1513</v>
      </c>
      <c r="E10" s="136" t="s">
        <v>1513</v>
      </c>
      <c r="F10" s="136"/>
      <c r="G10" s="136"/>
      <c r="H10" s="136" t="s">
        <v>1513</v>
      </c>
      <c r="I10" s="137" t="s">
        <v>1513</v>
      </c>
    </row>
    <row r="11" spans="1:9">
      <c r="A11" s="215"/>
      <c r="B11" s="136"/>
      <c r="C11" s="136"/>
      <c r="D11" s="136"/>
      <c r="E11" s="136" t="s">
        <v>997</v>
      </c>
      <c r="F11" s="136"/>
      <c r="G11" s="136"/>
      <c r="H11" s="136"/>
      <c r="I11" s="137" t="s">
        <v>1516</v>
      </c>
    </row>
    <row r="12" spans="1:9" ht="15.75" customHeight="1">
      <c r="A12" s="215" t="s">
        <v>1411</v>
      </c>
      <c r="B12" s="136" t="s">
        <v>1412</v>
      </c>
      <c r="C12" s="136" t="s">
        <v>1412</v>
      </c>
      <c r="D12" s="136" t="s">
        <v>1412</v>
      </c>
      <c r="E12" s="136" t="s">
        <v>1412</v>
      </c>
      <c r="F12" s="136"/>
      <c r="G12" s="136"/>
      <c r="H12" s="136"/>
      <c r="I12" s="137"/>
    </row>
    <row r="13" spans="1:9" ht="16.5" thickBot="1">
      <c r="A13" s="216"/>
      <c r="B13" s="138" t="s">
        <v>1413</v>
      </c>
      <c r="C13" s="138" t="s">
        <v>1413</v>
      </c>
      <c r="D13" s="138" t="s">
        <v>1413</v>
      </c>
      <c r="E13" s="138" t="s">
        <v>1413</v>
      </c>
      <c r="F13" s="138"/>
      <c r="G13" s="138"/>
      <c r="H13" s="138"/>
      <c r="I13" s="139"/>
    </row>
    <row r="21" spans="6:6" ht="16.5" thickBot="1"/>
    <row r="22" spans="6:6" ht="16.5" thickBot="1">
      <c r="F22" s="140"/>
    </row>
  </sheetData>
  <mergeCells count="3">
    <mergeCell ref="A4:A8"/>
    <mergeCell ref="A12:A13"/>
    <mergeCell ref="A9:A11"/>
  </mergeCells>
  <phoneticPr fontId="56"/>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B104"/>
  <sheetViews>
    <sheetView workbookViewId="0"/>
  </sheetViews>
  <sheetFormatPr defaultRowHeight="15.75"/>
  <cols>
    <col min="1" max="1" width="15" customWidth="1"/>
    <col min="2" max="2" width="20.140625" customWidth="1"/>
  </cols>
  <sheetData>
    <row r="1" spans="1:2" ht="16.5" thickBot="1">
      <c r="A1" s="92" t="s">
        <v>64</v>
      </c>
      <c r="B1" s="93" t="s">
        <v>65</v>
      </c>
    </row>
    <row r="2" spans="1:2">
      <c r="A2" s="165" t="s">
        <v>1665</v>
      </c>
      <c r="B2" s="166" t="s">
        <v>498</v>
      </c>
    </row>
    <row r="3" spans="1:2">
      <c r="A3" s="39" t="s">
        <v>1665</v>
      </c>
      <c r="B3" s="40" t="s">
        <v>499</v>
      </c>
    </row>
    <row r="4" spans="1:2">
      <c r="A4" s="39" t="s">
        <v>999</v>
      </c>
      <c r="B4" s="40" t="s">
        <v>467</v>
      </c>
    </row>
    <row r="5" spans="1:2">
      <c r="A5" s="39" t="s">
        <v>999</v>
      </c>
      <c r="B5" s="40" t="s">
        <v>470</v>
      </c>
    </row>
    <row r="6" spans="1:2">
      <c r="A6" s="39" t="s">
        <v>1000</v>
      </c>
      <c r="B6" s="40" t="s">
        <v>473</v>
      </c>
    </row>
    <row r="7" spans="1:2">
      <c r="A7" s="39" t="s">
        <v>1000</v>
      </c>
      <c r="B7" s="40" t="s">
        <v>476</v>
      </c>
    </row>
    <row r="8" spans="1:2">
      <c r="A8" s="39" t="s">
        <v>1001</v>
      </c>
      <c r="B8" s="40" t="s">
        <v>479</v>
      </c>
    </row>
    <row r="9" spans="1:2">
      <c r="A9" s="39" t="s">
        <v>1001</v>
      </c>
      <c r="B9" s="40" t="s">
        <v>482</v>
      </c>
    </row>
    <row r="10" spans="1:2">
      <c r="A10" s="39" t="s">
        <v>1002</v>
      </c>
      <c r="B10" s="40" t="s">
        <v>485</v>
      </c>
    </row>
    <row r="11" spans="1:2">
      <c r="A11" s="39" t="s">
        <v>1002</v>
      </c>
      <c r="B11" s="40" t="s">
        <v>487</v>
      </c>
    </row>
    <row r="12" spans="1:2">
      <c r="A12" s="39" t="s">
        <v>1003</v>
      </c>
      <c r="B12" s="40" t="s">
        <v>489</v>
      </c>
    </row>
    <row r="13" spans="1:2">
      <c r="A13" s="39" t="s">
        <v>1003</v>
      </c>
      <c r="B13" s="40" t="s">
        <v>491</v>
      </c>
    </row>
    <row r="14" spans="1:2">
      <c r="A14" s="39" t="s">
        <v>1004</v>
      </c>
      <c r="B14" s="40" t="s">
        <v>493</v>
      </c>
    </row>
    <row r="15" spans="1:2">
      <c r="A15" s="39" t="s">
        <v>1004</v>
      </c>
      <c r="B15" s="40" t="s">
        <v>495</v>
      </c>
    </row>
    <row r="16" spans="1:2">
      <c r="A16" s="39" t="s">
        <v>1005</v>
      </c>
      <c r="B16" s="40" t="s">
        <v>518</v>
      </c>
    </row>
    <row r="17" spans="1:2">
      <c r="A17" s="39" t="s">
        <v>1005</v>
      </c>
      <c r="B17" s="40" t="s">
        <v>520</v>
      </c>
    </row>
    <row r="18" spans="1:2">
      <c r="A18" s="39" t="s">
        <v>1006</v>
      </c>
      <c r="B18" s="40" t="s">
        <v>533</v>
      </c>
    </row>
    <row r="19" spans="1:2">
      <c r="A19" s="39" t="s">
        <v>1006</v>
      </c>
      <c r="B19" s="40" t="s">
        <v>536</v>
      </c>
    </row>
    <row r="20" spans="1:2">
      <c r="A20" s="39" t="s">
        <v>1007</v>
      </c>
      <c r="B20" s="40" t="s">
        <v>538</v>
      </c>
    </row>
    <row r="21" spans="1:2">
      <c r="A21" s="39" t="s">
        <v>1007</v>
      </c>
      <c r="B21" s="40" t="s">
        <v>540</v>
      </c>
    </row>
    <row r="22" spans="1:2">
      <c r="A22" s="39" t="s">
        <v>1008</v>
      </c>
      <c r="B22" s="40" t="s">
        <v>542</v>
      </c>
    </row>
    <row r="23" spans="1:2">
      <c r="A23" s="39" t="s">
        <v>1008</v>
      </c>
      <c r="B23" s="40" t="s">
        <v>544</v>
      </c>
    </row>
    <row r="24" spans="1:2">
      <c r="A24" s="39" t="s">
        <v>1009</v>
      </c>
      <c r="B24" s="40" t="s">
        <v>546</v>
      </c>
    </row>
    <row r="25" spans="1:2">
      <c r="A25" s="39" t="s">
        <v>1009</v>
      </c>
      <c r="B25" s="40" t="s">
        <v>548</v>
      </c>
    </row>
    <row r="26" spans="1:2">
      <c r="A26" s="39" t="s">
        <v>1010</v>
      </c>
      <c r="B26" s="40" t="s">
        <v>582</v>
      </c>
    </row>
    <row r="27" spans="1:2">
      <c r="A27" s="39" t="s">
        <v>1010</v>
      </c>
      <c r="B27" s="40" t="s">
        <v>584</v>
      </c>
    </row>
    <row r="28" spans="1:2">
      <c r="A28" s="39" t="s">
        <v>1011</v>
      </c>
      <c r="B28" s="40" t="s">
        <v>592</v>
      </c>
    </row>
    <row r="29" spans="1:2">
      <c r="A29" s="39" t="s">
        <v>1011</v>
      </c>
      <c r="B29" s="40" t="s">
        <v>595</v>
      </c>
    </row>
    <row r="30" spans="1:2">
      <c r="A30" s="39" t="s">
        <v>1012</v>
      </c>
      <c r="B30" s="40" t="s">
        <v>602</v>
      </c>
    </row>
    <row r="31" spans="1:2">
      <c r="A31" s="39" t="s">
        <v>1012</v>
      </c>
      <c r="B31" s="40" t="s">
        <v>604</v>
      </c>
    </row>
    <row r="32" spans="1:2">
      <c r="A32" s="39" t="s">
        <v>1013</v>
      </c>
      <c r="B32" s="40" t="s">
        <v>723</v>
      </c>
    </row>
    <row r="33" spans="1:2">
      <c r="A33" s="39" t="s">
        <v>1013</v>
      </c>
      <c r="B33" s="40" t="s">
        <v>724</v>
      </c>
    </row>
    <row r="34" spans="1:2">
      <c r="A34" s="39" t="s">
        <v>1013</v>
      </c>
      <c r="B34" s="40" t="s">
        <v>725</v>
      </c>
    </row>
    <row r="35" spans="1:2">
      <c r="A35" s="39" t="s">
        <v>1013</v>
      </c>
      <c r="B35" s="40" t="s">
        <v>726</v>
      </c>
    </row>
    <row r="36" spans="1:2">
      <c r="A36" s="39" t="s">
        <v>1013</v>
      </c>
      <c r="B36" s="40" t="s">
        <v>564</v>
      </c>
    </row>
    <row r="37" spans="1:2">
      <c r="A37" s="39" t="s">
        <v>1013</v>
      </c>
      <c r="B37" s="40" t="s">
        <v>565</v>
      </c>
    </row>
    <row r="38" spans="1:2">
      <c r="A38" s="39" t="s">
        <v>1013</v>
      </c>
      <c r="B38" s="40" t="s">
        <v>566</v>
      </c>
    </row>
    <row r="39" spans="1:2">
      <c r="A39" s="39" t="s">
        <v>1013</v>
      </c>
      <c r="B39" s="40" t="s">
        <v>567</v>
      </c>
    </row>
    <row r="40" spans="1:2">
      <c r="A40" s="39" t="s">
        <v>1013</v>
      </c>
      <c r="B40" s="40" t="s">
        <v>721</v>
      </c>
    </row>
    <row r="41" spans="1:2">
      <c r="A41" s="39" t="s">
        <v>1013</v>
      </c>
      <c r="B41" s="40" t="s">
        <v>722</v>
      </c>
    </row>
    <row r="42" spans="1:2">
      <c r="A42" s="39" t="s">
        <v>1013</v>
      </c>
      <c r="B42" s="40" t="s">
        <v>558</v>
      </c>
    </row>
    <row r="43" spans="1:2">
      <c r="A43" s="39" t="s">
        <v>1013</v>
      </c>
      <c r="B43" s="40" t="s">
        <v>559</v>
      </c>
    </row>
    <row r="44" spans="1:2">
      <c r="A44" s="39" t="s">
        <v>1013</v>
      </c>
      <c r="B44" s="40" t="s">
        <v>560</v>
      </c>
    </row>
    <row r="45" spans="1:2">
      <c r="A45" s="39" t="s">
        <v>1013</v>
      </c>
      <c r="B45" s="40" t="s">
        <v>561</v>
      </c>
    </row>
    <row r="46" spans="1:2">
      <c r="A46" s="39" t="s">
        <v>1013</v>
      </c>
      <c r="B46" s="40" t="s">
        <v>562</v>
      </c>
    </row>
    <row r="47" spans="1:2">
      <c r="A47" s="39" t="s">
        <v>1013</v>
      </c>
      <c r="B47" s="40" t="s">
        <v>563</v>
      </c>
    </row>
    <row r="48" spans="1:2">
      <c r="A48" s="39" t="s">
        <v>1013</v>
      </c>
      <c r="B48" s="40" t="s">
        <v>719</v>
      </c>
    </row>
    <row r="49" spans="1:2">
      <c r="A49" s="39" t="s">
        <v>1013</v>
      </c>
      <c r="B49" s="40" t="s">
        <v>720</v>
      </c>
    </row>
    <row r="50" spans="1:2">
      <c r="A50" s="39" t="s">
        <v>1013</v>
      </c>
      <c r="B50" s="40" t="s">
        <v>552</v>
      </c>
    </row>
    <row r="51" spans="1:2">
      <c r="A51" s="39" t="s">
        <v>1013</v>
      </c>
      <c r="B51" s="40" t="s">
        <v>553</v>
      </c>
    </row>
    <row r="52" spans="1:2">
      <c r="A52" s="39" t="s">
        <v>1013</v>
      </c>
      <c r="B52" s="40" t="s">
        <v>554</v>
      </c>
    </row>
    <row r="53" spans="1:2">
      <c r="A53" s="39" t="s">
        <v>1013</v>
      </c>
      <c r="B53" s="40" t="s">
        <v>555</v>
      </c>
    </row>
    <row r="54" spans="1:2">
      <c r="A54" s="39" t="s">
        <v>1013</v>
      </c>
      <c r="B54" s="40" t="s">
        <v>556</v>
      </c>
    </row>
    <row r="55" spans="1:2">
      <c r="A55" s="39" t="s">
        <v>1013</v>
      </c>
      <c r="B55" s="40" t="s">
        <v>557</v>
      </c>
    </row>
    <row r="56" spans="1:2">
      <c r="A56" s="39" t="s">
        <v>1013</v>
      </c>
      <c r="B56" s="40" t="s">
        <v>550</v>
      </c>
    </row>
    <row r="57" spans="1:2">
      <c r="A57" s="39" t="s">
        <v>1013</v>
      </c>
      <c r="B57" s="40" t="s">
        <v>551</v>
      </c>
    </row>
    <row r="58" spans="1:2">
      <c r="A58" s="39" t="s">
        <v>1013</v>
      </c>
      <c r="B58" s="40" t="s">
        <v>1617</v>
      </c>
    </row>
    <row r="59" spans="1:2">
      <c r="A59" s="39" t="s">
        <v>1013</v>
      </c>
      <c r="B59" s="40" t="s">
        <v>1618</v>
      </c>
    </row>
    <row r="60" spans="1:2">
      <c r="A60" s="39" t="s">
        <v>1013</v>
      </c>
      <c r="B60" s="40" t="s">
        <v>1619</v>
      </c>
    </row>
    <row r="61" spans="1:2">
      <c r="A61" s="39" t="s">
        <v>1590</v>
      </c>
      <c r="B61" s="40" t="s">
        <v>1454</v>
      </c>
    </row>
    <row r="62" spans="1:2">
      <c r="A62" s="39" t="s">
        <v>1590</v>
      </c>
      <c r="B62" s="40" t="s">
        <v>1455</v>
      </c>
    </row>
    <row r="63" spans="1:2">
      <c r="A63" s="39" t="s">
        <v>1590</v>
      </c>
      <c r="B63" s="40" t="s">
        <v>1456</v>
      </c>
    </row>
    <row r="64" spans="1:2">
      <c r="A64" s="39" t="s">
        <v>1590</v>
      </c>
      <c r="B64" s="40" t="s">
        <v>1457</v>
      </c>
    </row>
    <row r="65" spans="1:2">
      <c r="A65" s="39" t="s">
        <v>1590</v>
      </c>
      <c r="B65" s="40" t="s">
        <v>1458</v>
      </c>
    </row>
    <row r="66" spans="1:2">
      <c r="A66" s="39" t="s">
        <v>1590</v>
      </c>
      <c r="B66" s="40" t="s">
        <v>1459</v>
      </c>
    </row>
    <row r="67" spans="1:2">
      <c r="A67" s="39" t="s">
        <v>1590</v>
      </c>
      <c r="B67" s="40" t="s">
        <v>1461</v>
      </c>
    </row>
    <row r="68" spans="1:2">
      <c r="A68" s="39" t="s">
        <v>1590</v>
      </c>
      <c r="B68" s="40" t="s">
        <v>1463</v>
      </c>
    </row>
    <row r="69" spans="1:2">
      <c r="A69" s="39" t="s">
        <v>1590</v>
      </c>
      <c r="B69" s="40" t="s">
        <v>1464</v>
      </c>
    </row>
    <row r="70" spans="1:2">
      <c r="A70" s="39" t="s">
        <v>1590</v>
      </c>
      <c r="B70" s="40" t="s">
        <v>1465</v>
      </c>
    </row>
    <row r="71" spans="1:2">
      <c r="A71" s="39" t="s">
        <v>1590</v>
      </c>
      <c r="B71" s="40" t="s">
        <v>1466</v>
      </c>
    </row>
    <row r="72" spans="1:2">
      <c r="A72" s="39" t="s">
        <v>1590</v>
      </c>
      <c r="B72" s="40" t="s">
        <v>1467</v>
      </c>
    </row>
    <row r="73" spans="1:2">
      <c r="A73" s="39" t="s">
        <v>1590</v>
      </c>
      <c r="B73" s="40" t="s">
        <v>1468</v>
      </c>
    </row>
    <row r="74" spans="1:2">
      <c r="A74" s="39" t="s">
        <v>1590</v>
      </c>
      <c r="B74" s="40" t="s">
        <v>1469</v>
      </c>
    </row>
    <row r="75" spans="1:2">
      <c r="A75" s="39" t="s">
        <v>1598</v>
      </c>
      <c r="B75" s="40" t="s">
        <v>1470</v>
      </c>
    </row>
    <row r="76" spans="1:2">
      <c r="A76" s="39" t="s">
        <v>1598</v>
      </c>
      <c r="B76" s="40" t="s">
        <v>1471</v>
      </c>
    </row>
    <row r="77" spans="1:2">
      <c r="A77" s="39" t="s">
        <v>1598</v>
      </c>
      <c r="B77" s="40" t="s">
        <v>1472</v>
      </c>
    </row>
    <row r="78" spans="1:2">
      <c r="A78" s="39" t="s">
        <v>1598</v>
      </c>
      <c r="B78" s="40" t="s">
        <v>1473</v>
      </c>
    </row>
    <row r="79" spans="1:2">
      <c r="A79" s="39" t="s">
        <v>1598</v>
      </c>
      <c r="B79" s="40" t="s">
        <v>1474</v>
      </c>
    </row>
    <row r="80" spans="1:2">
      <c r="A80" s="39" t="s">
        <v>1598</v>
      </c>
      <c r="B80" s="40" t="s">
        <v>1475</v>
      </c>
    </row>
    <row r="81" spans="1:2">
      <c r="A81" s="39" t="s">
        <v>1598</v>
      </c>
      <c r="B81" s="40" t="s">
        <v>1476</v>
      </c>
    </row>
    <row r="82" spans="1:2">
      <c r="A82" s="39" t="s">
        <v>1598</v>
      </c>
      <c r="B82" s="40" t="s">
        <v>1477</v>
      </c>
    </row>
    <row r="83" spans="1:2">
      <c r="A83" s="39" t="s">
        <v>1598</v>
      </c>
      <c r="B83" s="40" t="s">
        <v>1445</v>
      </c>
    </row>
    <row r="84" spans="1:2">
      <c r="A84" s="39" t="s">
        <v>1598</v>
      </c>
      <c r="B84" s="40" t="s">
        <v>1447</v>
      </c>
    </row>
    <row r="85" spans="1:2">
      <c r="A85" s="39" t="s">
        <v>1598</v>
      </c>
      <c r="B85" s="40" t="s">
        <v>1448</v>
      </c>
    </row>
    <row r="86" spans="1:2">
      <c r="A86" s="39" t="s">
        <v>1598</v>
      </c>
      <c r="B86" s="40" t="s">
        <v>1449</v>
      </c>
    </row>
    <row r="87" spans="1:2">
      <c r="A87" s="39" t="s">
        <v>998</v>
      </c>
      <c r="B87" s="40" t="s">
        <v>461</v>
      </c>
    </row>
    <row r="88" spans="1:2">
      <c r="A88" s="39" t="s">
        <v>998</v>
      </c>
      <c r="B88" s="40" t="s">
        <v>463</v>
      </c>
    </row>
    <row r="89" spans="1:2">
      <c r="A89" s="39" t="s">
        <v>998</v>
      </c>
      <c r="B89" s="40" t="s">
        <v>466</v>
      </c>
    </row>
    <row r="90" spans="1:2">
      <c r="A90" s="39" t="s">
        <v>998</v>
      </c>
      <c r="B90" s="40" t="s">
        <v>469</v>
      </c>
    </row>
    <row r="91" spans="1:2">
      <c r="A91" s="39" t="s">
        <v>998</v>
      </c>
      <c r="B91" s="40" t="s">
        <v>472</v>
      </c>
    </row>
    <row r="92" spans="1:2">
      <c r="A92" s="39" t="s">
        <v>998</v>
      </c>
      <c r="B92" s="40" t="s">
        <v>475</v>
      </c>
    </row>
    <row r="93" spans="1:2">
      <c r="A93" s="39" t="s">
        <v>998</v>
      </c>
      <c r="B93" s="40" t="s">
        <v>478</v>
      </c>
    </row>
    <row r="94" spans="1:2">
      <c r="A94" s="39" t="s">
        <v>998</v>
      </c>
      <c r="B94" s="40" t="s">
        <v>481</v>
      </c>
    </row>
    <row r="95" spans="1:2">
      <c r="A95" s="39" t="s">
        <v>998</v>
      </c>
      <c r="B95" s="40" t="s">
        <v>528</v>
      </c>
    </row>
    <row r="96" spans="1:2">
      <c r="A96" s="39" t="s">
        <v>998</v>
      </c>
      <c r="B96" s="40" t="s">
        <v>530</v>
      </c>
    </row>
    <row r="97" spans="1:2">
      <c r="A97" s="39" t="s">
        <v>998</v>
      </c>
      <c r="B97" s="40" t="s">
        <v>532</v>
      </c>
    </row>
    <row r="98" spans="1:2">
      <c r="A98" s="39" t="s">
        <v>998</v>
      </c>
      <c r="B98" s="40" t="s">
        <v>535</v>
      </c>
    </row>
    <row r="99" spans="1:2">
      <c r="A99" s="39" t="s">
        <v>998</v>
      </c>
      <c r="B99" s="40" t="s">
        <v>537</v>
      </c>
    </row>
    <row r="100" spans="1:2">
      <c r="A100" s="39" t="s">
        <v>998</v>
      </c>
      <c r="B100" s="40" t="s">
        <v>539</v>
      </c>
    </row>
    <row r="101" spans="1:2">
      <c r="A101" s="39" t="s">
        <v>998</v>
      </c>
      <c r="B101" s="40" t="s">
        <v>591</v>
      </c>
    </row>
    <row r="102" spans="1:2">
      <c r="A102" s="39" t="s">
        <v>998</v>
      </c>
      <c r="B102" s="40" t="s">
        <v>594</v>
      </c>
    </row>
    <row r="103" spans="1:2">
      <c r="A103" s="39" t="s">
        <v>1620</v>
      </c>
      <c r="B103" s="40" t="s">
        <v>1608</v>
      </c>
    </row>
    <row r="104" spans="1:2" ht="16.5" thickBot="1">
      <c r="A104" s="187" t="s">
        <v>2110</v>
      </c>
      <c r="B104" s="188" t="s">
        <v>1607</v>
      </c>
    </row>
  </sheetData>
  <phoneticPr fontId="13" type="noConversion"/>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selection activeCell="B13" sqref="B13"/>
    </sheetView>
  </sheetViews>
  <sheetFormatPr defaultRowHeight="15.75"/>
  <cols>
    <col min="1" max="1" width="26.85546875" bestFit="1" customWidth="1"/>
    <col min="2" max="3" width="16.7109375" bestFit="1" customWidth="1"/>
  </cols>
  <sheetData>
    <row r="1" spans="1:3" ht="16.5" thickBot="1">
      <c r="A1" s="69" t="s">
        <v>683</v>
      </c>
      <c r="B1" s="112" t="s">
        <v>684</v>
      </c>
      <c r="C1" s="70" t="s">
        <v>1133</v>
      </c>
    </row>
    <row r="2" spans="1:3">
      <c r="A2" s="67" t="s">
        <v>1630</v>
      </c>
      <c r="B2" s="113" t="s">
        <v>1639</v>
      </c>
      <c r="C2" s="68" t="s">
        <v>1132</v>
      </c>
    </row>
    <row r="3" spans="1:3">
      <c r="A3" s="39" t="s">
        <v>1631</v>
      </c>
      <c r="B3" s="65" t="s">
        <v>1640</v>
      </c>
      <c r="C3" s="40" t="s">
        <v>1132</v>
      </c>
    </row>
    <row r="4" spans="1:3">
      <c r="A4" s="39" t="s">
        <v>1632</v>
      </c>
      <c r="B4" s="65" t="s">
        <v>1641</v>
      </c>
      <c r="C4" s="40" t="s">
        <v>1132</v>
      </c>
    </row>
    <row r="5" spans="1:3">
      <c r="A5" s="39" t="s">
        <v>1633</v>
      </c>
      <c r="B5" s="65" t="s">
        <v>1642</v>
      </c>
      <c r="C5" s="40" t="s">
        <v>1132</v>
      </c>
    </row>
    <row r="6" spans="1:3">
      <c r="A6" s="39" t="s">
        <v>1634</v>
      </c>
      <c r="B6" s="65" t="s">
        <v>1643</v>
      </c>
      <c r="C6" s="40" t="s">
        <v>1132</v>
      </c>
    </row>
    <row r="7" spans="1:3">
      <c r="A7" s="39" t="s">
        <v>1635</v>
      </c>
      <c r="B7" s="65" t="s">
        <v>1644</v>
      </c>
      <c r="C7" s="40" t="s">
        <v>1132</v>
      </c>
    </row>
    <row r="8" spans="1:3">
      <c r="A8" s="39" t="s">
        <v>1636</v>
      </c>
      <c r="B8" s="65" t="s">
        <v>1645</v>
      </c>
      <c r="C8" s="40" t="s">
        <v>1648</v>
      </c>
    </row>
    <row r="9" spans="1:3">
      <c r="A9" s="39" t="s">
        <v>1637</v>
      </c>
      <c r="B9" s="65" t="s">
        <v>1646</v>
      </c>
      <c r="C9" s="40" t="s">
        <v>1132</v>
      </c>
    </row>
    <row r="10" spans="1:3" ht="16.5" thickBot="1">
      <c r="A10" s="41" t="s">
        <v>1638</v>
      </c>
      <c r="B10" s="66" t="s">
        <v>1647</v>
      </c>
      <c r="C10" s="42" t="s">
        <v>1132</v>
      </c>
    </row>
  </sheetData>
  <phoneticPr fontId="56"/>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B1:H299"/>
  <sheetViews>
    <sheetView zoomScaleNormal="100" workbookViewId="0">
      <pane xSplit="2" ySplit="3" topLeftCell="C283" activePane="bottomRight" state="frozen"/>
      <selection activeCell="H40" sqref="H40"/>
      <selection pane="topRight" activeCell="H40" sqref="H40"/>
      <selection pane="bottomLeft" activeCell="H40" sqref="H40"/>
      <selection pane="bottomRight" activeCell="F291" sqref="F291"/>
    </sheetView>
  </sheetViews>
  <sheetFormatPr defaultColWidth="9.140625" defaultRowHeight="13.5"/>
  <cols>
    <col min="1" max="1" width="3.5703125" style="149" customWidth="1"/>
    <col min="2" max="2" width="27.140625" style="149" bestFit="1" customWidth="1"/>
    <col min="3" max="3" width="16.42578125" style="149" customWidth="1"/>
    <col min="4" max="4" width="15.28515625" style="149" customWidth="1"/>
    <col min="5" max="5" width="17.28515625" style="149" bestFit="1" customWidth="1"/>
    <col min="6" max="6" width="23.5703125" style="149" customWidth="1"/>
    <col min="7" max="7" width="19.140625" style="149" customWidth="1"/>
    <col min="8" max="8" width="25.7109375" style="149" bestFit="1" customWidth="1"/>
    <col min="9" max="9" width="19.85546875" style="149" bestFit="1" customWidth="1"/>
    <col min="10" max="10" width="10.5703125" style="149" bestFit="1" customWidth="1"/>
    <col min="11" max="12" width="18.5703125" style="149" bestFit="1" customWidth="1"/>
    <col min="13" max="13" width="10.140625" style="149" bestFit="1" customWidth="1"/>
    <col min="14" max="14" width="11.42578125" style="149" bestFit="1" customWidth="1"/>
    <col min="15" max="16384" width="9.140625" style="149"/>
  </cols>
  <sheetData>
    <row r="1" spans="2:8" ht="15.6" customHeight="1" thickBot="1"/>
    <row r="2" spans="2:8" ht="15.6" customHeight="1">
      <c r="B2" s="227" t="s">
        <v>1650</v>
      </c>
      <c r="C2" s="217" t="s">
        <v>1651</v>
      </c>
      <c r="D2" s="219" t="s">
        <v>1658</v>
      </c>
      <c r="F2" s="149" t="s">
        <v>1656</v>
      </c>
      <c r="G2" s="221" t="s">
        <v>1657</v>
      </c>
      <c r="H2" s="221" t="s">
        <v>1652</v>
      </c>
    </row>
    <row r="3" spans="2:8" ht="16.5" customHeight="1" thickBot="1">
      <c r="B3" s="228"/>
      <c r="C3" s="218"/>
      <c r="D3" s="220"/>
      <c r="F3" s="150" t="s">
        <v>1679</v>
      </c>
      <c r="G3" s="222"/>
      <c r="H3" s="222"/>
    </row>
    <row r="4" spans="2:8">
      <c r="B4" s="229" t="s">
        <v>1653</v>
      </c>
      <c r="C4" s="151" t="s">
        <v>1664</v>
      </c>
      <c r="D4" s="152" t="s">
        <v>496</v>
      </c>
      <c r="F4" s="149">
        <v>1</v>
      </c>
      <c r="G4" s="153" t="str">
        <f t="shared" ref="G4:G83" si="0">C4</f>
        <v>DBG</v>
      </c>
      <c r="H4" s="152" t="str">
        <f t="shared" ref="H4:H83" si="1">IF(F4=1,C4&amp;"_"&amp;D4,D4)</f>
        <v>DBG_SWDCLK</v>
      </c>
    </row>
    <row r="5" spans="2:8">
      <c r="B5" s="226"/>
      <c r="C5" s="156" t="s">
        <v>1664</v>
      </c>
      <c r="D5" s="154" t="s">
        <v>497</v>
      </c>
      <c r="F5" s="149">
        <v>1</v>
      </c>
      <c r="G5" s="155" t="str">
        <f t="shared" si="0"/>
        <v>DBG</v>
      </c>
      <c r="H5" s="152" t="str">
        <f t="shared" si="1"/>
        <v>DBG_SWDD</v>
      </c>
    </row>
    <row r="6" spans="2:8" ht="17.25" customHeight="1">
      <c r="B6" s="226"/>
      <c r="C6" s="156" t="s">
        <v>1664</v>
      </c>
      <c r="D6" s="154" t="s">
        <v>464</v>
      </c>
      <c r="F6" s="149">
        <v>1</v>
      </c>
      <c r="G6" s="155" t="str">
        <f t="shared" si="0"/>
        <v>DBG</v>
      </c>
      <c r="H6" s="152" t="str">
        <f t="shared" si="1"/>
        <v>DBG_TRCSWO</v>
      </c>
    </row>
    <row r="7" spans="2:8">
      <c r="B7" s="230" t="s">
        <v>1654</v>
      </c>
      <c r="C7" s="156" t="s">
        <v>1665</v>
      </c>
      <c r="D7" s="154" t="s">
        <v>1510</v>
      </c>
      <c r="F7" s="149">
        <v>2</v>
      </c>
      <c r="G7" s="160" t="str">
        <f t="shared" si="0"/>
        <v>OSC</v>
      </c>
      <c r="H7" s="157" t="str">
        <f t="shared" si="1"/>
        <v>OSCI</v>
      </c>
    </row>
    <row r="8" spans="2:8">
      <c r="B8" s="226"/>
      <c r="C8" s="156" t="s">
        <v>1665</v>
      </c>
      <c r="D8" s="154" t="s">
        <v>499</v>
      </c>
      <c r="F8" s="149">
        <v>2</v>
      </c>
      <c r="G8" s="160" t="str">
        <f t="shared" si="0"/>
        <v>OSC</v>
      </c>
      <c r="H8" s="157" t="str">
        <f t="shared" si="1"/>
        <v>OSCO</v>
      </c>
    </row>
    <row r="9" spans="2:8">
      <c r="B9" s="226" t="s">
        <v>1655</v>
      </c>
      <c r="C9" s="156" t="s">
        <v>999</v>
      </c>
      <c r="D9" s="154" t="s">
        <v>467</v>
      </c>
      <c r="F9" s="149">
        <v>2</v>
      </c>
      <c r="G9" s="155" t="str">
        <f t="shared" si="0"/>
        <v>TM00</v>
      </c>
      <c r="H9" s="152" t="str">
        <f t="shared" si="1"/>
        <v>TM00A</v>
      </c>
    </row>
    <row r="10" spans="2:8">
      <c r="B10" s="226"/>
      <c r="C10" s="156" t="s">
        <v>999</v>
      </c>
      <c r="D10" s="154" t="s">
        <v>470</v>
      </c>
      <c r="F10" s="149">
        <v>2</v>
      </c>
      <c r="G10" s="155" t="str">
        <f t="shared" si="0"/>
        <v>TM00</v>
      </c>
      <c r="H10" s="152" t="str">
        <f t="shared" si="1"/>
        <v>TM00B</v>
      </c>
    </row>
    <row r="11" spans="2:8">
      <c r="B11" s="226"/>
      <c r="C11" s="156" t="s">
        <v>1000</v>
      </c>
      <c r="D11" s="154" t="s">
        <v>473</v>
      </c>
      <c r="F11" s="149">
        <v>2</v>
      </c>
      <c r="G11" s="155" t="str">
        <f t="shared" si="0"/>
        <v>TM01</v>
      </c>
      <c r="H11" s="152" t="str">
        <f t="shared" si="1"/>
        <v>TM01A</v>
      </c>
    </row>
    <row r="12" spans="2:8">
      <c r="B12" s="226"/>
      <c r="C12" s="156" t="s">
        <v>1000</v>
      </c>
      <c r="D12" s="154" t="s">
        <v>476</v>
      </c>
      <c r="F12" s="149">
        <v>2</v>
      </c>
      <c r="G12" s="155" t="str">
        <f t="shared" si="0"/>
        <v>TM01</v>
      </c>
      <c r="H12" s="152" t="str">
        <f t="shared" si="1"/>
        <v>TM01B</v>
      </c>
    </row>
    <row r="13" spans="2:8">
      <c r="B13" s="226"/>
      <c r="C13" s="156" t="s">
        <v>1001</v>
      </c>
      <c r="D13" s="154" t="s">
        <v>479</v>
      </c>
      <c r="F13" s="149">
        <v>2</v>
      </c>
      <c r="G13" s="155" t="str">
        <f t="shared" si="0"/>
        <v>TM02</v>
      </c>
      <c r="H13" s="152" t="str">
        <f t="shared" si="1"/>
        <v>TM02A</v>
      </c>
    </row>
    <row r="14" spans="2:8">
      <c r="B14" s="226"/>
      <c r="C14" s="156" t="s">
        <v>1001</v>
      </c>
      <c r="D14" s="154" t="s">
        <v>482</v>
      </c>
      <c r="F14" s="149">
        <v>2</v>
      </c>
      <c r="G14" s="155" t="str">
        <f t="shared" si="0"/>
        <v>TM02</v>
      </c>
      <c r="H14" s="152" t="str">
        <f t="shared" si="1"/>
        <v>TM02B</v>
      </c>
    </row>
    <row r="15" spans="2:8">
      <c r="B15" s="226"/>
      <c r="C15" s="156" t="s">
        <v>1002</v>
      </c>
      <c r="D15" s="154" t="s">
        <v>485</v>
      </c>
      <c r="F15" s="149">
        <v>2</v>
      </c>
      <c r="G15" s="155" t="str">
        <f t="shared" si="0"/>
        <v>TM03</v>
      </c>
      <c r="H15" s="152" t="str">
        <f t="shared" si="1"/>
        <v>TM03A</v>
      </c>
    </row>
    <row r="16" spans="2:8">
      <c r="B16" s="226"/>
      <c r="C16" s="156" t="s">
        <v>1002</v>
      </c>
      <c r="D16" s="154" t="s">
        <v>487</v>
      </c>
      <c r="F16" s="149">
        <v>2</v>
      </c>
      <c r="G16" s="155" t="str">
        <f t="shared" si="0"/>
        <v>TM03</v>
      </c>
      <c r="H16" s="152" t="str">
        <f t="shared" si="1"/>
        <v>TM03B</v>
      </c>
    </row>
    <row r="17" spans="2:8">
      <c r="B17" s="226"/>
      <c r="C17" s="156" t="s">
        <v>1003</v>
      </c>
      <c r="D17" s="154" t="s">
        <v>489</v>
      </c>
      <c r="F17" s="149">
        <v>2</v>
      </c>
      <c r="G17" s="155" t="str">
        <f t="shared" si="0"/>
        <v>TM04</v>
      </c>
      <c r="H17" s="152" t="str">
        <f t="shared" si="1"/>
        <v>TM04A</v>
      </c>
    </row>
    <row r="18" spans="2:8">
      <c r="B18" s="226"/>
      <c r="C18" s="156" t="s">
        <v>1003</v>
      </c>
      <c r="D18" s="154" t="s">
        <v>491</v>
      </c>
      <c r="F18" s="149">
        <v>2</v>
      </c>
      <c r="G18" s="155" t="str">
        <f t="shared" si="0"/>
        <v>TM04</v>
      </c>
      <c r="H18" s="152" t="str">
        <f t="shared" si="1"/>
        <v>TM04B</v>
      </c>
    </row>
    <row r="19" spans="2:8">
      <c r="B19" s="226"/>
      <c r="C19" s="156" t="s">
        <v>1004</v>
      </c>
      <c r="D19" s="154" t="s">
        <v>493</v>
      </c>
      <c r="F19" s="149">
        <v>2</v>
      </c>
      <c r="G19" s="155" t="str">
        <f t="shared" si="0"/>
        <v>TM05</v>
      </c>
      <c r="H19" s="152" t="str">
        <f t="shared" si="1"/>
        <v>TM05A</v>
      </c>
    </row>
    <row r="20" spans="2:8">
      <c r="B20" s="226"/>
      <c r="C20" s="156" t="s">
        <v>1004</v>
      </c>
      <c r="D20" s="154" t="s">
        <v>495</v>
      </c>
      <c r="F20" s="149">
        <v>2</v>
      </c>
      <c r="G20" s="155" t="str">
        <f t="shared" si="0"/>
        <v>TM05</v>
      </c>
      <c r="H20" s="152" t="str">
        <f t="shared" si="1"/>
        <v>TM05B</v>
      </c>
    </row>
    <row r="21" spans="2:8">
      <c r="B21" s="226"/>
      <c r="C21" s="156" t="s">
        <v>1005</v>
      </c>
      <c r="D21" s="154" t="s">
        <v>518</v>
      </c>
      <c r="F21" s="149">
        <v>2</v>
      </c>
      <c r="G21" s="155" t="str">
        <f t="shared" si="0"/>
        <v>TM06</v>
      </c>
      <c r="H21" s="152" t="str">
        <f t="shared" si="1"/>
        <v>TM06A</v>
      </c>
    </row>
    <row r="22" spans="2:8">
      <c r="B22" s="226"/>
      <c r="C22" s="156" t="s">
        <v>1005</v>
      </c>
      <c r="D22" s="154" t="s">
        <v>520</v>
      </c>
      <c r="F22" s="149">
        <v>2</v>
      </c>
      <c r="G22" s="155" t="str">
        <f t="shared" si="0"/>
        <v>TM06</v>
      </c>
      <c r="H22" s="152" t="str">
        <f t="shared" si="1"/>
        <v>TM06B</v>
      </c>
    </row>
    <row r="23" spans="2:8">
      <c r="B23" s="226"/>
      <c r="C23" s="156" t="s">
        <v>1006</v>
      </c>
      <c r="D23" s="154" t="s">
        <v>533</v>
      </c>
      <c r="F23" s="149">
        <v>2</v>
      </c>
      <c r="G23" s="155" t="str">
        <f t="shared" si="0"/>
        <v>TM07</v>
      </c>
      <c r="H23" s="152" t="str">
        <f t="shared" si="1"/>
        <v>TM07A</v>
      </c>
    </row>
    <row r="24" spans="2:8">
      <c r="B24" s="226"/>
      <c r="C24" s="156" t="s">
        <v>1006</v>
      </c>
      <c r="D24" s="154" t="s">
        <v>536</v>
      </c>
      <c r="F24" s="149">
        <v>2</v>
      </c>
      <c r="G24" s="155" t="str">
        <f t="shared" si="0"/>
        <v>TM07</v>
      </c>
      <c r="H24" s="152" t="str">
        <f t="shared" si="1"/>
        <v>TM07B</v>
      </c>
    </row>
    <row r="25" spans="2:8">
      <c r="B25" s="226"/>
      <c r="C25" s="156" t="s">
        <v>1007</v>
      </c>
      <c r="D25" s="154" t="s">
        <v>538</v>
      </c>
      <c r="F25" s="149">
        <v>2</v>
      </c>
      <c r="G25" s="155" t="str">
        <f t="shared" si="0"/>
        <v>TM08</v>
      </c>
      <c r="H25" s="152" t="str">
        <f t="shared" si="1"/>
        <v>TM08A</v>
      </c>
    </row>
    <row r="26" spans="2:8">
      <c r="B26" s="226"/>
      <c r="C26" s="156" t="s">
        <v>1007</v>
      </c>
      <c r="D26" s="154" t="s">
        <v>540</v>
      </c>
      <c r="F26" s="149">
        <v>2</v>
      </c>
      <c r="G26" s="155" t="str">
        <f t="shared" si="0"/>
        <v>TM08</v>
      </c>
      <c r="H26" s="152" t="str">
        <f t="shared" si="1"/>
        <v>TM08B</v>
      </c>
    </row>
    <row r="27" spans="2:8">
      <c r="B27" s="226"/>
      <c r="C27" s="156" t="s">
        <v>1008</v>
      </c>
      <c r="D27" s="154" t="s">
        <v>542</v>
      </c>
      <c r="F27" s="149">
        <v>2</v>
      </c>
      <c r="G27" s="155" t="str">
        <f t="shared" si="0"/>
        <v>TM09</v>
      </c>
      <c r="H27" s="152" t="str">
        <f t="shared" si="1"/>
        <v>TM09A</v>
      </c>
    </row>
    <row r="28" spans="2:8">
      <c r="B28" s="226"/>
      <c r="C28" s="156" t="s">
        <v>1008</v>
      </c>
      <c r="D28" s="154" t="s">
        <v>544</v>
      </c>
      <c r="F28" s="149">
        <v>2</v>
      </c>
      <c r="G28" s="155" t="str">
        <f t="shared" si="0"/>
        <v>TM09</v>
      </c>
      <c r="H28" s="152" t="str">
        <f t="shared" si="1"/>
        <v>TM09B</v>
      </c>
    </row>
    <row r="29" spans="2:8">
      <c r="B29" s="226"/>
      <c r="C29" s="156" t="s">
        <v>1009</v>
      </c>
      <c r="D29" s="154" t="s">
        <v>546</v>
      </c>
      <c r="F29" s="149">
        <v>2</v>
      </c>
      <c r="G29" s="155" t="str">
        <f t="shared" si="0"/>
        <v>TM10</v>
      </c>
      <c r="H29" s="152" t="str">
        <f t="shared" si="1"/>
        <v>TM10A</v>
      </c>
    </row>
    <row r="30" spans="2:8">
      <c r="B30" s="226"/>
      <c r="C30" s="156" t="s">
        <v>1009</v>
      </c>
      <c r="D30" s="154" t="s">
        <v>548</v>
      </c>
      <c r="F30" s="149">
        <v>2</v>
      </c>
      <c r="G30" s="155" t="str">
        <f t="shared" si="0"/>
        <v>TM10</v>
      </c>
      <c r="H30" s="152" t="str">
        <f t="shared" si="1"/>
        <v>TM10B</v>
      </c>
    </row>
    <row r="31" spans="2:8">
      <c r="B31" s="226"/>
      <c r="C31" s="156" t="s">
        <v>1010</v>
      </c>
      <c r="D31" s="154" t="s">
        <v>582</v>
      </c>
      <c r="F31" s="149">
        <v>2</v>
      </c>
      <c r="G31" s="155" t="str">
        <f t="shared" si="0"/>
        <v>TM11</v>
      </c>
      <c r="H31" s="152" t="str">
        <f t="shared" si="1"/>
        <v>TM11A</v>
      </c>
    </row>
    <row r="32" spans="2:8">
      <c r="B32" s="226"/>
      <c r="C32" s="156" t="s">
        <v>1010</v>
      </c>
      <c r="D32" s="154" t="s">
        <v>584</v>
      </c>
      <c r="F32" s="149">
        <v>2</v>
      </c>
      <c r="G32" s="155" t="str">
        <f t="shared" si="0"/>
        <v>TM11</v>
      </c>
      <c r="H32" s="152" t="str">
        <f t="shared" si="1"/>
        <v>TM11B</v>
      </c>
    </row>
    <row r="33" spans="2:8">
      <c r="B33" s="226"/>
      <c r="C33" s="156" t="s">
        <v>1011</v>
      </c>
      <c r="D33" s="154" t="s">
        <v>592</v>
      </c>
      <c r="F33" s="149">
        <v>2</v>
      </c>
      <c r="G33" s="158" t="str">
        <f t="shared" si="0"/>
        <v>TM12</v>
      </c>
      <c r="H33" s="152" t="str">
        <f t="shared" si="1"/>
        <v>TM12A</v>
      </c>
    </row>
    <row r="34" spans="2:8">
      <c r="B34" s="226"/>
      <c r="C34" s="156" t="s">
        <v>1011</v>
      </c>
      <c r="D34" s="154" t="s">
        <v>595</v>
      </c>
      <c r="F34" s="149">
        <v>2</v>
      </c>
      <c r="G34" s="158" t="str">
        <f t="shared" si="0"/>
        <v>TM12</v>
      </c>
      <c r="H34" s="152" t="str">
        <f t="shared" si="1"/>
        <v>TM12B</v>
      </c>
    </row>
    <row r="35" spans="2:8">
      <c r="B35" s="226"/>
      <c r="C35" s="156" t="s">
        <v>1012</v>
      </c>
      <c r="D35" s="154" t="s">
        <v>602</v>
      </c>
      <c r="F35" s="149">
        <v>2</v>
      </c>
      <c r="G35" s="158" t="str">
        <f t="shared" si="0"/>
        <v>TM13</v>
      </c>
      <c r="H35" s="152" t="str">
        <f t="shared" si="1"/>
        <v>TM13A</v>
      </c>
    </row>
    <row r="36" spans="2:8">
      <c r="B36" s="226"/>
      <c r="C36" s="156" t="s">
        <v>1012</v>
      </c>
      <c r="D36" s="154" t="s">
        <v>604</v>
      </c>
      <c r="F36" s="149">
        <v>2</v>
      </c>
      <c r="G36" s="158" t="str">
        <f t="shared" si="0"/>
        <v>TM13</v>
      </c>
      <c r="H36" s="152" t="str">
        <f t="shared" si="1"/>
        <v>TM13B</v>
      </c>
    </row>
    <row r="37" spans="2:8">
      <c r="B37" s="223" t="s">
        <v>1659</v>
      </c>
      <c r="C37" s="156" t="s">
        <v>741</v>
      </c>
      <c r="D37" s="154" t="s">
        <v>1478</v>
      </c>
      <c r="F37" s="149">
        <v>1</v>
      </c>
      <c r="G37" s="158" t="str">
        <f t="shared" si="0"/>
        <v>GPWM0</v>
      </c>
      <c r="H37" s="152" t="str">
        <f t="shared" si="1"/>
        <v>GPWM0_GPWM00</v>
      </c>
    </row>
    <row r="38" spans="2:8">
      <c r="B38" s="224"/>
      <c r="C38" s="156" t="s">
        <v>741</v>
      </c>
      <c r="D38" s="154" t="s">
        <v>1479</v>
      </c>
      <c r="F38" s="149">
        <v>1</v>
      </c>
      <c r="G38" s="158" t="str">
        <f t="shared" ref="G38:G68" si="2">C38</f>
        <v>GPWM0</v>
      </c>
      <c r="H38" s="152" t="str">
        <f t="shared" ref="H38:H68" si="3">IF(F38=1,C38&amp;"_"&amp;D38,D38)</f>
        <v>GPWM0_GPWMH00</v>
      </c>
    </row>
    <row r="39" spans="2:8">
      <c r="B39" s="224"/>
      <c r="C39" s="156" t="s">
        <v>741</v>
      </c>
      <c r="D39" s="154" t="s">
        <v>508</v>
      </c>
      <c r="F39" s="149">
        <v>1</v>
      </c>
      <c r="G39" s="158" t="str">
        <f t="shared" si="2"/>
        <v>GPWM0</v>
      </c>
      <c r="H39" s="152" t="str">
        <f t="shared" si="3"/>
        <v>GPWM0_GPWM01</v>
      </c>
    </row>
    <row r="40" spans="2:8">
      <c r="B40" s="224"/>
      <c r="C40" s="156" t="s">
        <v>741</v>
      </c>
      <c r="D40" s="154" t="s">
        <v>1480</v>
      </c>
      <c r="F40" s="149">
        <v>1</v>
      </c>
      <c r="G40" s="158" t="str">
        <f t="shared" si="2"/>
        <v>GPWM0</v>
      </c>
      <c r="H40" s="152" t="str">
        <f t="shared" si="3"/>
        <v>GPWM0_GPWMH01</v>
      </c>
    </row>
    <row r="41" spans="2:8">
      <c r="B41" s="224"/>
      <c r="C41" s="156" t="s">
        <v>742</v>
      </c>
      <c r="D41" s="154" t="s">
        <v>510</v>
      </c>
      <c r="F41" s="149">
        <v>1</v>
      </c>
      <c r="G41" s="158" t="str">
        <f t="shared" si="2"/>
        <v>GPWM1</v>
      </c>
      <c r="H41" s="152" t="str">
        <f t="shared" si="3"/>
        <v>GPWM1_GPWM10</v>
      </c>
    </row>
    <row r="42" spans="2:8">
      <c r="B42" s="224"/>
      <c r="C42" s="156" t="s">
        <v>742</v>
      </c>
      <c r="D42" s="154" t="s">
        <v>1481</v>
      </c>
      <c r="F42" s="149">
        <v>1</v>
      </c>
      <c r="G42" s="158" t="str">
        <f t="shared" si="2"/>
        <v>GPWM1</v>
      </c>
      <c r="H42" s="152" t="str">
        <f t="shared" si="3"/>
        <v>GPWM1_GPWMH10</v>
      </c>
    </row>
    <row r="43" spans="2:8">
      <c r="B43" s="224"/>
      <c r="C43" s="156" t="s">
        <v>742</v>
      </c>
      <c r="D43" s="154" t="s">
        <v>512</v>
      </c>
      <c r="F43" s="149">
        <v>1</v>
      </c>
      <c r="G43" s="158" t="str">
        <f t="shared" si="2"/>
        <v>GPWM1</v>
      </c>
      <c r="H43" s="152" t="str">
        <f t="shared" si="3"/>
        <v>GPWM1_GPWM11</v>
      </c>
    </row>
    <row r="44" spans="2:8">
      <c r="B44" s="224"/>
      <c r="C44" s="156" t="s">
        <v>742</v>
      </c>
      <c r="D44" s="154" t="s">
        <v>1482</v>
      </c>
      <c r="F44" s="149">
        <v>1</v>
      </c>
      <c r="G44" s="158" t="str">
        <f t="shared" si="2"/>
        <v>GPWM1</v>
      </c>
      <c r="H44" s="152" t="str">
        <f t="shared" si="3"/>
        <v>GPWM1_GPWMH11</v>
      </c>
    </row>
    <row r="45" spans="2:8">
      <c r="B45" s="224"/>
      <c r="C45" s="156" t="s">
        <v>743</v>
      </c>
      <c r="D45" s="154" t="s">
        <v>514</v>
      </c>
      <c r="F45" s="149">
        <v>1</v>
      </c>
      <c r="G45" s="158" t="str">
        <f t="shared" si="2"/>
        <v>GPWM2</v>
      </c>
      <c r="H45" s="152" t="str">
        <f t="shared" si="3"/>
        <v>GPWM2_GPWM20</v>
      </c>
    </row>
    <row r="46" spans="2:8">
      <c r="B46" s="224"/>
      <c r="C46" s="156" t="s">
        <v>743</v>
      </c>
      <c r="D46" s="154" t="s">
        <v>1483</v>
      </c>
      <c r="F46" s="149">
        <v>1</v>
      </c>
      <c r="G46" s="158" t="str">
        <f t="shared" si="2"/>
        <v>GPWM2</v>
      </c>
      <c r="H46" s="152" t="str">
        <f t="shared" si="3"/>
        <v>GPWM2_GPWMH20</v>
      </c>
    </row>
    <row r="47" spans="2:8">
      <c r="B47" s="224"/>
      <c r="C47" s="156" t="s">
        <v>743</v>
      </c>
      <c r="D47" s="154" t="s">
        <v>516</v>
      </c>
      <c r="F47" s="149">
        <v>1</v>
      </c>
      <c r="G47" s="158" t="str">
        <f t="shared" si="2"/>
        <v>GPWM2</v>
      </c>
      <c r="H47" s="152" t="str">
        <f t="shared" si="3"/>
        <v>GPWM2_GPWM21</v>
      </c>
    </row>
    <row r="48" spans="2:8">
      <c r="B48" s="224"/>
      <c r="C48" s="156" t="s">
        <v>743</v>
      </c>
      <c r="D48" s="154" t="s">
        <v>1484</v>
      </c>
      <c r="F48" s="149">
        <v>1</v>
      </c>
      <c r="G48" s="158" t="str">
        <f t="shared" si="2"/>
        <v>GPWM2</v>
      </c>
      <c r="H48" s="152" t="str">
        <f t="shared" si="3"/>
        <v>GPWM2_GPWMH21</v>
      </c>
    </row>
    <row r="49" spans="2:8">
      <c r="B49" s="224"/>
      <c r="C49" s="156" t="s">
        <v>744</v>
      </c>
      <c r="D49" s="154" t="s">
        <v>521</v>
      </c>
      <c r="F49" s="149">
        <v>1</v>
      </c>
      <c r="G49" s="158" t="str">
        <f t="shared" si="2"/>
        <v>GPWM3</v>
      </c>
      <c r="H49" s="152" t="str">
        <f t="shared" si="3"/>
        <v>GPWM3_GPWM30</v>
      </c>
    </row>
    <row r="50" spans="2:8">
      <c r="B50" s="224"/>
      <c r="C50" s="156" t="s">
        <v>744</v>
      </c>
      <c r="D50" s="154" t="s">
        <v>1438</v>
      </c>
      <c r="F50" s="149">
        <v>1</v>
      </c>
      <c r="G50" s="158" t="str">
        <f t="shared" si="2"/>
        <v>GPWM3</v>
      </c>
      <c r="H50" s="152" t="str">
        <f t="shared" si="3"/>
        <v>GPWM3_GPWMH30</v>
      </c>
    </row>
    <row r="51" spans="2:8">
      <c r="B51" s="224"/>
      <c r="C51" s="156" t="s">
        <v>744</v>
      </c>
      <c r="D51" s="154" t="s">
        <v>522</v>
      </c>
      <c r="F51" s="149">
        <v>1</v>
      </c>
      <c r="G51" s="158" t="str">
        <f t="shared" si="2"/>
        <v>GPWM3</v>
      </c>
      <c r="H51" s="152" t="str">
        <f t="shared" si="3"/>
        <v>GPWM3_GPWM31</v>
      </c>
    </row>
    <row r="52" spans="2:8">
      <c r="B52" s="224"/>
      <c r="C52" s="156" t="s">
        <v>744</v>
      </c>
      <c r="D52" s="154" t="s">
        <v>1439</v>
      </c>
      <c r="F52" s="149">
        <v>1</v>
      </c>
      <c r="G52" s="158" t="str">
        <f t="shared" si="2"/>
        <v>GPWM3</v>
      </c>
      <c r="H52" s="152" t="str">
        <f t="shared" si="3"/>
        <v>GPWM3_GPWMH31</v>
      </c>
    </row>
    <row r="53" spans="2:8">
      <c r="B53" s="224"/>
      <c r="C53" s="156" t="s">
        <v>745</v>
      </c>
      <c r="D53" s="154" t="s">
        <v>523</v>
      </c>
      <c r="F53" s="149">
        <v>1</v>
      </c>
      <c r="G53" s="158" t="str">
        <f t="shared" si="2"/>
        <v>GPWM4</v>
      </c>
      <c r="H53" s="152" t="str">
        <f t="shared" si="3"/>
        <v>GPWM4_GPWM40</v>
      </c>
    </row>
    <row r="54" spans="2:8">
      <c r="B54" s="224"/>
      <c r="C54" s="156" t="s">
        <v>745</v>
      </c>
      <c r="D54" s="154" t="s">
        <v>1440</v>
      </c>
      <c r="F54" s="149">
        <v>1</v>
      </c>
      <c r="G54" s="158" t="str">
        <f t="shared" si="2"/>
        <v>GPWM4</v>
      </c>
      <c r="H54" s="152" t="str">
        <f t="shared" si="3"/>
        <v>GPWM4_GPWMH40</v>
      </c>
    </row>
    <row r="55" spans="2:8">
      <c r="B55" s="224"/>
      <c r="C55" s="156" t="s">
        <v>745</v>
      </c>
      <c r="D55" s="154" t="s">
        <v>524</v>
      </c>
      <c r="F55" s="149">
        <v>1</v>
      </c>
      <c r="G55" s="158" t="str">
        <f t="shared" si="2"/>
        <v>GPWM4</v>
      </c>
      <c r="H55" s="152" t="str">
        <f t="shared" si="3"/>
        <v>GPWM4_GPWM41</v>
      </c>
    </row>
    <row r="56" spans="2:8">
      <c r="B56" s="224"/>
      <c r="C56" s="156" t="s">
        <v>745</v>
      </c>
      <c r="D56" s="154" t="s">
        <v>1441</v>
      </c>
      <c r="F56" s="149">
        <v>1</v>
      </c>
      <c r="G56" s="158" t="str">
        <f t="shared" si="2"/>
        <v>GPWM4</v>
      </c>
      <c r="H56" s="152" t="str">
        <f t="shared" si="3"/>
        <v>GPWM4_GPWMH41</v>
      </c>
    </row>
    <row r="57" spans="2:8">
      <c r="B57" s="224"/>
      <c r="C57" s="156" t="s">
        <v>746</v>
      </c>
      <c r="D57" s="154" t="s">
        <v>525</v>
      </c>
      <c r="F57" s="149">
        <v>1</v>
      </c>
      <c r="G57" s="158" t="str">
        <f t="shared" si="2"/>
        <v>GPWM5</v>
      </c>
      <c r="H57" s="152" t="str">
        <f t="shared" si="3"/>
        <v>GPWM5_GPWM50</v>
      </c>
    </row>
    <row r="58" spans="2:8">
      <c r="B58" s="224"/>
      <c r="C58" s="156" t="s">
        <v>746</v>
      </c>
      <c r="D58" s="154" t="s">
        <v>1442</v>
      </c>
      <c r="F58" s="149">
        <v>1</v>
      </c>
      <c r="G58" s="158" t="str">
        <f t="shared" si="2"/>
        <v>GPWM5</v>
      </c>
      <c r="H58" s="152" t="str">
        <f t="shared" si="3"/>
        <v>GPWM5_GPWMH50</v>
      </c>
    </row>
    <row r="59" spans="2:8">
      <c r="B59" s="224"/>
      <c r="C59" s="156" t="s">
        <v>746</v>
      </c>
      <c r="D59" s="154" t="s">
        <v>526</v>
      </c>
      <c r="F59" s="149">
        <v>1</v>
      </c>
      <c r="G59" s="158" t="str">
        <f t="shared" si="2"/>
        <v>GPWM5</v>
      </c>
      <c r="H59" s="152" t="str">
        <f t="shared" si="3"/>
        <v>GPWM5_GPWM51</v>
      </c>
    </row>
    <row r="60" spans="2:8">
      <c r="B60" s="224"/>
      <c r="C60" s="156" t="s">
        <v>746</v>
      </c>
      <c r="D60" s="154" t="s">
        <v>1443</v>
      </c>
      <c r="F60" s="149">
        <v>1</v>
      </c>
      <c r="G60" s="158" t="str">
        <f t="shared" si="2"/>
        <v>GPWM5</v>
      </c>
      <c r="H60" s="152" t="str">
        <f t="shared" si="3"/>
        <v>GPWM5_GPWMH51</v>
      </c>
    </row>
    <row r="61" spans="2:8">
      <c r="B61" s="224"/>
      <c r="C61" s="156" t="s">
        <v>747</v>
      </c>
      <c r="D61" s="154" t="s">
        <v>500</v>
      </c>
      <c r="F61" s="149">
        <v>1</v>
      </c>
      <c r="G61" s="158" t="str">
        <f t="shared" si="2"/>
        <v>GPWM6</v>
      </c>
      <c r="H61" s="152" t="str">
        <f t="shared" si="3"/>
        <v>GPWM6_GPWM60</v>
      </c>
    </row>
    <row r="62" spans="2:8">
      <c r="B62" s="224"/>
      <c r="C62" s="156" t="s">
        <v>747</v>
      </c>
      <c r="D62" s="154" t="s">
        <v>1436</v>
      </c>
      <c r="F62" s="149">
        <v>1</v>
      </c>
      <c r="G62" s="158" t="str">
        <f t="shared" si="2"/>
        <v>GPWM6</v>
      </c>
      <c r="H62" s="152" t="str">
        <f t="shared" si="3"/>
        <v>GPWM6_GPWMH60</v>
      </c>
    </row>
    <row r="63" spans="2:8">
      <c r="B63" s="224"/>
      <c r="C63" s="156" t="s">
        <v>747</v>
      </c>
      <c r="D63" s="154" t="s">
        <v>501</v>
      </c>
      <c r="F63" s="149">
        <v>1</v>
      </c>
      <c r="G63" s="158" t="str">
        <f t="shared" si="2"/>
        <v>GPWM6</v>
      </c>
      <c r="H63" s="152" t="str">
        <f t="shared" si="3"/>
        <v>GPWM6_GPWM61</v>
      </c>
    </row>
    <row r="64" spans="2:8">
      <c r="B64" s="224"/>
      <c r="C64" s="156" t="s">
        <v>747</v>
      </c>
      <c r="D64" s="154" t="s">
        <v>1437</v>
      </c>
      <c r="F64" s="149">
        <v>1</v>
      </c>
      <c r="G64" s="158" t="str">
        <f t="shared" si="2"/>
        <v>GPWM6</v>
      </c>
      <c r="H64" s="152" t="str">
        <f t="shared" si="3"/>
        <v>GPWM6_GPWMH61</v>
      </c>
    </row>
    <row r="65" spans="2:8">
      <c r="B65" s="224"/>
      <c r="C65" s="156" t="s">
        <v>714</v>
      </c>
      <c r="D65" s="154" t="s">
        <v>502</v>
      </c>
      <c r="F65" s="149">
        <v>1</v>
      </c>
      <c r="G65" s="158" t="str">
        <f t="shared" si="2"/>
        <v>GPWM7</v>
      </c>
      <c r="H65" s="152" t="str">
        <f t="shared" si="3"/>
        <v>GPWM7_GPWM70</v>
      </c>
    </row>
    <row r="66" spans="2:8">
      <c r="B66" s="224"/>
      <c r="C66" s="156" t="s">
        <v>714</v>
      </c>
      <c r="D66" s="154" t="s">
        <v>1485</v>
      </c>
      <c r="F66" s="149">
        <v>1</v>
      </c>
      <c r="G66" s="158" t="str">
        <f t="shared" si="2"/>
        <v>GPWM7</v>
      </c>
      <c r="H66" s="152" t="str">
        <f t="shared" si="3"/>
        <v>GPWM7_GPWMH70</v>
      </c>
    </row>
    <row r="67" spans="2:8">
      <c r="B67" s="224"/>
      <c r="C67" s="156" t="s">
        <v>714</v>
      </c>
      <c r="D67" s="154" t="s">
        <v>503</v>
      </c>
      <c r="F67" s="149">
        <v>1</v>
      </c>
      <c r="G67" s="158" t="str">
        <f t="shared" si="2"/>
        <v>GPWM7</v>
      </c>
      <c r="H67" s="152" t="str">
        <f t="shared" si="3"/>
        <v>GPWM7_GPWM71</v>
      </c>
    </row>
    <row r="68" spans="2:8">
      <c r="B68" s="225"/>
      <c r="C68" s="156" t="s">
        <v>714</v>
      </c>
      <c r="D68" s="154" t="s">
        <v>1486</v>
      </c>
      <c r="F68" s="149">
        <v>1</v>
      </c>
      <c r="G68" s="158" t="str">
        <f t="shared" si="2"/>
        <v>GPWM7</v>
      </c>
      <c r="H68" s="152" t="str">
        <f t="shared" si="3"/>
        <v>GPWM7_GPWMH71</v>
      </c>
    </row>
    <row r="69" spans="2:8">
      <c r="B69" s="226" t="s">
        <v>1649</v>
      </c>
      <c r="C69" s="156" t="s">
        <v>755</v>
      </c>
      <c r="D69" s="154" t="s">
        <v>1462</v>
      </c>
      <c r="F69" s="149">
        <v>1</v>
      </c>
      <c r="G69" s="158" t="str">
        <f t="shared" si="0"/>
        <v>SMBUS</v>
      </c>
      <c r="H69" s="152" t="str">
        <f t="shared" si="1"/>
        <v>SMBUS_SMCL</v>
      </c>
    </row>
    <row r="70" spans="2:8">
      <c r="B70" s="226"/>
      <c r="C70" s="156" t="s">
        <v>755</v>
      </c>
      <c r="D70" s="154" t="s">
        <v>1460</v>
      </c>
      <c r="F70" s="149">
        <v>1</v>
      </c>
      <c r="G70" s="158" t="str">
        <f t="shared" si="0"/>
        <v>SMBUS</v>
      </c>
      <c r="H70" s="152" t="str">
        <f t="shared" si="1"/>
        <v>SMBUS_SMDA</v>
      </c>
    </row>
    <row r="71" spans="2:8">
      <c r="B71" s="226" t="s">
        <v>1660</v>
      </c>
      <c r="C71" s="156" t="s">
        <v>1680</v>
      </c>
      <c r="D71" s="154" t="s">
        <v>723</v>
      </c>
      <c r="F71" s="149">
        <v>2</v>
      </c>
      <c r="G71" s="158" t="str">
        <f t="shared" si="0"/>
        <v>AD</v>
      </c>
      <c r="H71" s="152" t="str">
        <f t="shared" si="1"/>
        <v>ADIN00</v>
      </c>
    </row>
    <row r="72" spans="2:8">
      <c r="B72" s="226"/>
      <c r="C72" s="156" t="s">
        <v>1680</v>
      </c>
      <c r="D72" s="154" t="s">
        <v>724</v>
      </c>
      <c r="F72" s="149">
        <v>2</v>
      </c>
      <c r="G72" s="158" t="str">
        <f t="shared" si="0"/>
        <v>AD</v>
      </c>
      <c r="H72" s="152" t="str">
        <f t="shared" si="1"/>
        <v>ADIN01</v>
      </c>
    </row>
    <row r="73" spans="2:8">
      <c r="B73" s="226"/>
      <c r="C73" s="156" t="s">
        <v>1680</v>
      </c>
      <c r="D73" s="154" t="s">
        <v>725</v>
      </c>
      <c r="F73" s="149">
        <v>2</v>
      </c>
      <c r="G73" s="158" t="str">
        <f t="shared" si="0"/>
        <v>AD</v>
      </c>
      <c r="H73" s="152" t="str">
        <f t="shared" si="1"/>
        <v>ADIN02</v>
      </c>
    </row>
    <row r="74" spans="2:8">
      <c r="B74" s="226"/>
      <c r="C74" s="156" t="s">
        <v>1680</v>
      </c>
      <c r="D74" s="154" t="s">
        <v>726</v>
      </c>
      <c r="F74" s="149">
        <v>2</v>
      </c>
      <c r="G74" s="158" t="str">
        <f t="shared" si="0"/>
        <v>AD</v>
      </c>
      <c r="H74" s="152" t="str">
        <f t="shared" si="1"/>
        <v>ADIN03</v>
      </c>
    </row>
    <row r="75" spans="2:8">
      <c r="B75" s="226"/>
      <c r="C75" s="156" t="s">
        <v>1680</v>
      </c>
      <c r="D75" s="154" t="s">
        <v>564</v>
      </c>
      <c r="F75" s="149">
        <v>2</v>
      </c>
      <c r="G75" s="158" t="str">
        <f t="shared" si="0"/>
        <v>AD</v>
      </c>
      <c r="H75" s="152" t="str">
        <f t="shared" si="1"/>
        <v>ADIN04</v>
      </c>
    </row>
    <row r="76" spans="2:8">
      <c r="B76" s="226"/>
      <c r="C76" s="156" t="s">
        <v>1680</v>
      </c>
      <c r="D76" s="154" t="s">
        <v>565</v>
      </c>
      <c r="F76" s="149">
        <v>2</v>
      </c>
      <c r="G76" s="158" t="str">
        <f t="shared" si="0"/>
        <v>AD</v>
      </c>
      <c r="H76" s="152" t="str">
        <f t="shared" si="1"/>
        <v>ADIN05</v>
      </c>
    </row>
    <row r="77" spans="2:8">
      <c r="B77" s="226"/>
      <c r="C77" s="156" t="s">
        <v>1680</v>
      </c>
      <c r="D77" s="154" t="s">
        <v>566</v>
      </c>
      <c r="F77" s="149">
        <v>2</v>
      </c>
      <c r="G77" s="158" t="str">
        <f t="shared" si="0"/>
        <v>AD</v>
      </c>
      <c r="H77" s="152" t="str">
        <f t="shared" si="1"/>
        <v>ADIN06</v>
      </c>
    </row>
    <row r="78" spans="2:8">
      <c r="B78" s="226"/>
      <c r="C78" s="156" t="s">
        <v>1680</v>
      </c>
      <c r="D78" s="154" t="s">
        <v>567</v>
      </c>
      <c r="F78" s="149">
        <v>2</v>
      </c>
      <c r="G78" s="158" t="str">
        <f t="shared" si="0"/>
        <v>AD</v>
      </c>
      <c r="H78" s="152" t="str">
        <f t="shared" si="1"/>
        <v>ADIN07</v>
      </c>
    </row>
    <row r="79" spans="2:8">
      <c r="B79" s="226"/>
      <c r="C79" s="156" t="s">
        <v>1680</v>
      </c>
      <c r="D79" s="154" t="s">
        <v>721</v>
      </c>
      <c r="F79" s="149">
        <v>2</v>
      </c>
      <c r="G79" s="158" t="str">
        <f t="shared" si="0"/>
        <v>AD</v>
      </c>
      <c r="H79" s="152" t="str">
        <f t="shared" si="1"/>
        <v>ADIN08</v>
      </c>
    </row>
    <row r="80" spans="2:8">
      <c r="B80" s="226"/>
      <c r="C80" s="156" t="s">
        <v>1680</v>
      </c>
      <c r="D80" s="154" t="s">
        <v>722</v>
      </c>
      <c r="F80" s="149">
        <v>2</v>
      </c>
      <c r="G80" s="158" t="str">
        <f t="shared" si="0"/>
        <v>AD</v>
      </c>
      <c r="H80" s="152" t="str">
        <f t="shared" si="1"/>
        <v>ADIN09</v>
      </c>
    </row>
    <row r="81" spans="2:8">
      <c r="B81" s="226"/>
      <c r="C81" s="156" t="s">
        <v>1680</v>
      </c>
      <c r="D81" s="154" t="s">
        <v>558</v>
      </c>
      <c r="F81" s="149">
        <v>2</v>
      </c>
      <c r="G81" s="158" t="str">
        <f t="shared" si="0"/>
        <v>AD</v>
      </c>
      <c r="H81" s="152" t="str">
        <f t="shared" si="1"/>
        <v>ADIN10</v>
      </c>
    </row>
    <row r="82" spans="2:8">
      <c r="B82" s="226"/>
      <c r="C82" s="156" t="s">
        <v>1680</v>
      </c>
      <c r="D82" s="154" t="s">
        <v>559</v>
      </c>
      <c r="F82" s="149">
        <v>2</v>
      </c>
      <c r="G82" s="158" t="str">
        <f t="shared" si="0"/>
        <v>AD</v>
      </c>
      <c r="H82" s="152" t="str">
        <f t="shared" si="1"/>
        <v>ADIN11</v>
      </c>
    </row>
    <row r="83" spans="2:8">
      <c r="B83" s="226"/>
      <c r="C83" s="156" t="s">
        <v>1680</v>
      </c>
      <c r="D83" s="154" t="s">
        <v>560</v>
      </c>
      <c r="F83" s="149">
        <v>2</v>
      </c>
      <c r="G83" s="158" t="str">
        <f t="shared" si="0"/>
        <v>AD</v>
      </c>
      <c r="H83" s="152" t="str">
        <f t="shared" si="1"/>
        <v>ADIN12</v>
      </c>
    </row>
    <row r="84" spans="2:8">
      <c r="B84" s="226"/>
      <c r="C84" s="156" t="s">
        <v>1680</v>
      </c>
      <c r="D84" s="154" t="s">
        <v>561</v>
      </c>
      <c r="F84" s="149">
        <v>2</v>
      </c>
      <c r="G84" s="158" t="str">
        <f t="shared" ref="G84:G147" si="4">C84</f>
        <v>AD</v>
      </c>
      <c r="H84" s="152" t="str">
        <f t="shared" ref="H84:H147" si="5">IF(F84=1,C84&amp;"_"&amp;D84,D84)</f>
        <v>ADIN13</v>
      </c>
    </row>
    <row r="85" spans="2:8">
      <c r="B85" s="226"/>
      <c r="C85" s="156" t="s">
        <v>1680</v>
      </c>
      <c r="D85" s="154" t="s">
        <v>562</v>
      </c>
      <c r="F85" s="149">
        <v>2</v>
      </c>
      <c r="G85" s="155" t="str">
        <f t="shared" si="4"/>
        <v>AD</v>
      </c>
      <c r="H85" s="152" t="str">
        <f t="shared" si="5"/>
        <v>ADIN14</v>
      </c>
    </row>
    <row r="86" spans="2:8">
      <c r="B86" s="226"/>
      <c r="C86" s="156" t="s">
        <v>1680</v>
      </c>
      <c r="D86" s="154" t="s">
        <v>563</v>
      </c>
      <c r="F86" s="149">
        <v>2</v>
      </c>
      <c r="G86" s="155" t="str">
        <f t="shared" si="4"/>
        <v>AD</v>
      </c>
      <c r="H86" s="152" t="str">
        <f t="shared" si="5"/>
        <v>ADIN15</v>
      </c>
    </row>
    <row r="87" spans="2:8">
      <c r="B87" s="226"/>
      <c r="C87" s="156" t="s">
        <v>1680</v>
      </c>
      <c r="D87" s="154" t="s">
        <v>719</v>
      </c>
      <c r="F87" s="149">
        <v>2</v>
      </c>
      <c r="G87" s="155" t="str">
        <f t="shared" si="4"/>
        <v>AD</v>
      </c>
      <c r="H87" s="152" t="str">
        <f t="shared" si="5"/>
        <v>ADIN16</v>
      </c>
    </row>
    <row r="88" spans="2:8">
      <c r="B88" s="226"/>
      <c r="C88" s="156" t="s">
        <v>1680</v>
      </c>
      <c r="D88" s="154" t="s">
        <v>720</v>
      </c>
      <c r="F88" s="149">
        <v>2</v>
      </c>
      <c r="G88" s="155" t="str">
        <f t="shared" si="4"/>
        <v>AD</v>
      </c>
      <c r="H88" s="152" t="str">
        <f t="shared" si="5"/>
        <v>ADIN17</v>
      </c>
    </row>
    <row r="89" spans="2:8">
      <c r="B89" s="226"/>
      <c r="C89" s="156" t="s">
        <v>1680</v>
      </c>
      <c r="D89" s="154" t="s">
        <v>552</v>
      </c>
      <c r="F89" s="149">
        <v>2</v>
      </c>
      <c r="G89" s="155" t="str">
        <f t="shared" si="4"/>
        <v>AD</v>
      </c>
      <c r="H89" s="152" t="str">
        <f t="shared" si="5"/>
        <v>ADIN18</v>
      </c>
    </row>
    <row r="90" spans="2:8">
      <c r="B90" s="226"/>
      <c r="C90" s="156" t="s">
        <v>1680</v>
      </c>
      <c r="D90" s="154" t="s">
        <v>553</v>
      </c>
      <c r="F90" s="149">
        <v>2</v>
      </c>
      <c r="G90" s="155" t="str">
        <f t="shared" si="4"/>
        <v>AD</v>
      </c>
      <c r="H90" s="152" t="str">
        <f t="shared" si="5"/>
        <v>ADIN19</v>
      </c>
    </row>
    <row r="91" spans="2:8">
      <c r="B91" s="226"/>
      <c r="C91" s="156" t="s">
        <v>1680</v>
      </c>
      <c r="D91" s="154" t="s">
        <v>554</v>
      </c>
      <c r="F91" s="149">
        <v>2</v>
      </c>
      <c r="G91" s="155" t="str">
        <f t="shared" si="4"/>
        <v>AD</v>
      </c>
      <c r="H91" s="152" t="str">
        <f t="shared" si="5"/>
        <v>ADIN20</v>
      </c>
    </row>
    <row r="92" spans="2:8">
      <c r="B92" s="226"/>
      <c r="C92" s="156" t="s">
        <v>1680</v>
      </c>
      <c r="D92" s="154" t="s">
        <v>555</v>
      </c>
      <c r="F92" s="149">
        <v>2</v>
      </c>
      <c r="G92" s="155" t="str">
        <f t="shared" si="4"/>
        <v>AD</v>
      </c>
      <c r="H92" s="152" t="str">
        <f t="shared" si="5"/>
        <v>ADIN21</v>
      </c>
    </row>
    <row r="93" spans="2:8">
      <c r="B93" s="226"/>
      <c r="C93" s="156" t="s">
        <v>1680</v>
      </c>
      <c r="D93" s="154" t="s">
        <v>556</v>
      </c>
      <c r="F93" s="149">
        <v>2</v>
      </c>
      <c r="G93" s="155" t="str">
        <f t="shared" si="4"/>
        <v>AD</v>
      </c>
      <c r="H93" s="152" t="str">
        <f t="shared" si="5"/>
        <v>ADIN22</v>
      </c>
    </row>
    <row r="94" spans="2:8">
      <c r="B94" s="226"/>
      <c r="C94" s="156" t="s">
        <v>1680</v>
      </c>
      <c r="D94" s="154" t="s">
        <v>557</v>
      </c>
      <c r="F94" s="149">
        <v>2</v>
      </c>
      <c r="G94" s="155" t="str">
        <f t="shared" si="4"/>
        <v>AD</v>
      </c>
      <c r="H94" s="152" t="str">
        <f t="shared" si="5"/>
        <v>ADIN23</v>
      </c>
    </row>
    <row r="95" spans="2:8">
      <c r="B95" s="226"/>
      <c r="C95" s="156" t="s">
        <v>1680</v>
      </c>
      <c r="D95" s="154" t="s">
        <v>550</v>
      </c>
      <c r="F95" s="149">
        <v>2</v>
      </c>
      <c r="G95" s="155" t="str">
        <f t="shared" si="4"/>
        <v>AD</v>
      </c>
      <c r="H95" s="152" t="str">
        <f t="shared" si="5"/>
        <v>ADIN24</v>
      </c>
    </row>
    <row r="96" spans="2:8">
      <c r="B96" s="226"/>
      <c r="C96" s="156" t="s">
        <v>1680</v>
      </c>
      <c r="D96" s="154" t="s">
        <v>551</v>
      </c>
      <c r="F96" s="149">
        <v>2</v>
      </c>
      <c r="G96" s="155" t="str">
        <f t="shared" si="4"/>
        <v>AD</v>
      </c>
      <c r="H96" s="152" t="str">
        <f t="shared" si="5"/>
        <v>ADIN25</v>
      </c>
    </row>
    <row r="97" spans="2:8">
      <c r="B97" s="230" t="s">
        <v>1661</v>
      </c>
      <c r="C97" s="156" t="s">
        <v>1681</v>
      </c>
      <c r="D97" s="154" t="s">
        <v>1491</v>
      </c>
      <c r="F97" s="149">
        <v>1</v>
      </c>
      <c r="G97" s="155" t="str">
        <f t="shared" si="4"/>
        <v>CMP0</v>
      </c>
      <c r="H97" s="152" t="str">
        <f t="shared" si="5"/>
        <v>CMP0_CMP00</v>
      </c>
    </row>
    <row r="98" spans="2:8">
      <c r="B98" s="226"/>
      <c r="C98" s="156" t="s">
        <v>1681</v>
      </c>
      <c r="D98" s="154" t="s">
        <v>1492</v>
      </c>
      <c r="F98" s="149">
        <v>1</v>
      </c>
      <c r="G98" s="155" t="str">
        <f t="shared" si="4"/>
        <v>CMP0</v>
      </c>
      <c r="H98" s="152" t="str">
        <f t="shared" si="5"/>
        <v>CMP0_CMP01</v>
      </c>
    </row>
    <row r="99" spans="2:8">
      <c r="B99" s="226"/>
      <c r="C99" s="156" t="s">
        <v>1681</v>
      </c>
      <c r="D99" s="154" t="s">
        <v>1493</v>
      </c>
      <c r="F99" s="149">
        <v>1</v>
      </c>
      <c r="G99" s="155" t="str">
        <f t="shared" si="4"/>
        <v>CMP0</v>
      </c>
      <c r="H99" s="152" t="str">
        <f t="shared" si="5"/>
        <v>CMP0_CMPREF0</v>
      </c>
    </row>
    <row r="100" spans="2:8">
      <c r="B100" s="226"/>
      <c r="C100" s="156" t="s">
        <v>1667</v>
      </c>
      <c r="D100" s="154" t="s">
        <v>1494</v>
      </c>
      <c r="F100" s="149">
        <v>1</v>
      </c>
      <c r="G100" s="155" t="str">
        <f t="shared" si="4"/>
        <v>CMP1</v>
      </c>
      <c r="H100" s="152" t="str">
        <f t="shared" si="5"/>
        <v>CMP1_CMP10</v>
      </c>
    </row>
    <row r="101" spans="2:8">
      <c r="B101" s="226"/>
      <c r="C101" s="156" t="s">
        <v>1667</v>
      </c>
      <c r="D101" s="154" t="s">
        <v>1495</v>
      </c>
      <c r="F101" s="149">
        <v>1</v>
      </c>
      <c r="G101" s="155" t="str">
        <f t="shared" si="4"/>
        <v>CMP1</v>
      </c>
      <c r="H101" s="152" t="str">
        <f t="shared" si="5"/>
        <v>CMP1_CMP11</v>
      </c>
    </row>
    <row r="102" spans="2:8">
      <c r="B102" s="226"/>
      <c r="C102" s="156" t="s">
        <v>1667</v>
      </c>
      <c r="D102" s="154" t="s">
        <v>1496</v>
      </c>
      <c r="F102" s="149">
        <v>1</v>
      </c>
      <c r="G102" s="155" t="str">
        <f t="shared" si="4"/>
        <v>CMP1</v>
      </c>
      <c r="H102" s="152" t="str">
        <f t="shared" si="5"/>
        <v>CMP1_CMPREF1</v>
      </c>
    </row>
    <row r="103" spans="2:8">
      <c r="B103" s="226"/>
      <c r="C103" s="156" t="s">
        <v>1668</v>
      </c>
      <c r="D103" s="154" t="s">
        <v>1497</v>
      </c>
      <c r="F103" s="149">
        <v>1</v>
      </c>
      <c r="G103" s="155" t="str">
        <f t="shared" si="4"/>
        <v>CMP2</v>
      </c>
      <c r="H103" s="152" t="str">
        <f t="shared" si="5"/>
        <v>CMP2_CMP20</v>
      </c>
    </row>
    <row r="104" spans="2:8">
      <c r="B104" s="226"/>
      <c r="C104" s="156" t="s">
        <v>1668</v>
      </c>
      <c r="D104" s="154" t="s">
        <v>1498</v>
      </c>
      <c r="F104" s="149">
        <v>1</v>
      </c>
      <c r="G104" s="155" t="str">
        <f t="shared" si="4"/>
        <v>CMP2</v>
      </c>
      <c r="H104" s="152" t="str">
        <f t="shared" si="5"/>
        <v>CMP2_CMP21</v>
      </c>
    </row>
    <row r="105" spans="2:8">
      <c r="B105" s="226"/>
      <c r="C105" s="156" t="s">
        <v>1668</v>
      </c>
      <c r="D105" s="154" t="s">
        <v>1499</v>
      </c>
      <c r="F105" s="149">
        <v>1</v>
      </c>
      <c r="G105" s="155" t="str">
        <f t="shared" si="4"/>
        <v>CMP2</v>
      </c>
      <c r="H105" s="152" t="str">
        <f t="shared" si="5"/>
        <v>CMP2_CMPREF2</v>
      </c>
    </row>
    <row r="106" spans="2:8">
      <c r="B106" s="226"/>
      <c r="C106" s="156" t="s">
        <v>1670</v>
      </c>
      <c r="D106" s="154" t="s">
        <v>1500</v>
      </c>
      <c r="F106" s="149">
        <v>1</v>
      </c>
      <c r="G106" s="155" t="str">
        <f t="shared" si="4"/>
        <v>CMP3</v>
      </c>
      <c r="H106" s="152" t="str">
        <f t="shared" si="5"/>
        <v>CMP3_CMP30</v>
      </c>
    </row>
    <row r="107" spans="2:8">
      <c r="B107" s="226"/>
      <c r="C107" s="156" t="s">
        <v>1670</v>
      </c>
      <c r="D107" s="154" t="s">
        <v>1501</v>
      </c>
      <c r="F107" s="149">
        <v>1</v>
      </c>
      <c r="G107" s="155" t="str">
        <f t="shared" si="4"/>
        <v>CMP3</v>
      </c>
      <c r="H107" s="152" t="str">
        <f t="shared" si="5"/>
        <v>CMP3_CMP31</v>
      </c>
    </row>
    <row r="108" spans="2:8">
      <c r="B108" s="226"/>
      <c r="C108" s="156" t="s">
        <v>1670</v>
      </c>
      <c r="D108" s="154" t="s">
        <v>1502</v>
      </c>
      <c r="F108" s="149">
        <v>1</v>
      </c>
      <c r="G108" s="155" t="str">
        <f t="shared" si="4"/>
        <v>CMP3</v>
      </c>
      <c r="H108" s="152" t="str">
        <f t="shared" si="5"/>
        <v>CMP3_CMPREF3</v>
      </c>
    </row>
    <row r="109" spans="2:8">
      <c r="B109" s="226"/>
      <c r="C109" s="156" t="s">
        <v>1671</v>
      </c>
      <c r="D109" s="154" t="s">
        <v>1503</v>
      </c>
      <c r="F109" s="149">
        <v>1</v>
      </c>
      <c r="G109" s="155" t="str">
        <f t="shared" si="4"/>
        <v>CMP4</v>
      </c>
      <c r="H109" s="152" t="str">
        <f t="shared" si="5"/>
        <v>CMP4_CMP40</v>
      </c>
    </row>
    <row r="110" spans="2:8">
      <c r="B110" s="226"/>
      <c r="C110" s="156" t="s">
        <v>1671</v>
      </c>
      <c r="D110" s="154" t="s">
        <v>1504</v>
      </c>
      <c r="F110" s="149">
        <v>1</v>
      </c>
      <c r="G110" s="155" t="str">
        <f t="shared" si="4"/>
        <v>CMP4</v>
      </c>
      <c r="H110" s="152" t="str">
        <f t="shared" si="5"/>
        <v>CMP4_CMP41</v>
      </c>
    </row>
    <row r="111" spans="2:8">
      <c r="B111" s="226"/>
      <c r="C111" s="156" t="s">
        <v>1671</v>
      </c>
      <c r="D111" s="154" t="s">
        <v>1505</v>
      </c>
      <c r="F111" s="149">
        <v>1</v>
      </c>
      <c r="G111" s="155" t="str">
        <f t="shared" si="4"/>
        <v>CMP4</v>
      </c>
      <c r="H111" s="152" t="str">
        <f t="shared" si="5"/>
        <v>CMP4_CMPREF4</v>
      </c>
    </row>
    <row r="112" spans="2:8">
      <c r="B112" s="226"/>
      <c r="C112" s="156" t="s">
        <v>1673</v>
      </c>
      <c r="D112" s="154" t="s">
        <v>1506</v>
      </c>
      <c r="F112" s="149">
        <v>1</v>
      </c>
      <c r="G112" s="155" t="str">
        <f t="shared" si="4"/>
        <v>CMP5</v>
      </c>
      <c r="H112" s="152" t="str">
        <f t="shared" si="5"/>
        <v>CMP5_CMP50</v>
      </c>
    </row>
    <row r="113" spans="2:8">
      <c r="B113" s="226"/>
      <c r="C113" s="156" t="s">
        <v>1673</v>
      </c>
      <c r="D113" s="154" t="s">
        <v>1508</v>
      </c>
      <c r="F113" s="149">
        <v>1</v>
      </c>
      <c r="G113" s="155" t="str">
        <f t="shared" si="4"/>
        <v>CMP5</v>
      </c>
      <c r="H113" s="152" t="str">
        <f t="shared" si="5"/>
        <v>CMP5_CMP51</v>
      </c>
    </row>
    <row r="114" spans="2:8">
      <c r="B114" s="226"/>
      <c r="C114" s="156" t="s">
        <v>1673</v>
      </c>
      <c r="D114" s="154" t="s">
        <v>1509</v>
      </c>
      <c r="F114" s="149">
        <v>1</v>
      </c>
      <c r="G114" s="155" t="str">
        <f t="shared" si="4"/>
        <v>CMP5</v>
      </c>
      <c r="H114" s="152" t="str">
        <f t="shared" si="5"/>
        <v>CMP5_CMPREF5</v>
      </c>
    </row>
    <row r="115" spans="2:8">
      <c r="B115" s="226" t="s">
        <v>1662</v>
      </c>
      <c r="C115" s="156" t="s">
        <v>1666</v>
      </c>
      <c r="D115" s="154" t="s">
        <v>1444</v>
      </c>
      <c r="F115" s="149">
        <v>1</v>
      </c>
      <c r="G115" s="155" t="str">
        <f t="shared" si="4"/>
        <v>DAC</v>
      </c>
      <c r="H115" s="152" t="str">
        <f t="shared" si="5"/>
        <v>DAC_DAOUT0</v>
      </c>
    </row>
    <row r="116" spans="2:8">
      <c r="B116" s="226"/>
      <c r="C116" s="156" t="s">
        <v>1666</v>
      </c>
      <c r="D116" s="154" t="s">
        <v>1446</v>
      </c>
      <c r="F116" s="149">
        <v>1</v>
      </c>
      <c r="G116" s="155" t="str">
        <f t="shared" si="4"/>
        <v>DAC</v>
      </c>
      <c r="H116" s="152" t="str">
        <f t="shared" si="5"/>
        <v>DAC_DAOUT1</v>
      </c>
    </row>
    <row r="117" spans="2:8" ht="15.75" customHeight="1">
      <c r="B117" s="230" t="s">
        <v>1682</v>
      </c>
      <c r="C117" s="156" t="s">
        <v>1683</v>
      </c>
      <c r="D117" s="154" t="s">
        <v>1454</v>
      </c>
      <c r="F117" s="149">
        <v>2</v>
      </c>
      <c r="G117" s="160" t="str">
        <f t="shared" si="4"/>
        <v>FPSA</v>
      </c>
      <c r="H117" s="157" t="str">
        <f t="shared" si="5"/>
        <v>FPSA00</v>
      </c>
    </row>
    <row r="118" spans="2:8">
      <c r="B118" s="226"/>
      <c r="C118" s="156" t="s">
        <v>1683</v>
      </c>
      <c r="D118" s="154" t="s">
        <v>1455</v>
      </c>
      <c r="F118" s="149">
        <v>2</v>
      </c>
      <c r="G118" s="160" t="str">
        <f t="shared" si="4"/>
        <v>FPSA</v>
      </c>
      <c r="H118" s="157" t="str">
        <f t="shared" si="5"/>
        <v>FPSA01</v>
      </c>
    </row>
    <row r="119" spans="2:8">
      <c r="B119" s="226"/>
      <c r="C119" s="156" t="s">
        <v>1683</v>
      </c>
      <c r="D119" s="154" t="s">
        <v>1456</v>
      </c>
      <c r="F119" s="149">
        <v>2</v>
      </c>
      <c r="G119" s="160" t="str">
        <f t="shared" si="4"/>
        <v>FPSA</v>
      </c>
      <c r="H119" s="157" t="str">
        <f t="shared" si="5"/>
        <v>FPSA02</v>
      </c>
    </row>
    <row r="120" spans="2:8">
      <c r="B120" s="226"/>
      <c r="C120" s="156" t="s">
        <v>1683</v>
      </c>
      <c r="D120" s="154" t="s">
        <v>1457</v>
      </c>
      <c r="F120" s="149">
        <v>2</v>
      </c>
      <c r="G120" s="160" t="str">
        <f t="shared" si="4"/>
        <v>FPSA</v>
      </c>
      <c r="H120" s="157" t="str">
        <f t="shared" si="5"/>
        <v>FPSA03</v>
      </c>
    </row>
    <row r="121" spans="2:8">
      <c r="B121" s="226"/>
      <c r="C121" s="156" t="s">
        <v>1683</v>
      </c>
      <c r="D121" s="154" t="s">
        <v>1458</v>
      </c>
      <c r="F121" s="149">
        <v>2</v>
      </c>
      <c r="G121" s="160" t="str">
        <f t="shared" si="4"/>
        <v>FPSA</v>
      </c>
      <c r="H121" s="157" t="str">
        <f t="shared" si="5"/>
        <v>FPSA04</v>
      </c>
    </row>
    <row r="122" spans="2:8">
      <c r="B122" s="226"/>
      <c r="C122" s="156" t="s">
        <v>1683</v>
      </c>
      <c r="D122" s="154" t="s">
        <v>1459</v>
      </c>
      <c r="F122" s="149">
        <v>2</v>
      </c>
      <c r="G122" s="160" t="str">
        <f t="shared" si="4"/>
        <v>FPSA</v>
      </c>
      <c r="H122" s="157" t="str">
        <f t="shared" si="5"/>
        <v>FPSA05</v>
      </c>
    </row>
    <row r="123" spans="2:8">
      <c r="B123" s="226"/>
      <c r="C123" s="156" t="s">
        <v>1683</v>
      </c>
      <c r="D123" s="154" t="s">
        <v>1461</v>
      </c>
      <c r="F123" s="149">
        <v>2</v>
      </c>
      <c r="G123" s="160" t="str">
        <f t="shared" si="4"/>
        <v>FPSA</v>
      </c>
      <c r="H123" s="157" t="str">
        <f t="shared" si="5"/>
        <v>FPSA06</v>
      </c>
    </row>
    <row r="124" spans="2:8">
      <c r="B124" s="226"/>
      <c r="C124" s="156" t="s">
        <v>1683</v>
      </c>
      <c r="D124" s="154" t="s">
        <v>1463</v>
      </c>
      <c r="F124" s="149">
        <v>2</v>
      </c>
      <c r="G124" s="160" t="str">
        <f t="shared" si="4"/>
        <v>FPSA</v>
      </c>
      <c r="H124" s="157" t="str">
        <f t="shared" si="5"/>
        <v>FPSA07</v>
      </c>
    </row>
    <row r="125" spans="2:8">
      <c r="B125" s="226"/>
      <c r="C125" s="156" t="s">
        <v>1683</v>
      </c>
      <c r="D125" s="154" t="s">
        <v>1464</v>
      </c>
      <c r="F125" s="149">
        <v>2</v>
      </c>
      <c r="G125" s="160" t="str">
        <f t="shared" si="4"/>
        <v>FPSA</v>
      </c>
      <c r="H125" s="157" t="str">
        <f t="shared" si="5"/>
        <v>FPSA08</v>
      </c>
    </row>
    <row r="126" spans="2:8">
      <c r="B126" s="226"/>
      <c r="C126" s="156" t="s">
        <v>1683</v>
      </c>
      <c r="D126" s="154" t="s">
        <v>1465</v>
      </c>
      <c r="F126" s="149">
        <v>2</v>
      </c>
      <c r="G126" s="160" t="str">
        <f t="shared" si="4"/>
        <v>FPSA</v>
      </c>
      <c r="H126" s="157" t="str">
        <f t="shared" si="5"/>
        <v>FPSA09</v>
      </c>
    </row>
    <row r="127" spans="2:8">
      <c r="B127" s="226"/>
      <c r="C127" s="156" t="s">
        <v>1683</v>
      </c>
      <c r="D127" s="154" t="s">
        <v>1466</v>
      </c>
      <c r="F127" s="149">
        <v>2</v>
      </c>
      <c r="G127" s="160" t="str">
        <f t="shared" si="4"/>
        <v>FPSA</v>
      </c>
      <c r="H127" s="157" t="str">
        <f t="shared" si="5"/>
        <v>FPSA10</v>
      </c>
    </row>
    <row r="128" spans="2:8">
      <c r="B128" s="226"/>
      <c r="C128" s="156" t="s">
        <v>1683</v>
      </c>
      <c r="D128" s="154" t="s">
        <v>1467</v>
      </c>
      <c r="F128" s="149">
        <v>2</v>
      </c>
      <c r="G128" s="160" t="str">
        <f t="shared" si="4"/>
        <v>FPSA</v>
      </c>
      <c r="H128" s="157" t="str">
        <f t="shared" si="5"/>
        <v>FPSA11</v>
      </c>
    </row>
    <row r="129" spans="2:8">
      <c r="B129" s="226"/>
      <c r="C129" s="156" t="s">
        <v>1683</v>
      </c>
      <c r="D129" s="154" t="s">
        <v>1468</v>
      </c>
      <c r="F129" s="149">
        <v>2</v>
      </c>
      <c r="G129" s="160" t="str">
        <f t="shared" si="4"/>
        <v>FPSA</v>
      </c>
      <c r="H129" s="157" t="str">
        <f t="shared" si="5"/>
        <v>FPSA12</v>
      </c>
    </row>
    <row r="130" spans="2:8">
      <c r="B130" s="226"/>
      <c r="C130" s="156" t="s">
        <v>1683</v>
      </c>
      <c r="D130" s="154" t="s">
        <v>1469</v>
      </c>
      <c r="F130" s="149">
        <v>2</v>
      </c>
      <c r="G130" s="160" t="str">
        <f t="shared" si="4"/>
        <v>FPSA</v>
      </c>
      <c r="H130" s="157" t="str">
        <f t="shared" si="5"/>
        <v>FPSA13</v>
      </c>
    </row>
    <row r="131" spans="2:8">
      <c r="B131" s="226"/>
      <c r="C131" s="156" t="s">
        <v>1598</v>
      </c>
      <c r="D131" s="154" t="s">
        <v>1674</v>
      </c>
      <c r="F131" s="149">
        <v>2</v>
      </c>
      <c r="G131" s="160" t="str">
        <f t="shared" si="4"/>
        <v>FPSB</v>
      </c>
      <c r="H131" s="157" t="str">
        <f t="shared" si="5"/>
        <v>FPSB00</v>
      </c>
    </row>
    <row r="132" spans="2:8">
      <c r="B132" s="226"/>
      <c r="C132" s="156" t="s">
        <v>1598</v>
      </c>
      <c r="D132" s="154" t="s">
        <v>1471</v>
      </c>
      <c r="F132" s="149">
        <v>2</v>
      </c>
      <c r="G132" s="160" t="str">
        <f t="shared" si="4"/>
        <v>FPSB</v>
      </c>
      <c r="H132" s="157" t="str">
        <f t="shared" si="5"/>
        <v>FPSB01</v>
      </c>
    </row>
    <row r="133" spans="2:8">
      <c r="B133" s="226"/>
      <c r="C133" s="156" t="s">
        <v>1598</v>
      </c>
      <c r="D133" s="154" t="s">
        <v>1472</v>
      </c>
      <c r="F133" s="149">
        <v>2</v>
      </c>
      <c r="G133" s="160" t="str">
        <f t="shared" si="4"/>
        <v>FPSB</v>
      </c>
      <c r="H133" s="157" t="str">
        <f t="shared" si="5"/>
        <v>FPSB02</v>
      </c>
    </row>
    <row r="134" spans="2:8">
      <c r="B134" s="226"/>
      <c r="C134" s="156" t="s">
        <v>1598</v>
      </c>
      <c r="D134" s="154" t="s">
        <v>1473</v>
      </c>
      <c r="F134" s="149">
        <v>2</v>
      </c>
      <c r="G134" s="160" t="str">
        <f t="shared" si="4"/>
        <v>FPSB</v>
      </c>
      <c r="H134" s="157" t="str">
        <f t="shared" si="5"/>
        <v>FPSB03</v>
      </c>
    </row>
    <row r="135" spans="2:8">
      <c r="B135" s="226"/>
      <c r="C135" s="156" t="s">
        <v>1598</v>
      </c>
      <c r="D135" s="154" t="s">
        <v>1474</v>
      </c>
      <c r="F135" s="149">
        <v>2</v>
      </c>
      <c r="G135" s="160" t="str">
        <f t="shared" si="4"/>
        <v>FPSB</v>
      </c>
      <c r="H135" s="157" t="str">
        <f t="shared" si="5"/>
        <v>FPSB04</v>
      </c>
    </row>
    <row r="136" spans="2:8">
      <c r="B136" s="226"/>
      <c r="C136" s="156" t="s">
        <v>1598</v>
      </c>
      <c r="D136" s="154" t="s">
        <v>1475</v>
      </c>
      <c r="F136" s="149">
        <v>2</v>
      </c>
      <c r="G136" s="160" t="str">
        <f t="shared" si="4"/>
        <v>FPSB</v>
      </c>
      <c r="H136" s="157" t="str">
        <f t="shared" si="5"/>
        <v>FPSB05</v>
      </c>
    </row>
    <row r="137" spans="2:8">
      <c r="B137" s="226"/>
      <c r="C137" s="156" t="s">
        <v>1598</v>
      </c>
      <c r="D137" s="154" t="s">
        <v>1476</v>
      </c>
      <c r="F137" s="149">
        <v>2</v>
      </c>
      <c r="G137" s="160" t="str">
        <f t="shared" si="4"/>
        <v>FPSB</v>
      </c>
      <c r="H137" s="157" t="str">
        <f t="shared" si="5"/>
        <v>FPSB06</v>
      </c>
    </row>
    <row r="138" spans="2:8">
      <c r="B138" s="226"/>
      <c r="C138" s="156" t="s">
        <v>1598</v>
      </c>
      <c r="D138" s="154" t="s">
        <v>1477</v>
      </c>
      <c r="F138" s="149">
        <v>2</v>
      </c>
      <c r="G138" s="160" t="str">
        <f t="shared" si="4"/>
        <v>FPSB</v>
      </c>
      <c r="H138" s="157" t="str">
        <f t="shared" si="5"/>
        <v>FPSB07</v>
      </c>
    </row>
    <row r="139" spans="2:8">
      <c r="B139" s="226"/>
      <c r="C139" s="156" t="s">
        <v>1598</v>
      </c>
      <c r="D139" s="154" t="s">
        <v>1445</v>
      </c>
      <c r="F139" s="149">
        <v>2</v>
      </c>
      <c r="G139" s="160" t="str">
        <f t="shared" si="4"/>
        <v>FPSB</v>
      </c>
      <c r="H139" s="157" t="str">
        <f t="shared" si="5"/>
        <v>FPSB08</v>
      </c>
    </row>
    <row r="140" spans="2:8">
      <c r="B140" s="226"/>
      <c r="C140" s="156" t="s">
        <v>1598</v>
      </c>
      <c r="D140" s="154" t="s">
        <v>1447</v>
      </c>
      <c r="F140" s="149">
        <v>2</v>
      </c>
      <c r="G140" s="160" t="str">
        <f t="shared" si="4"/>
        <v>FPSB</v>
      </c>
      <c r="H140" s="157" t="str">
        <f t="shared" si="5"/>
        <v>FPSB09</v>
      </c>
    </row>
    <row r="141" spans="2:8">
      <c r="B141" s="226"/>
      <c r="C141" s="156" t="s">
        <v>1598</v>
      </c>
      <c r="D141" s="154" t="s">
        <v>1448</v>
      </c>
      <c r="F141" s="149">
        <v>2</v>
      </c>
      <c r="G141" s="160" t="str">
        <f t="shared" si="4"/>
        <v>FPSB</v>
      </c>
      <c r="H141" s="157" t="str">
        <f t="shared" si="5"/>
        <v>FPSB10</v>
      </c>
    </row>
    <row r="142" spans="2:8">
      <c r="B142" s="226"/>
      <c r="C142" s="156" t="s">
        <v>1598</v>
      </c>
      <c r="D142" s="154" t="s">
        <v>1449</v>
      </c>
      <c r="F142" s="149">
        <v>2</v>
      </c>
      <c r="G142" s="160" t="str">
        <f t="shared" si="4"/>
        <v>FPSB</v>
      </c>
      <c r="H142" s="157" t="str">
        <f t="shared" si="5"/>
        <v>FPSB11</v>
      </c>
    </row>
    <row r="143" spans="2:8" ht="15.75" customHeight="1">
      <c r="B143" s="226" t="s">
        <v>1684</v>
      </c>
      <c r="C143" s="156" t="s">
        <v>1663</v>
      </c>
      <c r="D143" s="154" t="s">
        <v>609</v>
      </c>
      <c r="F143" s="149">
        <v>2</v>
      </c>
      <c r="G143" s="155" t="str">
        <f t="shared" si="4"/>
        <v>P0</v>
      </c>
      <c r="H143" s="152" t="str">
        <f t="shared" si="5"/>
        <v>P0.0</v>
      </c>
    </row>
    <row r="144" spans="2:8">
      <c r="B144" s="226"/>
      <c r="C144" s="156" t="s">
        <v>1663</v>
      </c>
      <c r="D144" s="154" t="s">
        <v>610</v>
      </c>
      <c r="F144" s="149">
        <v>2</v>
      </c>
      <c r="G144" s="155" t="str">
        <f t="shared" si="4"/>
        <v>P0</v>
      </c>
      <c r="H144" s="152" t="str">
        <f t="shared" si="5"/>
        <v>P0.1</v>
      </c>
    </row>
    <row r="145" spans="2:8">
      <c r="B145" s="226"/>
      <c r="C145" s="156" t="s">
        <v>1663</v>
      </c>
      <c r="D145" s="154" t="s">
        <v>611</v>
      </c>
      <c r="F145" s="149">
        <v>2</v>
      </c>
      <c r="G145" s="155" t="str">
        <f t="shared" si="4"/>
        <v>P0</v>
      </c>
      <c r="H145" s="152" t="str">
        <f t="shared" si="5"/>
        <v>P0.2</v>
      </c>
    </row>
    <row r="146" spans="2:8">
      <c r="B146" s="226"/>
      <c r="C146" s="156" t="s">
        <v>1663</v>
      </c>
      <c r="D146" s="154" t="s">
        <v>612</v>
      </c>
      <c r="F146" s="149">
        <v>2</v>
      </c>
      <c r="G146" s="155" t="str">
        <f t="shared" si="4"/>
        <v>P0</v>
      </c>
      <c r="H146" s="152" t="str">
        <f t="shared" si="5"/>
        <v>P0.3</v>
      </c>
    </row>
    <row r="147" spans="2:8">
      <c r="B147" s="226"/>
      <c r="C147" s="156" t="s">
        <v>1663</v>
      </c>
      <c r="D147" s="154" t="s">
        <v>613</v>
      </c>
      <c r="F147" s="149">
        <v>2</v>
      </c>
      <c r="G147" s="155" t="str">
        <f t="shared" si="4"/>
        <v>P0</v>
      </c>
      <c r="H147" s="152" t="str">
        <f t="shared" si="5"/>
        <v>P0.4</v>
      </c>
    </row>
    <row r="148" spans="2:8">
      <c r="B148" s="226"/>
      <c r="C148" s="156" t="s">
        <v>1663</v>
      </c>
      <c r="D148" s="154" t="s">
        <v>614</v>
      </c>
      <c r="F148" s="149">
        <v>2</v>
      </c>
      <c r="G148" s="155" t="str">
        <f t="shared" ref="G148:G211" si="6">C148</f>
        <v>P0</v>
      </c>
      <c r="H148" s="152" t="str">
        <f t="shared" ref="H148:H211" si="7">IF(F148=1,C148&amp;"_"&amp;D148,D148)</f>
        <v>P0.5</v>
      </c>
    </row>
    <row r="149" spans="2:8">
      <c r="B149" s="226"/>
      <c r="C149" s="156" t="s">
        <v>1663</v>
      </c>
      <c r="D149" s="154" t="s">
        <v>615</v>
      </c>
      <c r="F149" s="149">
        <v>2</v>
      </c>
      <c r="G149" s="155" t="str">
        <f t="shared" si="6"/>
        <v>P0</v>
      </c>
      <c r="H149" s="152" t="str">
        <f t="shared" si="7"/>
        <v>P0.6</v>
      </c>
    </row>
    <row r="150" spans="2:8">
      <c r="B150" s="226"/>
      <c r="C150" s="156" t="s">
        <v>1663</v>
      </c>
      <c r="D150" s="154" t="s">
        <v>616</v>
      </c>
      <c r="F150" s="149">
        <v>2</v>
      </c>
      <c r="G150" s="155" t="str">
        <f t="shared" si="6"/>
        <v>P0</v>
      </c>
      <c r="H150" s="152" t="str">
        <f t="shared" si="7"/>
        <v>P0.7</v>
      </c>
    </row>
    <row r="151" spans="2:8">
      <c r="B151" s="226"/>
      <c r="C151" s="156" t="s">
        <v>1685</v>
      </c>
      <c r="D151" s="154" t="s">
        <v>633</v>
      </c>
      <c r="F151" s="149">
        <v>2</v>
      </c>
      <c r="G151" s="155" t="str">
        <f t="shared" si="6"/>
        <v>P1</v>
      </c>
      <c r="H151" s="152" t="str">
        <f t="shared" si="7"/>
        <v>P1.0</v>
      </c>
    </row>
    <row r="152" spans="2:8">
      <c r="B152" s="226"/>
      <c r="C152" s="156" t="s">
        <v>1685</v>
      </c>
      <c r="D152" s="154" t="s">
        <v>634</v>
      </c>
      <c r="F152" s="149">
        <v>2</v>
      </c>
      <c r="G152" s="155" t="str">
        <f t="shared" si="6"/>
        <v>P1</v>
      </c>
      <c r="H152" s="152" t="str">
        <f t="shared" si="7"/>
        <v>P1.1</v>
      </c>
    </row>
    <row r="153" spans="2:8">
      <c r="B153" s="226"/>
      <c r="C153" s="156" t="s">
        <v>1685</v>
      </c>
      <c r="D153" s="154" t="s">
        <v>635</v>
      </c>
      <c r="F153" s="149">
        <v>2</v>
      </c>
      <c r="G153" s="155" t="str">
        <f t="shared" si="6"/>
        <v>P1</v>
      </c>
      <c r="H153" s="152" t="str">
        <f t="shared" si="7"/>
        <v>P1.2</v>
      </c>
    </row>
    <row r="154" spans="2:8">
      <c r="B154" s="226"/>
      <c r="C154" s="156" t="s">
        <v>1685</v>
      </c>
      <c r="D154" s="154" t="s">
        <v>636</v>
      </c>
      <c r="F154" s="149">
        <v>2</v>
      </c>
      <c r="G154" s="155" t="str">
        <f t="shared" si="6"/>
        <v>P1</v>
      </c>
      <c r="H154" s="152" t="str">
        <f t="shared" si="7"/>
        <v>P1.3</v>
      </c>
    </row>
    <row r="155" spans="2:8">
      <c r="B155" s="226"/>
      <c r="C155" s="156" t="s">
        <v>1686</v>
      </c>
      <c r="D155" s="154" t="s">
        <v>660</v>
      </c>
      <c r="F155" s="149">
        <v>2</v>
      </c>
      <c r="G155" s="155" t="str">
        <f t="shared" si="6"/>
        <v>P2</v>
      </c>
      <c r="H155" s="152" t="str">
        <f t="shared" si="7"/>
        <v>P2.0</v>
      </c>
    </row>
    <row r="156" spans="2:8">
      <c r="B156" s="226"/>
      <c r="C156" s="156" t="s">
        <v>1686</v>
      </c>
      <c r="D156" s="154" t="s">
        <v>661</v>
      </c>
      <c r="F156" s="149">
        <v>2</v>
      </c>
      <c r="G156" s="155" t="str">
        <f t="shared" si="6"/>
        <v>P2</v>
      </c>
      <c r="H156" s="152" t="str">
        <f t="shared" si="7"/>
        <v>P2.1</v>
      </c>
    </row>
    <row r="157" spans="2:8">
      <c r="B157" s="226"/>
      <c r="C157" s="156" t="s">
        <v>1686</v>
      </c>
      <c r="D157" s="154" t="s">
        <v>662</v>
      </c>
      <c r="F157" s="149">
        <v>2</v>
      </c>
      <c r="G157" s="155" t="str">
        <f t="shared" si="6"/>
        <v>P2</v>
      </c>
      <c r="H157" s="152" t="str">
        <f t="shared" si="7"/>
        <v>P2.2</v>
      </c>
    </row>
    <row r="158" spans="2:8">
      <c r="B158" s="226"/>
      <c r="C158" s="156" t="s">
        <v>1686</v>
      </c>
      <c r="D158" s="154" t="s">
        <v>1450</v>
      </c>
      <c r="F158" s="149">
        <v>2</v>
      </c>
      <c r="G158" s="155" t="str">
        <f t="shared" si="6"/>
        <v>P2</v>
      </c>
      <c r="H158" s="152" t="str">
        <f t="shared" si="7"/>
        <v>P2.3</v>
      </c>
    </row>
    <row r="159" spans="2:8">
      <c r="B159" s="226"/>
      <c r="C159" s="156" t="s">
        <v>1686</v>
      </c>
      <c r="D159" s="154" t="s">
        <v>665</v>
      </c>
      <c r="F159" s="149">
        <v>2</v>
      </c>
      <c r="G159" s="155" t="str">
        <f t="shared" si="6"/>
        <v>P2</v>
      </c>
      <c r="H159" s="152" t="str">
        <f t="shared" si="7"/>
        <v>P2.4</v>
      </c>
    </row>
    <row r="160" spans="2:8">
      <c r="B160" s="226"/>
      <c r="C160" s="156" t="s">
        <v>1686</v>
      </c>
      <c r="D160" s="154" t="s">
        <v>666</v>
      </c>
      <c r="F160" s="149">
        <v>2</v>
      </c>
      <c r="G160" s="155" t="str">
        <f t="shared" si="6"/>
        <v>P2</v>
      </c>
      <c r="H160" s="152" t="str">
        <f t="shared" si="7"/>
        <v>P2.5</v>
      </c>
    </row>
    <row r="161" spans="2:8">
      <c r="B161" s="226"/>
      <c r="C161" s="156" t="s">
        <v>1686</v>
      </c>
      <c r="D161" s="154" t="s">
        <v>667</v>
      </c>
      <c r="F161" s="149">
        <v>2</v>
      </c>
      <c r="G161" s="155" t="str">
        <f t="shared" si="6"/>
        <v>P2</v>
      </c>
      <c r="H161" s="152" t="str">
        <f t="shared" si="7"/>
        <v>P2.6</v>
      </c>
    </row>
    <row r="162" spans="2:8">
      <c r="B162" s="226"/>
      <c r="C162" s="156" t="s">
        <v>1686</v>
      </c>
      <c r="D162" s="154" t="s">
        <v>668</v>
      </c>
      <c r="F162" s="149">
        <v>2</v>
      </c>
      <c r="G162" s="155" t="str">
        <f t="shared" si="6"/>
        <v>P2</v>
      </c>
      <c r="H162" s="152" t="str">
        <f t="shared" si="7"/>
        <v>P2.7</v>
      </c>
    </row>
    <row r="163" spans="2:8">
      <c r="B163" s="226"/>
      <c r="C163" s="156" t="s">
        <v>1687</v>
      </c>
      <c r="D163" s="154" t="s">
        <v>657</v>
      </c>
      <c r="F163" s="149">
        <v>2</v>
      </c>
      <c r="G163" s="155" t="str">
        <f t="shared" si="6"/>
        <v>P3</v>
      </c>
      <c r="H163" s="152" t="str">
        <f t="shared" si="7"/>
        <v>P3.0</v>
      </c>
    </row>
    <row r="164" spans="2:8">
      <c r="B164" s="226"/>
      <c r="C164" s="156" t="s">
        <v>1687</v>
      </c>
      <c r="D164" s="154" t="s">
        <v>658</v>
      </c>
      <c r="F164" s="149">
        <v>2</v>
      </c>
      <c r="G164" s="155" t="str">
        <f t="shared" si="6"/>
        <v>P3</v>
      </c>
      <c r="H164" s="152" t="str">
        <f t="shared" si="7"/>
        <v>P3.1</v>
      </c>
    </row>
    <row r="165" spans="2:8">
      <c r="B165" s="226"/>
      <c r="C165" s="156" t="s">
        <v>1687</v>
      </c>
      <c r="D165" s="154" t="s">
        <v>659</v>
      </c>
      <c r="F165" s="149">
        <v>2</v>
      </c>
      <c r="G165" s="155" t="str">
        <f t="shared" si="6"/>
        <v>P3</v>
      </c>
      <c r="H165" s="152" t="str">
        <f t="shared" si="7"/>
        <v>P3.2</v>
      </c>
    </row>
    <row r="166" spans="2:8">
      <c r="B166" s="226"/>
      <c r="C166" s="156" t="s">
        <v>1687</v>
      </c>
      <c r="D166" s="154" t="s">
        <v>1451</v>
      </c>
      <c r="F166" s="149">
        <v>2</v>
      </c>
      <c r="G166" s="155" t="str">
        <f t="shared" si="6"/>
        <v>P3</v>
      </c>
      <c r="H166" s="152" t="str">
        <f t="shared" si="7"/>
        <v>P3.3</v>
      </c>
    </row>
    <row r="167" spans="2:8">
      <c r="B167" s="226"/>
      <c r="C167" s="156" t="s">
        <v>1687</v>
      </c>
      <c r="D167" s="154" t="s">
        <v>641</v>
      </c>
      <c r="F167" s="149">
        <v>2</v>
      </c>
      <c r="G167" s="155" t="str">
        <f t="shared" si="6"/>
        <v>P3</v>
      </c>
      <c r="H167" s="152" t="str">
        <f t="shared" si="7"/>
        <v>P3.4</v>
      </c>
    </row>
    <row r="168" spans="2:8">
      <c r="B168" s="226"/>
      <c r="C168" s="156" t="s">
        <v>1687</v>
      </c>
      <c r="D168" s="154" t="s">
        <v>642</v>
      </c>
      <c r="F168" s="149">
        <v>2</v>
      </c>
      <c r="G168" s="155" t="str">
        <f t="shared" si="6"/>
        <v>P3</v>
      </c>
      <c r="H168" s="152" t="str">
        <f t="shared" si="7"/>
        <v>P3.5</v>
      </c>
    </row>
    <row r="169" spans="2:8">
      <c r="B169" s="226"/>
      <c r="C169" s="156" t="s">
        <v>1687</v>
      </c>
      <c r="D169" s="154" t="s">
        <v>643</v>
      </c>
      <c r="F169" s="149">
        <v>2</v>
      </c>
      <c r="G169" s="155" t="str">
        <f t="shared" si="6"/>
        <v>P3</v>
      </c>
      <c r="H169" s="152" t="str">
        <f t="shared" si="7"/>
        <v>P3.6</v>
      </c>
    </row>
    <row r="170" spans="2:8">
      <c r="B170" s="226"/>
      <c r="C170" s="156" t="s">
        <v>1687</v>
      </c>
      <c r="D170" s="154" t="s">
        <v>1452</v>
      </c>
      <c r="F170" s="149">
        <v>2</v>
      </c>
      <c r="G170" s="155" t="str">
        <f t="shared" si="6"/>
        <v>P3</v>
      </c>
      <c r="H170" s="152" t="str">
        <f t="shared" si="7"/>
        <v>P3.7</v>
      </c>
    </row>
    <row r="171" spans="2:8">
      <c r="B171" s="226"/>
      <c r="C171" s="156" t="s">
        <v>1688</v>
      </c>
      <c r="D171" s="154" t="s">
        <v>644</v>
      </c>
      <c r="F171" s="149">
        <v>2</v>
      </c>
      <c r="G171" s="155" t="str">
        <f t="shared" si="6"/>
        <v>P4</v>
      </c>
      <c r="H171" s="152" t="str">
        <f t="shared" si="7"/>
        <v>P4.0</v>
      </c>
    </row>
    <row r="172" spans="2:8">
      <c r="B172" s="226"/>
      <c r="C172" s="156" t="s">
        <v>1688</v>
      </c>
      <c r="D172" s="154" t="s">
        <v>645</v>
      </c>
      <c r="F172" s="149">
        <v>2</v>
      </c>
      <c r="G172" s="155" t="str">
        <f t="shared" si="6"/>
        <v>P4</v>
      </c>
      <c r="H172" s="152" t="str">
        <f t="shared" si="7"/>
        <v>P4.1</v>
      </c>
    </row>
    <row r="173" spans="2:8">
      <c r="B173" s="226"/>
      <c r="C173" s="156" t="s">
        <v>1688</v>
      </c>
      <c r="D173" s="154" t="s">
        <v>646</v>
      </c>
      <c r="F173" s="149">
        <v>2</v>
      </c>
      <c r="G173" s="155" t="str">
        <f t="shared" si="6"/>
        <v>P4</v>
      </c>
      <c r="H173" s="152" t="str">
        <f t="shared" si="7"/>
        <v>P4.2</v>
      </c>
    </row>
    <row r="174" spans="2:8">
      <c r="B174" s="226"/>
      <c r="C174" s="156" t="s">
        <v>1688</v>
      </c>
      <c r="D174" s="154" t="s">
        <v>1453</v>
      </c>
      <c r="F174" s="149">
        <v>2</v>
      </c>
      <c r="G174" s="155" t="str">
        <f t="shared" si="6"/>
        <v>P4</v>
      </c>
      <c r="H174" s="152" t="str">
        <f t="shared" si="7"/>
        <v>P4.3</v>
      </c>
    </row>
    <row r="175" spans="2:8">
      <c r="B175" s="226"/>
      <c r="C175" s="156" t="s">
        <v>1688</v>
      </c>
      <c r="D175" s="154" t="s">
        <v>669</v>
      </c>
      <c r="F175" s="149">
        <v>2</v>
      </c>
      <c r="G175" s="155" t="str">
        <f t="shared" si="6"/>
        <v>P4</v>
      </c>
      <c r="H175" s="152" t="str">
        <f t="shared" si="7"/>
        <v>P4.4</v>
      </c>
    </row>
    <row r="176" spans="2:8">
      <c r="B176" s="226"/>
      <c r="C176" s="156" t="s">
        <v>1688</v>
      </c>
      <c r="D176" s="154" t="s">
        <v>670</v>
      </c>
      <c r="F176" s="149">
        <v>2</v>
      </c>
      <c r="G176" s="155" t="str">
        <f t="shared" si="6"/>
        <v>P4</v>
      </c>
      <c r="H176" s="152" t="str">
        <f t="shared" si="7"/>
        <v>P4.5</v>
      </c>
    </row>
    <row r="177" spans="2:8">
      <c r="B177" s="226"/>
      <c r="C177" s="156" t="s">
        <v>1688</v>
      </c>
      <c r="D177" s="154" t="s">
        <v>671</v>
      </c>
      <c r="F177" s="149">
        <v>2</v>
      </c>
      <c r="G177" s="155" t="str">
        <f t="shared" si="6"/>
        <v>P4</v>
      </c>
      <c r="H177" s="152" t="str">
        <f t="shared" si="7"/>
        <v>P4.6</v>
      </c>
    </row>
    <row r="178" spans="2:8">
      <c r="B178" s="226"/>
      <c r="C178" s="156" t="s">
        <v>1688</v>
      </c>
      <c r="D178" s="154" t="s">
        <v>672</v>
      </c>
      <c r="F178" s="149">
        <v>2</v>
      </c>
      <c r="G178" s="155" t="str">
        <f t="shared" si="6"/>
        <v>P4</v>
      </c>
      <c r="H178" s="152" t="str">
        <f t="shared" si="7"/>
        <v>P4.7</v>
      </c>
    </row>
    <row r="179" spans="2:8">
      <c r="B179" s="226"/>
      <c r="C179" s="156" t="s">
        <v>1689</v>
      </c>
      <c r="D179" s="154" t="s">
        <v>663</v>
      </c>
      <c r="F179" s="149">
        <v>2</v>
      </c>
      <c r="G179" s="155" t="str">
        <f t="shared" si="6"/>
        <v>P5</v>
      </c>
      <c r="H179" s="152" t="str">
        <f t="shared" si="7"/>
        <v>P5.0</v>
      </c>
    </row>
    <row r="180" spans="2:8">
      <c r="B180" s="226"/>
      <c r="C180" s="156" t="s">
        <v>1689</v>
      </c>
      <c r="D180" s="154" t="s">
        <v>664</v>
      </c>
      <c r="F180" s="149">
        <v>2</v>
      </c>
      <c r="G180" s="155" t="str">
        <f t="shared" si="6"/>
        <v>P5</v>
      </c>
      <c r="H180" s="152" t="str">
        <f t="shared" si="7"/>
        <v>P5.1</v>
      </c>
    </row>
    <row r="181" spans="2:8">
      <c r="B181" s="226"/>
      <c r="C181" s="156" t="s">
        <v>1689</v>
      </c>
      <c r="D181" s="154" t="s">
        <v>647</v>
      </c>
      <c r="F181" s="149">
        <v>2</v>
      </c>
      <c r="G181" s="155" t="str">
        <f t="shared" si="6"/>
        <v>P5</v>
      </c>
      <c r="H181" s="152" t="str">
        <f t="shared" si="7"/>
        <v>P5.2</v>
      </c>
    </row>
    <row r="182" spans="2:8">
      <c r="B182" s="226"/>
      <c r="C182" s="156" t="s">
        <v>1689</v>
      </c>
      <c r="D182" s="154" t="s">
        <v>648</v>
      </c>
      <c r="F182" s="149">
        <v>2</v>
      </c>
      <c r="G182" s="155" t="str">
        <f t="shared" si="6"/>
        <v>P5</v>
      </c>
      <c r="H182" s="152" t="str">
        <f t="shared" si="7"/>
        <v>P5.3</v>
      </c>
    </row>
    <row r="183" spans="2:8">
      <c r="B183" s="226"/>
      <c r="C183" s="156" t="s">
        <v>1689</v>
      </c>
      <c r="D183" s="154" t="s">
        <v>649</v>
      </c>
      <c r="F183" s="149">
        <v>2</v>
      </c>
      <c r="G183" s="155" t="str">
        <f t="shared" si="6"/>
        <v>P5</v>
      </c>
      <c r="H183" s="152" t="str">
        <f t="shared" si="7"/>
        <v>P5.4</v>
      </c>
    </row>
    <row r="184" spans="2:8">
      <c r="B184" s="226"/>
      <c r="C184" s="156" t="s">
        <v>1689</v>
      </c>
      <c r="D184" s="154" t="s">
        <v>650</v>
      </c>
      <c r="F184" s="149">
        <v>2</v>
      </c>
      <c r="G184" s="155" t="str">
        <f t="shared" si="6"/>
        <v>P5</v>
      </c>
      <c r="H184" s="152" t="str">
        <f t="shared" si="7"/>
        <v>P5.5</v>
      </c>
    </row>
    <row r="185" spans="2:8">
      <c r="B185" s="226"/>
      <c r="C185" s="156" t="s">
        <v>1689</v>
      </c>
      <c r="D185" s="154" t="s">
        <v>651</v>
      </c>
      <c r="F185" s="149">
        <v>2</v>
      </c>
      <c r="G185" s="155" t="str">
        <f t="shared" si="6"/>
        <v>P5</v>
      </c>
      <c r="H185" s="152" t="str">
        <f t="shared" si="7"/>
        <v>P5.6</v>
      </c>
    </row>
    <row r="186" spans="2:8">
      <c r="B186" s="226"/>
      <c r="C186" s="156" t="s">
        <v>1689</v>
      </c>
      <c r="D186" s="154" t="s">
        <v>652</v>
      </c>
      <c r="F186" s="149">
        <v>2</v>
      </c>
      <c r="G186" s="155" t="str">
        <f t="shared" si="6"/>
        <v>P5</v>
      </c>
      <c r="H186" s="152" t="str">
        <f t="shared" si="7"/>
        <v>P5.7</v>
      </c>
    </row>
    <row r="187" spans="2:8">
      <c r="B187" s="226"/>
      <c r="C187" s="156" t="s">
        <v>1690</v>
      </c>
      <c r="D187" s="154" t="s">
        <v>617</v>
      </c>
      <c r="F187" s="149">
        <v>2</v>
      </c>
      <c r="G187" s="155" t="str">
        <f t="shared" si="6"/>
        <v>P6</v>
      </c>
      <c r="H187" s="152" t="str">
        <f t="shared" si="7"/>
        <v>P6.0</v>
      </c>
    </row>
    <row r="188" spans="2:8">
      <c r="B188" s="226"/>
      <c r="C188" s="156" t="s">
        <v>1690</v>
      </c>
      <c r="D188" s="154" t="s">
        <v>618</v>
      </c>
      <c r="F188" s="149">
        <v>2</v>
      </c>
      <c r="G188" s="155" t="str">
        <f t="shared" si="6"/>
        <v>P6</v>
      </c>
      <c r="H188" s="152" t="str">
        <f t="shared" si="7"/>
        <v>P6.1</v>
      </c>
    </row>
    <row r="189" spans="2:8">
      <c r="B189" s="226"/>
      <c r="C189" s="156" t="s">
        <v>1690</v>
      </c>
      <c r="D189" s="154" t="s">
        <v>619</v>
      </c>
      <c r="F189" s="149">
        <v>2</v>
      </c>
      <c r="G189" s="155" t="str">
        <f t="shared" si="6"/>
        <v>P6</v>
      </c>
      <c r="H189" s="152" t="str">
        <f t="shared" si="7"/>
        <v>P6.2</v>
      </c>
    </row>
    <row r="190" spans="2:8">
      <c r="B190" s="226"/>
      <c r="C190" s="156" t="s">
        <v>1690</v>
      </c>
      <c r="D190" s="154" t="s">
        <v>620</v>
      </c>
      <c r="F190" s="149">
        <v>2</v>
      </c>
      <c r="G190" s="155" t="str">
        <f t="shared" si="6"/>
        <v>P6</v>
      </c>
      <c r="H190" s="152" t="str">
        <f t="shared" si="7"/>
        <v>P6.3</v>
      </c>
    </row>
    <row r="191" spans="2:8">
      <c r="B191" s="226"/>
      <c r="C191" s="156" t="s">
        <v>1690</v>
      </c>
      <c r="D191" s="154" t="s">
        <v>621</v>
      </c>
      <c r="F191" s="149">
        <v>2</v>
      </c>
      <c r="G191" s="155" t="str">
        <f t="shared" si="6"/>
        <v>P6</v>
      </c>
      <c r="H191" s="152" t="str">
        <f t="shared" si="7"/>
        <v>P6.4</v>
      </c>
    </row>
    <row r="192" spans="2:8">
      <c r="B192" s="226"/>
      <c r="C192" s="156" t="s">
        <v>1690</v>
      </c>
      <c r="D192" s="154" t="s">
        <v>622</v>
      </c>
      <c r="F192" s="149">
        <v>2</v>
      </c>
      <c r="G192" s="155" t="str">
        <f t="shared" si="6"/>
        <v>P6</v>
      </c>
      <c r="H192" s="152" t="str">
        <f t="shared" si="7"/>
        <v>P6.5</v>
      </c>
    </row>
    <row r="193" spans="2:8">
      <c r="B193" s="226"/>
      <c r="C193" s="156" t="s">
        <v>1690</v>
      </c>
      <c r="D193" s="154" t="s">
        <v>623</v>
      </c>
      <c r="F193" s="149">
        <v>2</v>
      </c>
      <c r="G193" s="155" t="str">
        <f t="shared" si="6"/>
        <v>P6</v>
      </c>
      <c r="H193" s="152" t="str">
        <f t="shared" si="7"/>
        <v>P6.6</v>
      </c>
    </row>
    <row r="194" spans="2:8">
      <c r="B194" s="226"/>
      <c r="C194" s="156" t="s">
        <v>1690</v>
      </c>
      <c r="D194" s="154" t="s">
        <v>624</v>
      </c>
      <c r="F194" s="149">
        <v>2</v>
      </c>
      <c r="G194" s="155" t="str">
        <f t="shared" si="6"/>
        <v>P6</v>
      </c>
      <c r="H194" s="152" t="str">
        <f t="shared" si="7"/>
        <v>P6.7</v>
      </c>
    </row>
    <row r="195" spans="2:8">
      <c r="B195" s="226"/>
      <c r="C195" s="156" t="s">
        <v>1691</v>
      </c>
      <c r="D195" s="154" t="s">
        <v>637</v>
      </c>
      <c r="F195" s="149">
        <v>2</v>
      </c>
      <c r="G195" s="155" t="str">
        <f t="shared" si="6"/>
        <v>P7</v>
      </c>
      <c r="H195" s="152" t="str">
        <f t="shared" si="7"/>
        <v>P7.0</v>
      </c>
    </row>
    <row r="196" spans="2:8">
      <c r="B196" s="226"/>
      <c r="C196" s="156" t="s">
        <v>1691</v>
      </c>
      <c r="D196" s="154" t="s">
        <v>638</v>
      </c>
      <c r="F196" s="149">
        <v>2</v>
      </c>
      <c r="G196" s="155" t="str">
        <f t="shared" si="6"/>
        <v>P7</v>
      </c>
      <c r="H196" s="152" t="str">
        <f t="shared" si="7"/>
        <v>P7.1</v>
      </c>
    </row>
    <row r="197" spans="2:8">
      <c r="B197" s="226"/>
      <c r="C197" s="156" t="s">
        <v>1691</v>
      </c>
      <c r="D197" s="154" t="s">
        <v>639</v>
      </c>
      <c r="F197" s="149">
        <v>2</v>
      </c>
      <c r="G197" s="155" t="str">
        <f t="shared" si="6"/>
        <v>P7</v>
      </c>
      <c r="H197" s="152" t="str">
        <f t="shared" si="7"/>
        <v>P7.2</v>
      </c>
    </row>
    <row r="198" spans="2:8">
      <c r="B198" s="226"/>
      <c r="C198" s="156" t="s">
        <v>1691</v>
      </c>
      <c r="D198" s="154" t="s">
        <v>640</v>
      </c>
      <c r="F198" s="149">
        <v>2</v>
      </c>
      <c r="G198" s="155" t="str">
        <f t="shared" si="6"/>
        <v>P7</v>
      </c>
      <c r="H198" s="152" t="str">
        <f t="shared" si="7"/>
        <v>P7.3</v>
      </c>
    </row>
    <row r="199" spans="2:8">
      <c r="B199" s="226"/>
      <c r="C199" s="156" t="s">
        <v>1691</v>
      </c>
      <c r="D199" s="154" t="s">
        <v>653</v>
      </c>
      <c r="F199" s="149">
        <v>2</v>
      </c>
      <c r="G199" s="155" t="str">
        <f t="shared" si="6"/>
        <v>P7</v>
      </c>
      <c r="H199" s="152" t="str">
        <f t="shared" si="7"/>
        <v>P7.4</v>
      </c>
    </row>
    <row r="200" spans="2:8">
      <c r="B200" s="226"/>
      <c r="C200" s="156" t="s">
        <v>1691</v>
      </c>
      <c r="D200" s="154" t="s">
        <v>654</v>
      </c>
      <c r="F200" s="149">
        <v>2</v>
      </c>
      <c r="G200" s="155" t="str">
        <f t="shared" si="6"/>
        <v>P7</v>
      </c>
      <c r="H200" s="152" t="str">
        <f t="shared" si="7"/>
        <v>P7.5</v>
      </c>
    </row>
    <row r="201" spans="2:8">
      <c r="B201" s="226"/>
      <c r="C201" s="156" t="s">
        <v>1691</v>
      </c>
      <c r="D201" s="154" t="s">
        <v>655</v>
      </c>
      <c r="F201" s="149">
        <v>2</v>
      </c>
      <c r="G201" s="155" t="str">
        <f t="shared" si="6"/>
        <v>P7</v>
      </c>
      <c r="H201" s="152" t="str">
        <f t="shared" si="7"/>
        <v>P7.6</v>
      </c>
    </row>
    <row r="202" spans="2:8">
      <c r="B202" s="226"/>
      <c r="C202" s="156" t="s">
        <v>1691</v>
      </c>
      <c r="D202" s="154" t="s">
        <v>656</v>
      </c>
      <c r="F202" s="149">
        <v>2</v>
      </c>
      <c r="G202" s="155" t="str">
        <f t="shared" si="6"/>
        <v>P7</v>
      </c>
      <c r="H202" s="152" t="str">
        <f t="shared" si="7"/>
        <v>P7.7</v>
      </c>
    </row>
    <row r="203" spans="2:8">
      <c r="B203" s="226"/>
      <c r="C203" s="156" t="s">
        <v>1692</v>
      </c>
      <c r="D203" s="154" t="s">
        <v>625</v>
      </c>
      <c r="F203" s="149">
        <v>2</v>
      </c>
      <c r="G203" s="155" t="str">
        <f t="shared" si="6"/>
        <v>P8</v>
      </c>
      <c r="H203" s="152" t="str">
        <f t="shared" si="7"/>
        <v>P8.0</v>
      </c>
    </row>
    <row r="204" spans="2:8">
      <c r="B204" s="226"/>
      <c r="C204" s="156" t="s">
        <v>1692</v>
      </c>
      <c r="D204" s="154" t="s">
        <v>626</v>
      </c>
      <c r="F204" s="149">
        <v>2</v>
      </c>
      <c r="G204" s="155" t="str">
        <f t="shared" si="6"/>
        <v>P8</v>
      </c>
      <c r="H204" s="152" t="str">
        <f t="shared" si="7"/>
        <v>P8.1</v>
      </c>
    </row>
    <row r="205" spans="2:8">
      <c r="B205" s="226"/>
      <c r="C205" s="156" t="s">
        <v>1692</v>
      </c>
      <c r="D205" s="154" t="s">
        <v>627</v>
      </c>
      <c r="F205" s="149">
        <v>2</v>
      </c>
      <c r="G205" s="155" t="str">
        <f t="shared" si="6"/>
        <v>P8</v>
      </c>
      <c r="H205" s="152" t="str">
        <f t="shared" si="7"/>
        <v>P8.2</v>
      </c>
    </row>
    <row r="206" spans="2:8">
      <c r="B206" s="226"/>
      <c r="C206" s="156" t="s">
        <v>1692</v>
      </c>
      <c r="D206" s="154" t="s">
        <v>628</v>
      </c>
      <c r="F206" s="149">
        <v>2</v>
      </c>
      <c r="G206" s="155" t="str">
        <f t="shared" si="6"/>
        <v>P8</v>
      </c>
      <c r="H206" s="152" t="str">
        <f t="shared" si="7"/>
        <v>P8.3</v>
      </c>
    </row>
    <row r="207" spans="2:8">
      <c r="B207" s="226"/>
      <c r="C207" s="156" t="s">
        <v>1692</v>
      </c>
      <c r="D207" s="154" t="s">
        <v>629</v>
      </c>
      <c r="F207" s="149">
        <v>2</v>
      </c>
      <c r="G207" s="155" t="str">
        <f t="shared" si="6"/>
        <v>P8</v>
      </c>
      <c r="H207" s="152" t="str">
        <f t="shared" si="7"/>
        <v>P8.4</v>
      </c>
    </row>
    <row r="208" spans="2:8">
      <c r="B208" s="226"/>
      <c r="C208" s="156" t="s">
        <v>1692</v>
      </c>
      <c r="D208" s="154" t="s">
        <v>630</v>
      </c>
      <c r="F208" s="149">
        <v>2</v>
      </c>
      <c r="G208" s="155" t="str">
        <f t="shared" si="6"/>
        <v>P8</v>
      </c>
      <c r="H208" s="152" t="str">
        <f t="shared" si="7"/>
        <v>P8.5</v>
      </c>
    </row>
    <row r="209" spans="2:8">
      <c r="B209" s="226"/>
      <c r="C209" s="156" t="s">
        <v>1692</v>
      </c>
      <c r="D209" s="154" t="s">
        <v>631</v>
      </c>
      <c r="F209" s="149">
        <v>2</v>
      </c>
      <c r="G209" s="155" t="str">
        <f t="shared" si="6"/>
        <v>P8</v>
      </c>
      <c r="H209" s="152" t="str">
        <f t="shared" si="7"/>
        <v>P8.6</v>
      </c>
    </row>
    <row r="210" spans="2:8">
      <c r="B210" s="226"/>
      <c r="C210" s="156" t="s">
        <v>1692</v>
      </c>
      <c r="D210" s="154" t="s">
        <v>632</v>
      </c>
      <c r="F210" s="149">
        <v>2</v>
      </c>
      <c r="G210" s="155" t="str">
        <f t="shared" si="6"/>
        <v>P8</v>
      </c>
      <c r="H210" s="152" t="str">
        <f t="shared" si="7"/>
        <v>P8.7</v>
      </c>
    </row>
    <row r="211" spans="2:8">
      <c r="B211" s="226" t="s">
        <v>1592</v>
      </c>
      <c r="C211" s="156" t="s">
        <v>1693</v>
      </c>
      <c r="D211" s="154" t="s">
        <v>461</v>
      </c>
      <c r="F211" s="149">
        <v>2</v>
      </c>
      <c r="G211" s="155" t="str">
        <f t="shared" si="6"/>
        <v>IRQ</v>
      </c>
      <c r="H211" s="152" t="str">
        <f t="shared" si="7"/>
        <v>IRQ00</v>
      </c>
    </row>
    <row r="212" spans="2:8">
      <c r="B212" s="226"/>
      <c r="C212" s="156" t="s">
        <v>1693</v>
      </c>
      <c r="D212" s="154" t="s">
        <v>463</v>
      </c>
      <c r="F212" s="149">
        <v>2</v>
      </c>
      <c r="G212" s="155" t="str">
        <f t="shared" ref="G212:G275" si="8">C212</f>
        <v>IRQ</v>
      </c>
      <c r="H212" s="152" t="str">
        <f t="shared" ref="H212:H275" si="9">IF(F212=1,C212&amp;"_"&amp;D212,D212)</f>
        <v>IRQ01</v>
      </c>
    </row>
    <row r="213" spans="2:8">
      <c r="B213" s="226"/>
      <c r="C213" s="156" t="s">
        <v>1693</v>
      </c>
      <c r="D213" s="154" t="s">
        <v>466</v>
      </c>
      <c r="F213" s="149">
        <v>2</v>
      </c>
      <c r="G213" s="155" t="str">
        <f t="shared" si="8"/>
        <v>IRQ</v>
      </c>
      <c r="H213" s="152" t="str">
        <f t="shared" si="9"/>
        <v>IRQ02</v>
      </c>
    </row>
    <row r="214" spans="2:8">
      <c r="B214" s="226"/>
      <c r="C214" s="156" t="s">
        <v>1693</v>
      </c>
      <c r="D214" s="154" t="s">
        <v>469</v>
      </c>
      <c r="F214" s="149">
        <v>2</v>
      </c>
      <c r="G214" s="155" t="str">
        <f t="shared" si="8"/>
        <v>IRQ</v>
      </c>
      <c r="H214" s="152" t="str">
        <f t="shared" si="9"/>
        <v>IRQ03</v>
      </c>
    </row>
    <row r="215" spans="2:8">
      <c r="B215" s="226"/>
      <c r="C215" s="156" t="s">
        <v>1693</v>
      </c>
      <c r="D215" s="154" t="s">
        <v>472</v>
      </c>
      <c r="F215" s="149">
        <v>2</v>
      </c>
      <c r="G215" s="155" t="str">
        <f t="shared" si="8"/>
        <v>IRQ</v>
      </c>
      <c r="H215" s="152" t="str">
        <f t="shared" si="9"/>
        <v>IRQ04</v>
      </c>
    </row>
    <row r="216" spans="2:8">
      <c r="B216" s="226"/>
      <c r="C216" s="156" t="s">
        <v>1693</v>
      </c>
      <c r="D216" s="154" t="s">
        <v>475</v>
      </c>
      <c r="F216" s="149">
        <v>2</v>
      </c>
      <c r="G216" s="155" t="str">
        <f t="shared" si="8"/>
        <v>IRQ</v>
      </c>
      <c r="H216" s="152" t="str">
        <f t="shared" si="9"/>
        <v>IRQ05</v>
      </c>
    </row>
    <row r="217" spans="2:8">
      <c r="B217" s="226"/>
      <c r="C217" s="156" t="s">
        <v>1693</v>
      </c>
      <c r="D217" s="154" t="s">
        <v>478</v>
      </c>
      <c r="F217" s="149">
        <v>2</v>
      </c>
      <c r="G217" s="155" t="str">
        <f t="shared" si="8"/>
        <v>IRQ</v>
      </c>
      <c r="H217" s="152" t="str">
        <f t="shared" si="9"/>
        <v>IRQ06</v>
      </c>
    </row>
    <row r="218" spans="2:8">
      <c r="B218" s="226"/>
      <c r="C218" s="156" t="s">
        <v>1693</v>
      </c>
      <c r="D218" s="154" t="s">
        <v>481</v>
      </c>
      <c r="F218" s="149">
        <v>2</v>
      </c>
      <c r="G218" s="155" t="str">
        <f t="shared" si="8"/>
        <v>IRQ</v>
      </c>
      <c r="H218" s="152" t="str">
        <f t="shared" si="9"/>
        <v>IRQ07</v>
      </c>
    </row>
    <row r="219" spans="2:8">
      <c r="B219" s="226"/>
      <c r="C219" s="156" t="s">
        <v>1693</v>
      </c>
      <c r="D219" s="154" t="s">
        <v>528</v>
      </c>
      <c r="F219" s="149">
        <v>2</v>
      </c>
      <c r="G219" s="155" t="str">
        <f t="shared" si="8"/>
        <v>IRQ</v>
      </c>
      <c r="H219" s="152" t="str">
        <f t="shared" si="9"/>
        <v>IRQ08</v>
      </c>
    </row>
    <row r="220" spans="2:8">
      <c r="B220" s="226"/>
      <c r="C220" s="156" t="s">
        <v>1693</v>
      </c>
      <c r="D220" s="154" t="s">
        <v>530</v>
      </c>
      <c r="F220" s="149">
        <v>2</v>
      </c>
      <c r="G220" s="155" t="str">
        <f t="shared" si="8"/>
        <v>IRQ</v>
      </c>
      <c r="H220" s="152" t="str">
        <f t="shared" si="9"/>
        <v>IRQ09</v>
      </c>
    </row>
    <row r="221" spans="2:8">
      <c r="B221" s="226"/>
      <c r="C221" s="156" t="s">
        <v>1693</v>
      </c>
      <c r="D221" s="154" t="s">
        <v>532</v>
      </c>
      <c r="F221" s="149">
        <v>2</v>
      </c>
      <c r="G221" s="155" t="str">
        <f t="shared" si="8"/>
        <v>IRQ</v>
      </c>
      <c r="H221" s="152" t="str">
        <f t="shared" si="9"/>
        <v>IRQ10</v>
      </c>
    </row>
    <row r="222" spans="2:8">
      <c r="B222" s="226"/>
      <c r="C222" s="156" t="s">
        <v>1693</v>
      </c>
      <c r="D222" s="154" t="s">
        <v>535</v>
      </c>
      <c r="F222" s="149">
        <v>2</v>
      </c>
      <c r="G222" s="155" t="str">
        <f t="shared" si="8"/>
        <v>IRQ</v>
      </c>
      <c r="H222" s="152" t="str">
        <f t="shared" si="9"/>
        <v>IRQ11</v>
      </c>
    </row>
    <row r="223" spans="2:8">
      <c r="B223" s="226"/>
      <c r="C223" s="156" t="s">
        <v>1693</v>
      </c>
      <c r="D223" s="154" t="s">
        <v>537</v>
      </c>
      <c r="F223" s="149">
        <v>2</v>
      </c>
      <c r="G223" s="155" t="str">
        <f t="shared" si="8"/>
        <v>IRQ</v>
      </c>
      <c r="H223" s="152" t="str">
        <f t="shared" si="9"/>
        <v>IRQ12</v>
      </c>
    </row>
    <row r="224" spans="2:8">
      <c r="B224" s="226"/>
      <c r="C224" s="156" t="s">
        <v>1693</v>
      </c>
      <c r="D224" s="154" t="s">
        <v>539</v>
      </c>
      <c r="F224" s="149">
        <v>2</v>
      </c>
      <c r="G224" s="155" t="str">
        <f t="shared" si="8"/>
        <v>IRQ</v>
      </c>
      <c r="H224" s="152" t="str">
        <f t="shared" si="9"/>
        <v>IRQ13</v>
      </c>
    </row>
    <row r="225" spans="2:8">
      <c r="B225" s="226"/>
      <c r="C225" s="156" t="s">
        <v>1693</v>
      </c>
      <c r="D225" s="154" t="s">
        <v>591</v>
      </c>
      <c r="F225" s="149">
        <v>2</v>
      </c>
      <c r="G225" s="155" t="str">
        <f t="shared" si="8"/>
        <v>IRQ</v>
      </c>
      <c r="H225" s="152" t="str">
        <f t="shared" si="9"/>
        <v>IRQ14</v>
      </c>
    </row>
    <row r="226" spans="2:8">
      <c r="B226" s="226"/>
      <c r="C226" s="156" t="s">
        <v>1693</v>
      </c>
      <c r="D226" s="154" t="s">
        <v>594</v>
      </c>
      <c r="F226" s="149">
        <v>2</v>
      </c>
      <c r="G226" s="155" t="str">
        <f t="shared" si="8"/>
        <v>IRQ</v>
      </c>
      <c r="H226" s="152" t="str">
        <f t="shared" si="9"/>
        <v>IRQ15</v>
      </c>
    </row>
    <row r="227" spans="2:8">
      <c r="B227" s="230" t="s">
        <v>1694</v>
      </c>
      <c r="C227" s="156" t="s">
        <v>1675</v>
      </c>
      <c r="D227" s="154" t="s">
        <v>1536</v>
      </c>
      <c r="F227" s="149">
        <v>1</v>
      </c>
      <c r="G227" s="155" t="str">
        <f t="shared" si="8"/>
        <v>SPI0</v>
      </c>
      <c r="H227" s="157" t="str">
        <f t="shared" si="9"/>
        <v>SPI0_SBO0</v>
      </c>
    </row>
    <row r="228" spans="2:8">
      <c r="B228" s="230"/>
      <c r="C228" s="156" t="s">
        <v>1675</v>
      </c>
      <c r="D228" s="161" t="s">
        <v>1539</v>
      </c>
      <c r="F228" s="149">
        <v>1</v>
      </c>
      <c r="G228" s="155" t="str">
        <f t="shared" si="8"/>
        <v>SPI0</v>
      </c>
      <c r="H228" s="157" t="str">
        <f t="shared" si="9"/>
        <v>SPI0_SBI0</v>
      </c>
    </row>
    <row r="229" spans="2:8">
      <c r="B229" s="230"/>
      <c r="C229" s="156" t="s">
        <v>1675</v>
      </c>
      <c r="D229" s="161" t="s">
        <v>1541</v>
      </c>
      <c r="F229" s="149">
        <v>1</v>
      </c>
      <c r="G229" s="155" t="str">
        <f t="shared" si="8"/>
        <v>SPI0</v>
      </c>
      <c r="H229" s="157" t="str">
        <f t="shared" si="9"/>
        <v>SPI0_SBT0</v>
      </c>
    </row>
    <row r="230" spans="2:8">
      <c r="B230" s="230"/>
      <c r="C230" s="156" t="s">
        <v>1675</v>
      </c>
      <c r="D230" s="161" t="s">
        <v>1543</v>
      </c>
      <c r="F230" s="149">
        <v>1</v>
      </c>
      <c r="G230" s="155" t="str">
        <f t="shared" si="8"/>
        <v>SPI0</v>
      </c>
      <c r="H230" s="157" t="str">
        <f t="shared" si="9"/>
        <v>SPI0_SBCS0</v>
      </c>
    </row>
    <row r="231" spans="2:8">
      <c r="B231" s="230"/>
      <c r="C231" s="156" t="s">
        <v>1676</v>
      </c>
      <c r="D231" s="161" t="s">
        <v>1554</v>
      </c>
      <c r="F231" s="149">
        <v>1</v>
      </c>
      <c r="G231" s="155" t="str">
        <f t="shared" si="8"/>
        <v>SPI1</v>
      </c>
      <c r="H231" s="157" t="str">
        <f t="shared" si="9"/>
        <v>SPI1_SBO1</v>
      </c>
    </row>
    <row r="232" spans="2:8">
      <c r="B232" s="230"/>
      <c r="C232" s="156" t="s">
        <v>1676</v>
      </c>
      <c r="D232" s="161" t="s">
        <v>1557</v>
      </c>
      <c r="F232" s="149">
        <v>1</v>
      </c>
      <c r="G232" s="155" t="str">
        <f t="shared" si="8"/>
        <v>SPI1</v>
      </c>
      <c r="H232" s="157" t="str">
        <f t="shared" si="9"/>
        <v>SPI1_SBI1</v>
      </c>
    </row>
    <row r="233" spans="2:8">
      <c r="B233" s="230"/>
      <c r="C233" s="156" t="s">
        <v>1676</v>
      </c>
      <c r="D233" s="161" t="s">
        <v>1558</v>
      </c>
      <c r="F233" s="149">
        <v>1</v>
      </c>
      <c r="G233" s="155" t="str">
        <f t="shared" si="8"/>
        <v>SPI1</v>
      </c>
      <c r="H233" s="157" t="str">
        <f t="shared" si="9"/>
        <v>SPI1_SBT1</v>
      </c>
    </row>
    <row r="234" spans="2:8">
      <c r="B234" s="230"/>
      <c r="C234" s="156" t="s">
        <v>1676</v>
      </c>
      <c r="D234" s="161" t="s">
        <v>1560</v>
      </c>
      <c r="F234" s="149">
        <v>1</v>
      </c>
      <c r="G234" s="155" t="str">
        <f t="shared" si="8"/>
        <v>SPI1</v>
      </c>
      <c r="H234" s="157" t="str">
        <f t="shared" si="9"/>
        <v>SPI1_SBCS1</v>
      </c>
    </row>
    <row r="235" spans="2:8">
      <c r="B235" s="230"/>
      <c r="C235" s="156" t="s">
        <v>1015</v>
      </c>
      <c r="D235" s="161" t="s">
        <v>1544</v>
      </c>
      <c r="F235" s="149">
        <v>1</v>
      </c>
      <c r="G235" s="155" t="str">
        <f t="shared" si="8"/>
        <v>SPI2</v>
      </c>
      <c r="H235" s="157" t="str">
        <f t="shared" si="9"/>
        <v>SPI2_SBO2</v>
      </c>
    </row>
    <row r="236" spans="2:8">
      <c r="B236" s="230"/>
      <c r="C236" s="156" t="s">
        <v>1015</v>
      </c>
      <c r="D236" s="161" t="s">
        <v>728</v>
      </c>
      <c r="F236" s="149">
        <v>1</v>
      </c>
      <c r="G236" s="155" t="str">
        <f t="shared" si="8"/>
        <v>SPI2</v>
      </c>
      <c r="H236" s="157" t="str">
        <f t="shared" si="9"/>
        <v>SPI2_SBI2</v>
      </c>
    </row>
    <row r="237" spans="2:8">
      <c r="B237" s="230"/>
      <c r="C237" s="156" t="s">
        <v>1015</v>
      </c>
      <c r="D237" s="161" t="s">
        <v>1546</v>
      </c>
      <c r="F237" s="149">
        <v>1</v>
      </c>
      <c r="G237" s="155" t="str">
        <f t="shared" si="8"/>
        <v>SPI2</v>
      </c>
      <c r="H237" s="157" t="str">
        <f t="shared" si="9"/>
        <v>SPI2_SBT2</v>
      </c>
    </row>
    <row r="238" spans="2:8">
      <c r="B238" s="230"/>
      <c r="C238" s="156" t="s">
        <v>1015</v>
      </c>
      <c r="D238" s="161" t="s">
        <v>1547</v>
      </c>
      <c r="F238" s="149">
        <v>1</v>
      </c>
      <c r="G238" s="155" t="str">
        <f t="shared" si="8"/>
        <v>SPI2</v>
      </c>
      <c r="H238" s="157" t="str">
        <f t="shared" si="9"/>
        <v>SPI2_SBCS2</v>
      </c>
    </row>
    <row r="239" spans="2:8">
      <c r="B239" s="230"/>
      <c r="C239" s="156" t="s">
        <v>715</v>
      </c>
      <c r="D239" s="161" t="s">
        <v>1548</v>
      </c>
      <c r="F239" s="149">
        <v>1</v>
      </c>
      <c r="G239" s="155" t="str">
        <f t="shared" si="8"/>
        <v>SPI3</v>
      </c>
      <c r="H239" s="157" t="str">
        <f t="shared" si="9"/>
        <v>SPI3_SBO3</v>
      </c>
    </row>
    <row r="240" spans="2:8">
      <c r="B240" s="230"/>
      <c r="C240" s="156" t="s">
        <v>715</v>
      </c>
      <c r="D240" s="161" t="s">
        <v>730</v>
      </c>
      <c r="F240" s="149">
        <v>1</v>
      </c>
      <c r="G240" s="155" t="str">
        <f t="shared" si="8"/>
        <v>SPI3</v>
      </c>
      <c r="H240" s="157" t="str">
        <f t="shared" si="9"/>
        <v>SPI3_SBI3</v>
      </c>
    </row>
    <row r="241" spans="2:8">
      <c r="B241" s="230"/>
      <c r="C241" s="156" t="s">
        <v>715</v>
      </c>
      <c r="D241" s="161" t="s">
        <v>1550</v>
      </c>
      <c r="F241" s="149">
        <v>1</v>
      </c>
      <c r="G241" s="155" t="str">
        <f t="shared" si="8"/>
        <v>SPI3</v>
      </c>
      <c r="H241" s="157" t="str">
        <f t="shared" si="9"/>
        <v>SPI3_SBT3</v>
      </c>
    </row>
    <row r="242" spans="2:8">
      <c r="B242" s="230"/>
      <c r="C242" s="156" t="s">
        <v>715</v>
      </c>
      <c r="D242" s="161" t="s">
        <v>1551</v>
      </c>
      <c r="F242" s="149">
        <v>1</v>
      </c>
      <c r="G242" s="155" t="str">
        <f t="shared" si="8"/>
        <v>SPI3</v>
      </c>
      <c r="H242" s="157" t="str">
        <f t="shared" si="9"/>
        <v>SPI3_SBCS3</v>
      </c>
    </row>
    <row r="243" spans="2:8">
      <c r="B243" s="230"/>
      <c r="C243" s="156" t="s">
        <v>748</v>
      </c>
      <c r="D243" s="161" t="s">
        <v>1561</v>
      </c>
      <c r="F243" s="149">
        <v>1</v>
      </c>
      <c r="G243" s="155" t="str">
        <f t="shared" si="8"/>
        <v>SPI4</v>
      </c>
      <c r="H243" s="157" t="str">
        <f t="shared" si="9"/>
        <v>SPI4_SBO4</v>
      </c>
    </row>
    <row r="244" spans="2:8">
      <c r="B244" s="230"/>
      <c r="C244" s="156" t="s">
        <v>748</v>
      </c>
      <c r="D244" s="161" t="s">
        <v>1563</v>
      </c>
      <c r="F244" s="149">
        <v>1</v>
      </c>
      <c r="G244" s="155" t="str">
        <f t="shared" si="8"/>
        <v>SPI4</v>
      </c>
      <c r="H244" s="157" t="str">
        <f t="shared" si="9"/>
        <v>SPI4_SBI4</v>
      </c>
    </row>
    <row r="245" spans="2:8">
      <c r="B245" s="230"/>
      <c r="C245" s="156" t="s">
        <v>748</v>
      </c>
      <c r="D245" s="161" t="s">
        <v>1565</v>
      </c>
      <c r="F245" s="149">
        <v>1</v>
      </c>
      <c r="G245" s="155" t="str">
        <f t="shared" si="8"/>
        <v>SPI4</v>
      </c>
      <c r="H245" s="157" t="str">
        <f t="shared" si="9"/>
        <v>SPI4_SBT4</v>
      </c>
    </row>
    <row r="246" spans="2:8">
      <c r="B246" s="230"/>
      <c r="C246" s="156" t="s">
        <v>748</v>
      </c>
      <c r="D246" s="161" t="s">
        <v>1566</v>
      </c>
      <c r="F246" s="149">
        <v>1</v>
      </c>
      <c r="G246" s="155" t="str">
        <f t="shared" si="8"/>
        <v>SPI4</v>
      </c>
      <c r="H246" s="157" t="str">
        <f t="shared" si="9"/>
        <v>SPI4_SBCS4</v>
      </c>
    </row>
    <row r="247" spans="2:8">
      <c r="B247" s="230"/>
      <c r="C247" s="156" t="s">
        <v>749</v>
      </c>
      <c r="D247" s="161" t="s">
        <v>1567</v>
      </c>
      <c r="F247" s="149">
        <v>1</v>
      </c>
      <c r="G247" s="155" t="str">
        <f t="shared" si="8"/>
        <v>SPI5</v>
      </c>
      <c r="H247" s="157" t="str">
        <f t="shared" si="9"/>
        <v>SPI5_SBO5</v>
      </c>
    </row>
    <row r="248" spans="2:8">
      <c r="B248" s="230"/>
      <c r="C248" s="156" t="s">
        <v>749</v>
      </c>
      <c r="D248" s="161" t="s">
        <v>733</v>
      </c>
      <c r="F248" s="149">
        <v>1</v>
      </c>
      <c r="G248" s="155" t="str">
        <f t="shared" si="8"/>
        <v>SPI5</v>
      </c>
      <c r="H248" s="157" t="str">
        <f t="shared" si="9"/>
        <v>SPI5_SBI5</v>
      </c>
    </row>
    <row r="249" spans="2:8">
      <c r="B249" s="230"/>
      <c r="C249" s="156" t="s">
        <v>749</v>
      </c>
      <c r="D249" s="161" t="s">
        <v>1571</v>
      </c>
      <c r="F249" s="149">
        <v>1</v>
      </c>
      <c r="G249" s="155" t="str">
        <f t="shared" si="8"/>
        <v>SPI5</v>
      </c>
      <c r="H249" s="157" t="str">
        <f t="shared" si="9"/>
        <v>SPI5_SBT5</v>
      </c>
    </row>
    <row r="250" spans="2:8">
      <c r="B250" s="230"/>
      <c r="C250" s="156" t="s">
        <v>750</v>
      </c>
      <c r="D250" s="161" t="s">
        <v>1572</v>
      </c>
      <c r="F250" s="149">
        <v>1</v>
      </c>
      <c r="G250" s="155" t="str">
        <f t="shared" si="8"/>
        <v>SPI6</v>
      </c>
      <c r="H250" s="157" t="str">
        <f t="shared" si="9"/>
        <v>SPI6_SBO6</v>
      </c>
    </row>
    <row r="251" spans="2:8">
      <c r="B251" s="230"/>
      <c r="C251" s="156" t="s">
        <v>750</v>
      </c>
      <c r="D251" s="161" t="s">
        <v>1574</v>
      </c>
      <c r="F251" s="149">
        <v>1</v>
      </c>
      <c r="G251" s="155" t="str">
        <f t="shared" si="8"/>
        <v>SPI6</v>
      </c>
      <c r="H251" s="157" t="str">
        <f t="shared" si="9"/>
        <v>SPI6_SBI6</v>
      </c>
    </row>
    <row r="252" spans="2:8">
      <c r="B252" s="230"/>
      <c r="C252" s="156" t="s">
        <v>750</v>
      </c>
      <c r="D252" s="161" t="s">
        <v>1575</v>
      </c>
      <c r="F252" s="149">
        <v>1</v>
      </c>
      <c r="G252" s="155" t="str">
        <f t="shared" si="8"/>
        <v>SPI6</v>
      </c>
      <c r="H252" s="157" t="str">
        <f t="shared" si="9"/>
        <v>SPI6_SBT6</v>
      </c>
    </row>
    <row r="253" spans="2:8">
      <c r="B253" s="226" t="s">
        <v>1695</v>
      </c>
      <c r="C253" s="156" t="s">
        <v>1696</v>
      </c>
      <c r="D253" s="161" t="s">
        <v>1537</v>
      </c>
      <c r="F253" s="149">
        <v>1</v>
      </c>
      <c r="G253" s="155" t="str">
        <f t="shared" si="8"/>
        <v>UART0</v>
      </c>
      <c r="H253" s="157" t="str">
        <f t="shared" si="9"/>
        <v>UART0_TX0</v>
      </c>
    </row>
    <row r="254" spans="2:8">
      <c r="B254" s="226"/>
      <c r="C254" s="156" t="s">
        <v>1696</v>
      </c>
      <c r="D254" s="161" t="s">
        <v>1540</v>
      </c>
      <c r="F254" s="149">
        <v>1</v>
      </c>
      <c r="G254" s="155" t="str">
        <f t="shared" si="8"/>
        <v>UART0</v>
      </c>
      <c r="H254" s="157" t="str">
        <f t="shared" si="9"/>
        <v>UART0_RX0</v>
      </c>
    </row>
    <row r="255" spans="2:8">
      <c r="B255" s="226"/>
      <c r="C255" s="156" t="s">
        <v>1697</v>
      </c>
      <c r="D255" s="161" t="s">
        <v>1555</v>
      </c>
      <c r="F255" s="149">
        <v>1</v>
      </c>
      <c r="G255" s="155" t="str">
        <f t="shared" si="8"/>
        <v>UART1</v>
      </c>
      <c r="H255" s="157" t="str">
        <f t="shared" si="9"/>
        <v>UART1_TX1</v>
      </c>
    </row>
    <row r="256" spans="2:8">
      <c r="B256" s="226"/>
      <c r="C256" s="156" t="s">
        <v>1697</v>
      </c>
      <c r="D256" s="161" t="s">
        <v>727</v>
      </c>
      <c r="F256" s="149">
        <v>1</v>
      </c>
      <c r="G256" s="155" t="str">
        <f t="shared" si="8"/>
        <v>UART1</v>
      </c>
      <c r="H256" s="157" t="str">
        <f t="shared" si="9"/>
        <v>UART1_RX1</v>
      </c>
    </row>
    <row r="257" spans="2:8">
      <c r="B257" s="226"/>
      <c r="C257" s="156" t="s">
        <v>751</v>
      </c>
      <c r="D257" s="161" t="s">
        <v>1545</v>
      </c>
      <c r="F257" s="149">
        <v>1</v>
      </c>
      <c r="G257" s="155" t="str">
        <f t="shared" si="8"/>
        <v>UART2</v>
      </c>
      <c r="H257" s="157" t="str">
        <f t="shared" si="9"/>
        <v>UART2_TX2</v>
      </c>
    </row>
    <row r="258" spans="2:8">
      <c r="B258" s="226"/>
      <c r="C258" s="156" t="s">
        <v>751</v>
      </c>
      <c r="D258" s="161" t="s">
        <v>729</v>
      </c>
      <c r="F258" s="149">
        <v>1</v>
      </c>
      <c r="G258" s="155" t="str">
        <f t="shared" si="8"/>
        <v>UART2</v>
      </c>
      <c r="H258" s="157" t="str">
        <f t="shared" si="9"/>
        <v>UART2_RX2</v>
      </c>
    </row>
    <row r="259" spans="2:8">
      <c r="B259" s="226"/>
      <c r="C259" s="156" t="s">
        <v>716</v>
      </c>
      <c r="D259" s="161" t="s">
        <v>1549</v>
      </c>
      <c r="F259" s="149">
        <v>1</v>
      </c>
      <c r="G259" s="155" t="str">
        <f t="shared" si="8"/>
        <v>UART3</v>
      </c>
      <c r="H259" s="157" t="str">
        <f t="shared" si="9"/>
        <v>UART3_TX3</v>
      </c>
    </row>
    <row r="260" spans="2:8">
      <c r="B260" s="226"/>
      <c r="C260" s="156" t="s">
        <v>716</v>
      </c>
      <c r="D260" s="161" t="s">
        <v>731</v>
      </c>
      <c r="F260" s="149">
        <v>1</v>
      </c>
      <c r="G260" s="155" t="str">
        <f t="shared" si="8"/>
        <v>UART3</v>
      </c>
      <c r="H260" s="157" t="str">
        <f t="shared" si="9"/>
        <v>UART3_RX3</v>
      </c>
    </row>
    <row r="261" spans="2:8">
      <c r="B261" s="226"/>
      <c r="C261" s="156" t="s">
        <v>752</v>
      </c>
      <c r="D261" s="161" t="s">
        <v>1562</v>
      </c>
      <c r="F261" s="149">
        <v>1</v>
      </c>
      <c r="G261" s="155" t="str">
        <f t="shared" si="8"/>
        <v>UART4</v>
      </c>
      <c r="H261" s="157" t="str">
        <f t="shared" si="9"/>
        <v>UART4_TX4</v>
      </c>
    </row>
    <row r="262" spans="2:8">
      <c r="B262" s="226"/>
      <c r="C262" s="156" t="s">
        <v>752</v>
      </c>
      <c r="D262" s="161" t="s">
        <v>1564</v>
      </c>
      <c r="F262" s="149">
        <v>1</v>
      </c>
      <c r="G262" s="155" t="str">
        <f t="shared" si="8"/>
        <v>UART4</v>
      </c>
      <c r="H262" s="157" t="str">
        <f t="shared" si="9"/>
        <v>UART4_RX4</v>
      </c>
    </row>
    <row r="263" spans="2:8">
      <c r="B263" s="226"/>
      <c r="C263" s="156" t="s">
        <v>753</v>
      </c>
      <c r="D263" s="161" t="s">
        <v>1568</v>
      </c>
      <c r="F263" s="149">
        <v>1</v>
      </c>
      <c r="G263" s="155" t="str">
        <f t="shared" si="8"/>
        <v>UART5</v>
      </c>
      <c r="H263" s="157" t="str">
        <f t="shared" si="9"/>
        <v>UART5_TX5</v>
      </c>
    </row>
    <row r="264" spans="2:8">
      <c r="B264" s="226"/>
      <c r="C264" s="156" t="s">
        <v>753</v>
      </c>
      <c r="D264" s="161" t="s">
        <v>734</v>
      </c>
      <c r="F264" s="149">
        <v>1</v>
      </c>
      <c r="G264" s="155" t="str">
        <f t="shared" si="8"/>
        <v>UART5</v>
      </c>
      <c r="H264" s="157" t="str">
        <f t="shared" si="9"/>
        <v>UART5_RX5</v>
      </c>
    </row>
    <row r="265" spans="2:8">
      <c r="B265" s="226"/>
      <c r="C265" s="156" t="s">
        <v>754</v>
      </c>
      <c r="D265" s="161" t="s">
        <v>1573</v>
      </c>
      <c r="F265" s="149">
        <v>1</v>
      </c>
      <c r="G265" s="155" t="str">
        <f t="shared" si="8"/>
        <v>UART6</v>
      </c>
      <c r="H265" s="157" t="str">
        <f t="shared" si="9"/>
        <v>UART6_TX6</v>
      </c>
    </row>
    <row r="266" spans="2:8">
      <c r="B266" s="226"/>
      <c r="C266" s="156" t="s">
        <v>754</v>
      </c>
      <c r="D266" s="161" t="s">
        <v>732</v>
      </c>
      <c r="F266" s="149">
        <v>1</v>
      </c>
      <c r="G266" s="155" t="str">
        <f t="shared" si="8"/>
        <v>UART6</v>
      </c>
      <c r="H266" s="157" t="str">
        <f t="shared" si="9"/>
        <v>UART6_RX6</v>
      </c>
    </row>
    <row r="267" spans="2:8">
      <c r="B267" s="226" t="s">
        <v>1698</v>
      </c>
      <c r="C267" s="156" t="s">
        <v>1677</v>
      </c>
      <c r="D267" s="161" t="s">
        <v>1538</v>
      </c>
      <c r="F267" s="149">
        <v>1</v>
      </c>
      <c r="G267" s="160" t="str">
        <f t="shared" si="8"/>
        <v>I2C0</v>
      </c>
      <c r="H267" s="157" t="str">
        <f t="shared" si="9"/>
        <v>I2C0_SDA0</v>
      </c>
    </row>
    <row r="268" spans="2:8">
      <c r="B268" s="226"/>
      <c r="C268" s="156" t="s">
        <v>1677</v>
      </c>
      <c r="D268" s="161" t="s">
        <v>1542</v>
      </c>
      <c r="F268" s="149">
        <v>1</v>
      </c>
      <c r="G268" s="160" t="str">
        <f t="shared" si="8"/>
        <v>I2C0</v>
      </c>
      <c r="H268" s="157" t="str">
        <f t="shared" si="9"/>
        <v>I2C0_SCL0</v>
      </c>
    </row>
    <row r="269" spans="2:8">
      <c r="B269" s="226"/>
      <c r="C269" s="156" t="s">
        <v>1678</v>
      </c>
      <c r="D269" s="161" t="s">
        <v>1556</v>
      </c>
      <c r="F269" s="149">
        <v>1</v>
      </c>
      <c r="G269" s="160" t="str">
        <f t="shared" si="8"/>
        <v>I2C1</v>
      </c>
      <c r="H269" s="157" t="str">
        <f t="shared" si="9"/>
        <v>I2C1_SDA1</v>
      </c>
    </row>
    <row r="270" spans="2:8">
      <c r="B270" s="226"/>
      <c r="C270" s="156" t="s">
        <v>1678</v>
      </c>
      <c r="D270" s="161" t="s">
        <v>1559</v>
      </c>
      <c r="F270" s="149">
        <v>1</v>
      </c>
      <c r="G270" s="160" t="str">
        <f t="shared" si="8"/>
        <v>I2C1</v>
      </c>
      <c r="H270" s="157" t="str">
        <f t="shared" si="9"/>
        <v>I2C1_SCL1</v>
      </c>
    </row>
    <row r="271" spans="2:8">
      <c r="B271" s="226" t="s">
        <v>1699</v>
      </c>
      <c r="C271" s="156" t="s">
        <v>1699</v>
      </c>
      <c r="D271" s="161" t="s">
        <v>1569</v>
      </c>
      <c r="F271" s="149">
        <v>1</v>
      </c>
      <c r="G271" s="155" t="str">
        <f t="shared" si="8"/>
        <v>LIN</v>
      </c>
      <c r="H271" s="152" t="str">
        <f t="shared" si="9"/>
        <v>LIN_LTX</v>
      </c>
    </row>
    <row r="272" spans="2:8">
      <c r="B272" s="226"/>
      <c r="C272" s="156" t="s">
        <v>1699</v>
      </c>
      <c r="D272" s="161" t="s">
        <v>1570</v>
      </c>
      <c r="F272" s="149">
        <v>1</v>
      </c>
      <c r="G272" s="155" t="str">
        <f t="shared" si="8"/>
        <v>LIN</v>
      </c>
      <c r="H272" s="152" t="str">
        <f t="shared" si="9"/>
        <v>LIN_LRX</v>
      </c>
    </row>
    <row r="273" spans="2:8">
      <c r="B273" s="226" t="s">
        <v>1622</v>
      </c>
      <c r="C273" s="156" t="s">
        <v>1700</v>
      </c>
      <c r="D273" s="161" t="s">
        <v>1552</v>
      </c>
      <c r="F273" s="149">
        <v>1</v>
      </c>
      <c r="G273" s="155" t="str">
        <f t="shared" si="8"/>
        <v>CAN</v>
      </c>
      <c r="H273" s="152" t="str">
        <f t="shared" si="9"/>
        <v>CAN_CTX</v>
      </c>
    </row>
    <row r="274" spans="2:8">
      <c r="B274" s="226"/>
      <c r="C274" s="156" t="s">
        <v>1700</v>
      </c>
      <c r="D274" s="161" t="s">
        <v>1553</v>
      </c>
      <c r="F274" s="149">
        <v>1</v>
      </c>
      <c r="G274" s="155" t="str">
        <f t="shared" si="8"/>
        <v>CAN</v>
      </c>
      <c r="H274" s="152" t="str">
        <f t="shared" si="9"/>
        <v>CAN_CRX</v>
      </c>
    </row>
    <row r="275" spans="2:8">
      <c r="B275" s="162" t="s">
        <v>1621</v>
      </c>
      <c r="C275" s="156" t="s">
        <v>1702</v>
      </c>
      <c r="D275" s="161" t="s">
        <v>1576</v>
      </c>
      <c r="F275" s="149">
        <v>2</v>
      </c>
      <c r="G275" s="160" t="str">
        <f t="shared" si="8"/>
        <v>RTC</v>
      </c>
      <c r="H275" s="157" t="str">
        <f t="shared" si="9"/>
        <v>RTCOUT</v>
      </c>
    </row>
    <row r="276" spans="2:8">
      <c r="B276" s="231" t="s">
        <v>1603</v>
      </c>
      <c r="C276" s="156" t="s">
        <v>1703</v>
      </c>
      <c r="D276" s="161" t="s">
        <v>1609</v>
      </c>
      <c r="F276" s="149">
        <v>1</v>
      </c>
      <c r="G276" s="155" t="str">
        <f t="shared" ref="G276:G299" si="10">C276</f>
        <v>GPWM0</v>
      </c>
      <c r="H276" s="152" t="str">
        <f t="shared" ref="H276:H299" si="11">IF(F276=1,C276&amp;"_"&amp;D276,D276)</f>
        <v>GPWM0_GPWMBCST0</v>
      </c>
    </row>
    <row r="277" spans="2:8">
      <c r="B277" s="231"/>
      <c r="C277" s="156" t="s">
        <v>742</v>
      </c>
      <c r="D277" s="161" t="s">
        <v>1610</v>
      </c>
      <c r="F277" s="149">
        <v>1</v>
      </c>
      <c r="G277" s="155" t="str">
        <f t="shared" si="10"/>
        <v>GPWM1</v>
      </c>
      <c r="H277" s="152" t="str">
        <f t="shared" si="11"/>
        <v>GPWM1_GPWMBCST1</v>
      </c>
    </row>
    <row r="278" spans="2:8">
      <c r="B278" s="231"/>
      <c r="C278" s="156" t="s">
        <v>743</v>
      </c>
      <c r="D278" s="161" t="s">
        <v>1611</v>
      </c>
      <c r="F278" s="149">
        <v>1</v>
      </c>
      <c r="G278" s="155" t="str">
        <f t="shared" si="10"/>
        <v>GPWM2</v>
      </c>
      <c r="H278" s="152" t="str">
        <f t="shared" si="11"/>
        <v>GPWM2_GPWMBCST2</v>
      </c>
    </row>
    <row r="279" spans="2:8">
      <c r="B279" s="231"/>
      <c r="C279" s="156" t="s">
        <v>744</v>
      </c>
      <c r="D279" s="161" t="s">
        <v>1612</v>
      </c>
      <c r="F279" s="149">
        <v>1</v>
      </c>
      <c r="G279" s="155" t="str">
        <f t="shared" si="10"/>
        <v>GPWM3</v>
      </c>
      <c r="H279" s="152" t="str">
        <f t="shared" si="11"/>
        <v>GPWM3_GPWMBCST3</v>
      </c>
    </row>
    <row r="280" spans="2:8">
      <c r="B280" s="231"/>
      <c r="C280" s="156" t="s">
        <v>745</v>
      </c>
      <c r="D280" s="161" t="s">
        <v>1613</v>
      </c>
      <c r="F280" s="149">
        <v>1</v>
      </c>
      <c r="G280" s="155" t="str">
        <f t="shared" si="10"/>
        <v>GPWM4</v>
      </c>
      <c r="H280" s="152" t="str">
        <f t="shared" si="11"/>
        <v>GPWM4_GPWMBCST4</v>
      </c>
    </row>
    <row r="281" spans="2:8">
      <c r="B281" s="231"/>
      <c r="C281" s="156" t="s">
        <v>746</v>
      </c>
      <c r="D281" s="161" t="s">
        <v>1614</v>
      </c>
      <c r="F281" s="149">
        <v>1</v>
      </c>
      <c r="G281" s="155" t="str">
        <f t="shared" si="10"/>
        <v>GPWM5</v>
      </c>
      <c r="H281" s="152" t="str">
        <f t="shared" si="11"/>
        <v>GPWM5_GPWMBCST5</v>
      </c>
    </row>
    <row r="282" spans="2:8">
      <c r="B282" s="231"/>
      <c r="C282" s="156" t="s">
        <v>747</v>
      </c>
      <c r="D282" s="161" t="s">
        <v>1615</v>
      </c>
      <c r="F282" s="149">
        <v>1</v>
      </c>
      <c r="G282" s="155" t="str">
        <f t="shared" si="10"/>
        <v>GPWM6</v>
      </c>
      <c r="H282" s="152" t="str">
        <f t="shared" si="11"/>
        <v>GPWM6_GPWMBCST6</v>
      </c>
    </row>
    <row r="283" spans="2:8">
      <c r="B283" s="231"/>
      <c r="C283" s="156" t="s">
        <v>714</v>
      </c>
      <c r="D283" s="161" t="s">
        <v>1616</v>
      </c>
      <c r="F283" s="149">
        <v>1</v>
      </c>
      <c r="G283" s="155" t="str">
        <f t="shared" si="10"/>
        <v>GPWM7</v>
      </c>
      <c r="H283" s="152" t="str">
        <f t="shared" si="11"/>
        <v>GPWM7_GPWMBCST7</v>
      </c>
    </row>
    <row r="284" spans="2:8">
      <c r="B284" s="231" t="s">
        <v>1604</v>
      </c>
      <c r="C284" s="156" t="s">
        <v>1680</v>
      </c>
      <c r="D284" s="161" t="s">
        <v>1617</v>
      </c>
      <c r="F284" s="149">
        <v>2</v>
      </c>
      <c r="G284" s="155" t="str">
        <f t="shared" si="10"/>
        <v>AD</v>
      </c>
      <c r="H284" s="152" t="str">
        <f t="shared" si="11"/>
        <v>ADSTATE0</v>
      </c>
    </row>
    <row r="285" spans="2:8">
      <c r="B285" s="231"/>
      <c r="C285" s="156" t="s">
        <v>1680</v>
      </c>
      <c r="D285" s="161" t="s">
        <v>1618</v>
      </c>
      <c r="F285" s="149">
        <v>2</v>
      </c>
      <c r="G285" s="155" t="str">
        <f t="shared" si="10"/>
        <v>AD</v>
      </c>
      <c r="H285" s="152" t="str">
        <f t="shared" si="11"/>
        <v>ADSTATE1</v>
      </c>
    </row>
    <row r="286" spans="2:8">
      <c r="B286" s="231"/>
      <c r="C286" s="156" t="s">
        <v>1680</v>
      </c>
      <c r="D286" s="161" t="s">
        <v>1619</v>
      </c>
      <c r="F286" s="149">
        <v>2</v>
      </c>
      <c r="G286" s="155" t="str">
        <f t="shared" si="10"/>
        <v>AD</v>
      </c>
      <c r="H286" s="152" t="str">
        <f t="shared" si="11"/>
        <v>ADSTATE2</v>
      </c>
    </row>
    <row r="287" spans="2:8">
      <c r="B287" s="231" t="s">
        <v>1605</v>
      </c>
      <c r="C287" s="156" t="s">
        <v>1681</v>
      </c>
      <c r="D287" s="161" t="s">
        <v>1577</v>
      </c>
      <c r="F287" s="149">
        <v>1</v>
      </c>
      <c r="G287" s="155" t="str">
        <f t="shared" si="10"/>
        <v>CMP0</v>
      </c>
      <c r="H287" s="152" t="str">
        <f t="shared" si="11"/>
        <v>CMP0_CMPOT00</v>
      </c>
    </row>
    <row r="288" spans="2:8">
      <c r="B288" s="231"/>
      <c r="C288" s="156" t="s">
        <v>1681</v>
      </c>
      <c r="D288" s="161" t="s">
        <v>1578</v>
      </c>
      <c r="F288" s="149">
        <v>1</v>
      </c>
      <c r="G288" s="155" t="str">
        <f t="shared" si="10"/>
        <v>CMP0</v>
      </c>
      <c r="H288" s="152" t="str">
        <f t="shared" si="11"/>
        <v>CMP0_CMPOT01</v>
      </c>
    </row>
    <row r="289" spans="2:8">
      <c r="B289" s="231"/>
      <c r="C289" s="156" t="s">
        <v>1514</v>
      </c>
      <c r="D289" s="161" t="s">
        <v>1579</v>
      </c>
      <c r="F289" s="149">
        <v>1</v>
      </c>
      <c r="G289" s="155" t="str">
        <f t="shared" si="10"/>
        <v>CMP1</v>
      </c>
      <c r="H289" s="152" t="str">
        <f t="shared" si="11"/>
        <v>CMP1_CMPOT10</v>
      </c>
    </row>
    <row r="290" spans="2:8">
      <c r="B290" s="231"/>
      <c r="C290" s="156" t="s">
        <v>1514</v>
      </c>
      <c r="D290" s="161" t="s">
        <v>1580</v>
      </c>
      <c r="F290" s="149">
        <v>1</v>
      </c>
      <c r="G290" s="155" t="str">
        <f t="shared" si="10"/>
        <v>CMP1</v>
      </c>
      <c r="H290" s="152" t="str">
        <f t="shared" si="11"/>
        <v>CMP1_CMPOT11</v>
      </c>
    </row>
    <row r="291" spans="2:8">
      <c r="B291" s="231"/>
      <c r="C291" s="156" t="s">
        <v>1513</v>
      </c>
      <c r="D291" s="161" t="s">
        <v>1581</v>
      </c>
      <c r="F291" s="149">
        <v>1</v>
      </c>
      <c r="G291" s="155" t="str">
        <f t="shared" si="10"/>
        <v>CMP2</v>
      </c>
      <c r="H291" s="152" t="str">
        <f t="shared" si="11"/>
        <v>CMP2_CMPOT20</v>
      </c>
    </row>
    <row r="292" spans="2:8">
      <c r="B292" s="231"/>
      <c r="C292" s="156" t="s">
        <v>1513</v>
      </c>
      <c r="D292" s="161" t="s">
        <v>1582</v>
      </c>
      <c r="F292" s="149">
        <v>1</v>
      </c>
      <c r="G292" s="155" t="str">
        <f t="shared" si="10"/>
        <v>CMP2</v>
      </c>
      <c r="H292" s="152" t="str">
        <f t="shared" si="11"/>
        <v>CMP2_CMPOT21</v>
      </c>
    </row>
    <row r="293" spans="2:8">
      <c r="B293" s="231"/>
      <c r="C293" s="156" t="s">
        <v>1669</v>
      </c>
      <c r="D293" s="161" t="s">
        <v>1583</v>
      </c>
      <c r="F293" s="149">
        <v>1</v>
      </c>
      <c r="G293" s="155" t="str">
        <f t="shared" si="10"/>
        <v>CMP3</v>
      </c>
      <c r="H293" s="152" t="str">
        <f t="shared" si="11"/>
        <v>CMP3_CMPOT30</v>
      </c>
    </row>
    <row r="294" spans="2:8">
      <c r="B294" s="231"/>
      <c r="C294" s="156" t="s">
        <v>1669</v>
      </c>
      <c r="D294" s="161" t="s">
        <v>1584</v>
      </c>
      <c r="F294" s="149">
        <v>1</v>
      </c>
      <c r="G294" s="155" t="str">
        <f t="shared" si="10"/>
        <v>CMP3</v>
      </c>
      <c r="H294" s="152" t="str">
        <f t="shared" si="11"/>
        <v>CMP3_CMPOT31</v>
      </c>
    </row>
    <row r="295" spans="2:8">
      <c r="B295" s="231"/>
      <c r="C295" s="156" t="s">
        <v>1516</v>
      </c>
      <c r="D295" s="161" t="s">
        <v>1585</v>
      </c>
      <c r="F295" s="149">
        <v>1</v>
      </c>
      <c r="G295" s="155" t="str">
        <f t="shared" si="10"/>
        <v>CMP4</v>
      </c>
      <c r="H295" s="152" t="str">
        <f t="shared" si="11"/>
        <v>CMP4_CMPOT40</v>
      </c>
    </row>
    <row r="296" spans="2:8">
      <c r="B296" s="231"/>
      <c r="C296" s="156" t="s">
        <v>1516</v>
      </c>
      <c r="D296" s="161" t="s">
        <v>1586</v>
      </c>
      <c r="F296" s="149">
        <v>1</v>
      </c>
      <c r="G296" s="155" t="str">
        <f t="shared" si="10"/>
        <v>CMP4</v>
      </c>
      <c r="H296" s="152" t="str">
        <f t="shared" si="11"/>
        <v>CMP4_CMPOT41</v>
      </c>
    </row>
    <row r="297" spans="2:8">
      <c r="B297" s="231"/>
      <c r="C297" s="156" t="s">
        <v>1672</v>
      </c>
      <c r="D297" s="161" t="s">
        <v>1587</v>
      </c>
      <c r="F297" s="149">
        <v>1</v>
      </c>
      <c r="G297" s="155" t="str">
        <f t="shared" si="10"/>
        <v>CMP5</v>
      </c>
      <c r="H297" s="152" t="str">
        <f t="shared" si="11"/>
        <v>CMP5_CMPOT50</v>
      </c>
    </row>
    <row r="298" spans="2:8">
      <c r="B298" s="231"/>
      <c r="C298" s="156" t="s">
        <v>1672</v>
      </c>
      <c r="D298" s="161" t="s">
        <v>1588</v>
      </c>
      <c r="F298" s="149">
        <v>1</v>
      </c>
      <c r="G298" s="155" t="str">
        <f t="shared" si="10"/>
        <v>CMP5</v>
      </c>
      <c r="H298" s="152" t="str">
        <f t="shared" si="11"/>
        <v>CMP5_CMPOT51</v>
      </c>
    </row>
    <row r="299" spans="2:8" ht="14.25" thickBot="1">
      <c r="B299" s="163" t="s">
        <v>1606</v>
      </c>
      <c r="C299" s="159" t="s">
        <v>2106</v>
      </c>
      <c r="D299" s="164" t="s">
        <v>1589</v>
      </c>
      <c r="F299" s="149">
        <v>2</v>
      </c>
      <c r="G299" s="189" t="str">
        <f t="shared" si="10"/>
        <v>CLK</v>
      </c>
      <c r="H299" s="190" t="str">
        <f t="shared" si="11"/>
        <v>CLKOUT</v>
      </c>
    </row>
  </sheetData>
  <autoFilter ref="A3:W299"/>
  <mergeCells count="24">
    <mergeCell ref="B276:B283"/>
    <mergeCell ref="B284:B286"/>
    <mergeCell ref="B287:B298"/>
    <mergeCell ref="B227:B252"/>
    <mergeCell ref="B253:B266"/>
    <mergeCell ref="B267:B270"/>
    <mergeCell ref="B271:B272"/>
    <mergeCell ref="B273:B274"/>
    <mergeCell ref="B143:B210"/>
    <mergeCell ref="B211:B226"/>
    <mergeCell ref="B2:B3"/>
    <mergeCell ref="B4:B6"/>
    <mergeCell ref="B7:B8"/>
    <mergeCell ref="B9:B36"/>
    <mergeCell ref="B69:B70"/>
    <mergeCell ref="B71:B96"/>
    <mergeCell ref="B97:B114"/>
    <mergeCell ref="B115:B116"/>
    <mergeCell ref="B117:B142"/>
    <mergeCell ref="C2:C3"/>
    <mergeCell ref="D2:D3"/>
    <mergeCell ref="G2:G3"/>
    <mergeCell ref="H2:H3"/>
    <mergeCell ref="B37:B68"/>
  </mergeCells>
  <phoneticPr fontId="56"/>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B1:J299"/>
  <sheetViews>
    <sheetView zoomScale="130" zoomScaleNormal="130" workbookViewId="0">
      <pane xSplit="3" ySplit="3" topLeftCell="D4" activePane="bottomRight" state="frozen"/>
      <selection activeCell="H40" sqref="H40"/>
      <selection pane="topRight" activeCell="H40" sqref="H40"/>
      <selection pane="bottomLeft" activeCell="H40" sqref="H40"/>
      <selection pane="bottomRight" activeCell="G303" sqref="G303"/>
    </sheetView>
  </sheetViews>
  <sheetFormatPr defaultRowHeight="15.75"/>
  <cols>
    <col min="1" max="1" width="2.7109375" customWidth="1"/>
    <col min="2" max="2" width="19.140625" style="77" customWidth="1"/>
    <col min="3" max="3" width="25.7109375" style="77" bestFit="1" customWidth="1"/>
    <col min="4" max="4" width="35.5703125" style="77" bestFit="1" customWidth="1"/>
    <col min="5" max="5" width="76.7109375" style="77" bestFit="1" customWidth="1"/>
    <col min="6" max="6" width="8.140625" style="77" bestFit="1" customWidth="1"/>
    <col min="7" max="7" width="61.85546875" style="77" bestFit="1" customWidth="1"/>
    <col min="8" max="8" width="25.7109375" style="77" bestFit="1" customWidth="1"/>
    <col min="9" max="9" width="58.140625" style="77" bestFit="1" customWidth="1"/>
    <col min="10" max="10" width="10" style="77" bestFit="1" customWidth="1"/>
  </cols>
  <sheetData>
    <row r="1" spans="2:10" ht="16.5" thickBot="1"/>
    <row r="2" spans="2:10" ht="16.5" thickBot="1">
      <c r="B2" s="232" t="s">
        <v>740</v>
      </c>
      <c r="C2" s="232"/>
      <c r="D2" s="233" t="s">
        <v>1124</v>
      </c>
      <c r="E2" s="234"/>
      <c r="F2" s="235"/>
      <c r="G2" s="236"/>
      <c r="H2" s="237" t="s">
        <v>1021</v>
      </c>
      <c r="I2" s="238"/>
      <c r="J2" s="236"/>
    </row>
    <row r="3" spans="2:10" ht="16.5" thickBot="1">
      <c r="B3" s="83" t="s">
        <v>994</v>
      </c>
      <c r="C3" s="94" t="s">
        <v>995</v>
      </c>
      <c r="D3" s="95" t="s">
        <v>1019</v>
      </c>
      <c r="E3" s="105" t="s">
        <v>1923</v>
      </c>
      <c r="F3" s="95" t="s">
        <v>1016</v>
      </c>
      <c r="G3" s="96" t="s">
        <v>1020</v>
      </c>
      <c r="H3" s="96" t="s">
        <v>1022</v>
      </c>
      <c r="I3" s="96" t="s">
        <v>1023</v>
      </c>
      <c r="J3" s="96" t="s">
        <v>1024</v>
      </c>
    </row>
    <row r="4" spans="2:10" ht="15.75" customHeight="1">
      <c r="B4" s="79" t="str">
        <f>'＠グループ、表示名'!G4</f>
        <v>DBG</v>
      </c>
      <c r="C4" s="79" t="str">
        <f>'＠グループ、表示名'!H4</f>
        <v>DBG_SWDCLK</v>
      </c>
      <c r="D4" s="116" t="s">
        <v>1876</v>
      </c>
      <c r="E4" s="167" t="s">
        <v>1881</v>
      </c>
      <c r="F4" s="168" t="s">
        <v>1041</v>
      </c>
      <c r="G4" s="130" t="s">
        <v>1887</v>
      </c>
      <c r="H4" s="99" t="s">
        <v>1704</v>
      </c>
      <c r="I4" s="131" t="s">
        <v>1887</v>
      </c>
      <c r="J4" s="98" t="str">
        <f>F4</f>
        <v>I</v>
      </c>
    </row>
    <row r="5" spans="2:10" ht="15.75" customHeight="1">
      <c r="B5" s="79" t="str">
        <f>'＠グループ、表示名'!G5</f>
        <v>DBG</v>
      </c>
      <c r="C5" s="79" t="str">
        <f>'＠グループ、表示名'!H5</f>
        <v>DBG_SWDD</v>
      </c>
      <c r="D5" s="79" t="s">
        <v>1877</v>
      </c>
      <c r="E5" s="106" t="s">
        <v>1881</v>
      </c>
      <c r="F5" s="100" t="s">
        <v>1090</v>
      </c>
      <c r="G5" s="170" t="s">
        <v>1888</v>
      </c>
      <c r="H5" s="79" t="s">
        <v>1705</v>
      </c>
      <c r="I5" s="78" t="s">
        <v>1888</v>
      </c>
      <c r="J5" s="97" t="str">
        <f t="shared" ref="J5:J36" si="0">F5</f>
        <v>I/O</v>
      </c>
    </row>
    <row r="6" spans="2:10" ht="15.75" customHeight="1">
      <c r="B6" s="79" t="str">
        <f>'＠グループ、表示名'!G6</f>
        <v>DBG</v>
      </c>
      <c r="C6" s="79" t="str">
        <f>'＠グループ、表示名'!H6</f>
        <v>DBG_TRCSWO</v>
      </c>
      <c r="D6" s="101" t="s">
        <v>1017</v>
      </c>
      <c r="E6" s="172" t="s">
        <v>1881</v>
      </c>
      <c r="F6" s="100" t="s">
        <v>1018</v>
      </c>
      <c r="G6" s="170" t="s">
        <v>1017</v>
      </c>
      <c r="H6" s="101" t="s">
        <v>1127</v>
      </c>
      <c r="I6" s="132" t="s">
        <v>1017</v>
      </c>
      <c r="J6" s="97" t="str">
        <f t="shared" si="0"/>
        <v>O</v>
      </c>
    </row>
    <row r="7" spans="2:10" ht="15.75" customHeight="1">
      <c r="B7" s="79" t="str">
        <f>'＠グループ、表示名'!G7</f>
        <v>OSC</v>
      </c>
      <c r="C7" s="79" t="str">
        <f>'＠グループ、表示名'!H7</f>
        <v>OSCI</v>
      </c>
      <c r="D7" s="171" t="s">
        <v>1879</v>
      </c>
      <c r="E7" s="106" t="s">
        <v>1880</v>
      </c>
      <c r="F7" s="169" t="s">
        <v>1041</v>
      </c>
      <c r="G7" s="170" t="s">
        <v>1882</v>
      </c>
      <c r="H7" s="101" t="s">
        <v>498</v>
      </c>
      <c r="I7" s="132" t="s">
        <v>1882</v>
      </c>
      <c r="J7" s="97" t="str">
        <f t="shared" si="0"/>
        <v>I</v>
      </c>
    </row>
    <row r="8" spans="2:10" ht="15.75" customHeight="1">
      <c r="B8" s="79" t="str">
        <f>'＠グループ、表示名'!G8</f>
        <v>OSC</v>
      </c>
      <c r="C8" s="79" t="str">
        <f>'＠グループ、表示名'!H8</f>
        <v>OSCO</v>
      </c>
      <c r="D8" s="171" t="s">
        <v>1879</v>
      </c>
      <c r="E8" s="106" t="s">
        <v>1880</v>
      </c>
      <c r="F8" s="169" t="s">
        <v>1018</v>
      </c>
      <c r="G8" s="170" t="s">
        <v>1884</v>
      </c>
      <c r="H8" s="101" t="s">
        <v>499</v>
      </c>
      <c r="I8" s="132" t="s">
        <v>1883</v>
      </c>
      <c r="J8" s="97" t="str">
        <f t="shared" si="0"/>
        <v>O</v>
      </c>
    </row>
    <row r="9" spans="2:10" ht="15.75" customHeight="1">
      <c r="B9" s="79" t="str">
        <f>'＠グループ、表示名'!G9</f>
        <v>TM00</v>
      </c>
      <c r="C9" s="79" t="str">
        <f>'＠グループ、表示名'!H9</f>
        <v>TM00A</v>
      </c>
      <c r="D9" s="171" t="s">
        <v>1059</v>
      </c>
      <c r="E9" s="106" t="s">
        <v>1885</v>
      </c>
      <c r="F9" s="100" t="s">
        <v>1090</v>
      </c>
      <c r="G9" s="128" t="s">
        <v>1088</v>
      </c>
      <c r="H9" s="117" t="s">
        <v>467</v>
      </c>
      <c r="I9" s="132" t="s">
        <v>1088</v>
      </c>
      <c r="J9" s="97" t="str">
        <f t="shared" si="0"/>
        <v>I/O</v>
      </c>
    </row>
    <row r="10" spans="2:10" ht="15.75" customHeight="1">
      <c r="B10" s="79" t="str">
        <f>'＠グループ、表示名'!G10</f>
        <v>TM00</v>
      </c>
      <c r="C10" s="79" t="str">
        <f>'＠グループ、表示名'!H10</f>
        <v>TM00B</v>
      </c>
      <c r="D10" s="171" t="s">
        <v>1060</v>
      </c>
      <c r="E10" s="106" t="s">
        <v>1885</v>
      </c>
      <c r="F10" s="100" t="s">
        <v>1090</v>
      </c>
      <c r="G10" s="119" t="s">
        <v>1061</v>
      </c>
      <c r="H10" s="79" t="s">
        <v>470</v>
      </c>
      <c r="I10" s="118" t="s">
        <v>1061</v>
      </c>
      <c r="J10" s="97" t="str">
        <f t="shared" si="0"/>
        <v>I/O</v>
      </c>
    </row>
    <row r="11" spans="2:10" ht="15.75" customHeight="1">
      <c r="B11" s="79" t="str">
        <f>'＠グループ、表示名'!G11</f>
        <v>TM01</v>
      </c>
      <c r="C11" s="79" t="str">
        <f>'＠グループ、表示名'!H11</f>
        <v>TM01A</v>
      </c>
      <c r="D11" s="171" t="s">
        <v>1059</v>
      </c>
      <c r="E11" s="106" t="s">
        <v>1885</v>
      </c>
      <c r="F11" s="100" t="s">
        <v>1090</v>
      </c>
      <c r="G11" s="97" t="s">
        <v>1062</v>
      </c>
      <c r="H11" s="117" t="s">
        <v>473</v>
      </c>
      <c r="I11" s="118" t="s">
        <v>1062</v>
      </c>
      <c r="J11" s="97" t="str">
        <f t="shared" si="0"/>
        <v>I/O</v>
      </c>
    </row>
    <row r="12" spans="2:10" ht="15.75" customHeight="1">
      <c r="B12" s="79" t="str">
        <f>'＠グループ、表示名'!G12</f>
        <v>TM01</v>
      </c>
      <c r="C12" s="79" t="str">
        <f>'＠グループ、表示名'!H12</f>
        <v>TM01B</v>
      </c>
      <c r="D12" s="171" t="s">
        <v>1060</v>
      </c>
      <c r="E12" s="106" t="s">
        <v>1885</v>
      </c>
      <c r="F12" s="100" t="s">
        <v>1090</v>
      </c>
      <c r="G12" s="97" t="s">
        <v>1063</v>
      </c>
      <c r="H12" s="79" t="s">
        <v>476</v>
      </c>
      <c r="I12" s="78" t="s">
        <v>1063</v>
      </c>
      <c r="J12" s="97" t="str">
        <f t="shared" si="0"/>
        <v>I/O</v>
      </c>
    </row>
    <row r="13" spans="2:10" ht="15.75" customHeight="1">
      <c r="B13" s="79" t="str">
        <f>'＠グループ、表示名'!G13</f>
        <v>TM02</v>
      </c>
      <c r="C13" s="79" t="str">
        <f>'＠グループ、表示名'!H13</f>
        <v>TM02A</v>
      </c>
      <c r="D13" s="171" t="s">
        <v>1059</v>
      </c>
      <c r="E13" s="106" t="s">
        <v>1885</v>
      </c>
      <c r="F13" s="100" t="s">
        <v>1090</v>
      </c>
      <c r="G13" s="97" t="s">
        <v>1064</v>
      </c>
      <c r="H13" s="79" t="s">
        <v>479</v>
      </c>
      <c r="I13" s="78" t="s">
        <v>1064</v>
      </c>
      <c r="J13" s="97" t="str">
        <f t="shared" si="0"/>
        <v>I/O</v>
      </c>
    </row>
    <row r="14" spans="2:10" ht="15.75" customHeight="1">
      <c r="B14" s="79" t="str">
        <f>'＠グループ、表示名'!G14</f>
        <v>TM02</v>
      </c>
      <c r="C14" s="79" t="str">
        <f>'＠グループ、表示名'!H14</f>
        <v>TM02B</v>
      </c>
      <c r="D14" s="171" t="s">
        <v>1060</v>
      </c>
      <c r="E14" s="106" t="s">
        <v>1885</v>
      </c>
      <c r="F14" s="100" t="s">
        <v>1090</v>
      </c>
      <c r="G14" s="97" t="s">
        <v>1065</v>
      </c>
      <c r="H14" s="79" t="s">
        <v>482</v>
      </c>
      <c r="I14" s="78" t="s">
        <v>1065</v>
      </c>
      <c r="J14" s="97" t="str">
        <f t="shared" si="0"/>
        <v>I/O</v>
      </c>
    </row>
    <row r="15" spans="2:10" ht="15.75" customHeight="1">
      <c r="B15" s="79" t="str">
        <f>'＠グループ、表示名'!G15</f>
        <v>TM03</v>
      </c>
      <c r="C15" s="79" t="str">
        <f>'＠グループ、表示名'!H15</f>
        <v>TM03A</v>
      </c>
      <c r="D15" s="171" t="s">
        <v>1059</v>
      </c>
      <c r="E15" s="106" t="s">
        <v>1885</v>
      </c>
      <c r="F15" s="100" t="s">
        <v>1090</v>
      </c>
      <c r="G15" s="97" t="s">
        <v>1066</v>
      </c>
      <c r="H15" s="79" t="s">
        <v>485</v>
      </c>
      <c r="I15" s="78" t="s">
        <v>1066</v>
      </c>
      <c r="J15" s="97" t="str">
        <f t="shared" si="0"/>
        <v>I/O</v>
      </c>
    </row>
    <row r="16" spans="2:10" ht="15.75" customHeight="1">
      <c r="B16" s="79" t="str">
        <f>'＠グループ、表示名'!G16</f>
        <v>TM03</v>
      </c>
      <c r="C16" s="79" t="str">
        <f>'＠グループ、表示名'!H16</f>
        <v>TM03B</v>
      </c>
      <c r="D16" s="171" t="s">
        <v>1060</v>
      </c>
      <c r="E16" s="106" t="s">
        <v>1885</v>
      </c>
      <c r="F16" s="100" t="s">
        <v>1090</v>
      </c>
      <c r="G16" s="97" t="s">
        <v>1067</v>
      </c>
      <c r="H16" s="79" t="s">
        <v>487</v>
      </c>
      <c r="I16" s="78" t="s">
        <v>1067</v>
      </c>
      <c r="J16" s="97" t="str">
        <f t="shared" si="0"/>
        <v>I/O</v>
      </c>
    </row>
    <row r="17" spans="2:10" ht="15.75" customHeight="1">
      <c r="B17" s="79" t="str">
        <f>'＠グループ、表示名'!G17</f>
        <v>TM04</v>
      </c>
      <c r="C17" s="79" t="str">
        <f>'＠グループ、表示名'!H17</f>
        <v>TM04A</v>
      </c>
      <c r="D17" s="171" t="s">
        <v>1059</v>
      </c>
      <c r="E17" s="106" t="s">
        <v>1885</v>
      </c>
      <c r="F17" s="100" t="s">
        <v>1090</v>
      </c>
      <c r="G17" s="97" t="s">
        <v>1068</v>
      </c>
      <c r="H17" s="79" t="s">
        <v>489</v>
      </c>
      <c r="I17" s="78" t="s">
        <v>1068</v>
      </c>
      <c r="J17" s="97" t="str">
        <f t="shared" si="0"/>
        <v>I/O</v>
      </c>
    </row>
    <row r="18" spans="2:10" ht="15.75" customHeight="1">
      <c r="B18" s="79" t="str">
        <f>'＠グループ、表示名'!G18</f>
        <v>TM04</v>
      </c>
      <c r="C18" s="79" t="str">
        <f>'＠グループ、表示名'!H18</f>
        <v>TM04B</v>
      </c>
      <c r="D18" s="171" t="s">
        <v>1060</v>
      </c>
      <c r="E18" s="106" t="s">
        <v>1885</v>
      </c>
      <c r="F18" s="100" t="s">
        <v>1090</v>
      </c>
      <c r="G18" s="97" t="s">
        <v>1069</v>
      </c>
      <c r="H18" s="79" t="s">
        <v>491</v>
      </c>
      <c r="I18" s="78" t="s">
        <v>1069</v>
      </c>
      <c r="J18" s="97" t="str">
        <f t="shared" si="0"/>
        <v>I/O</v>
      </c>
    </row>
    <row r="19" spans="2:10" ht="15.75" customHeight="1">
      <c r="B19" s="79" t="str">
        <f>'＠グループ、表示名'!G19</f>
        <v>TM05</v>
      </c>
      <c r="C19" s="79" t="str">
        <f>'＠グループ、表示名'!H19</f>
        <v>TM05A</v>
      </c>
      <c r="D19" s="171" t="s">
        <v>1059</v>
      </c>
      <c r="E19" s="106" t="s">
        <v>1885</v>
      </c>
      <c r="F19" s="100" t="s">
        <v>1090</v>
      </c>
      <c r="G19" s="97" t="s">
        <v>1070</v>
      </c>
      <c r="H19" s="79" t="s">
        <v>493</v>
      </c>
      <c r="I19" s="78" t="s">
        <v>1070</v>
      </c>
      <c r="J19" s="97" t="str">
        <f t="shared" si="0"/>
        <v>I/O</v>
      </c>
    </row>
    <row r="20" spans="2:10" ht="15.75" customHeight="1">
      <c r="B20" s="79" t="str">
        <f>'＠グループ、表示名'!G20</f>
        <v>TM05</v>
      </c>
      <c r="C20" s="79" t="str">
        <f>'＠グループ、表示名'!H20</f>
        <v>TM05B</v>
      </c>
      <c r="D20" s="171" t="s">
        <v>1060</v>
      </c>
      <c r="E20" s="106" t="s">
        <v>1885</v>
      </c>
      <c r="F20" s="100" t="s">
        <v>1090</v>
      </c>
      <c r="G20" s="97" t="s">
        <v>1071</v>
      </c>
      <c r="H20" s="79" t="s">
        <v>495</v>
      </c>
      <c r="I20" s="78" t="s">
        <v>1071</v>
      </c>
      <c r="J20" s="97" t="str">
        <f t="shared" si="0"/>
        <v>I/O</v>
      </c>
    </row>
    <row r="21" spans="2:10" ht="15.75" customHeight="1">
      <c r="B21" s="79" t="str">
        <f>'＠グループ、表示名'!G21</f>
        <v>TM06</v>
      </c>
      <c r="C21" s="79" t="str">
        <f>'＠グループ、表示名'!H21</f>
        <v>TM06A</v>
      </c>
      <c r="D21" s="171" t="s">
        <v>1059</v>
      </c>
      <c r="E21" s="106" t="s">
        <v>1885</v>
      </c>
      <c r="F21" s="100" t="s">
        <v>1090</v>
      </c>
      <c r="G21" s="97" t="s">
        <v>1072</v>
      </c>
      <c r="H21" s="79" t="s">
        <v>518</v>
      </c>
      <c r="I21" s="78" t="s">
        <v>1072</v>
      </c>
      <c r="J21" s="97" t="str">
        <f t="shared" si="0"/>
        <v>I/O</v>
      </c>
    </row>
    <row r="22" spans="2:10" ht="15.75" customHeight="1">
      <c r="B22" s="79" t="str">
        <f>'＠グループ、表示名'!G22</f>
        <v>TM06</v>
      </c>
      <c r="C22" s="79" t="str">
        <f>'＠グループ、表示名'!H22</f>
        <v>TM06B</v>
      </c>
      <c r="D22" s="171" t="s">
        <v>1060</v>
      </c>
      <c r="E22" s="106" t="s">
        <v>1885</v>
      </c>
      <c r="F22" s="100" t="s">
        <v>1090</v>
      </c>
      <c r="G22" s="97" t="s">
        <v>1073</v>
      </c>
      <c r="H22" s="79" t="s">
        <v>520</v>
      </c>
      <c r="I22" s="78" t="s">
        <v>1073</v>
      </c>
      <c r="J22" s="97" t="str">
        <f t="shared" si="0"/>
        <v>I/O</v>
      </c>
    </row>
    <row r="23" spans="2:10" ht="15.75" customHeight="1">
      <c r="B23" s="79" t="str">
        <f>'＠グループ、表示名'!G23</f>
        <v>TM07</v>
      </c>
      <c r="C23" s="79" t="str">
        <f>'＠グループ、表示名'!H23</f>
        <v>TM07A</v>
      </c>
      <c r="D23" s="171" t="s">
        <v>1059</v>
      </c>
      <c r="E23" s="106" t="s">
        <v>1885</v>
      </c>
      <c r="F23" s="100" t="s">
        <v>1090</v>
      </c>
      <c r="G23" s="97" t="s">
        <v>1074</v>
      </c>
      <c r="H23" s="79" t="s">
        <v>533</v>
      </c>
      <c r="I23" s="78" t="s">
        <v>1074</v>
      </c>
      <c r="J23" s="97" t="str">
        <f t="shared" si="0"/>
        <v>I/O</v>
      </c>
    </row>
    <row r="24" spans="2:10" ht="15.75" customHeight="1">
      <c r="B24" s="79" t="str">
        <f>'＠グループ、表示名'!G24</f>
        <v>TM07</v>
      </c>
      <c r="C24" s="79" t="str">
        <f>'＠グループ、表示名'!H24</f>
        <v>TM07B</v>
      </c>
      <c r="D24" s="171" t="s">
        <v>1060</v>
      </c>
      <c r="E24" s="106" t="s">
        <v>1885</v>
      </c>
      <c r="F24" s="100" t="s">
        <v>1090</v>
      </c>
      <c r="G24" s="97" t="s">
        <v>1075</v>
      </c>
      <c r="H24" s="79" t="s">
        <v>536</v>
      </c>
      <c r="I24" s="78" t="s">
        <v>1075</v>
      </c>
      <c r="J24" s="97" t="str">
        <f t="shared" si="0"/>
        <v>I/O</v>
      </c>
    </row>
    <row r="25" spans="2:10" ht="15.75" customHeight="1">
      <c r="B25" s="79" t="str">
        <f>'＠グループ、表示名'!G25</f>
        <v>TM08</v>
      </c>
      <c r="C25" s="79" t="str">
        <f>'＠グループ、表示名'!H25</f>
        <v>TM08A</v>
      </c>
      <c r="D25" s="171" t="s">
        <v>1059</v>
      </c>
      <c r="E25" s="106" t="s">
        <v>1885</v>
      </c>
      <c r="F25" s="100" t="s">
        <v>1090</v>
      </c>
      <c r="G25" s="180" t="s">
        <v>1965</v>
      </c>
      <c r="H25" s="79" t="s">
        <v>538</v>
      </c>
      <c r="I25" s="78" t="s">
        <v>1076</v>
      </c>
      <c r="J25" s="97" t="str">
        <f t="shared" si="0"/>
        <v>I/O</v>
      </c>
    </row>
    <row r="26" spans="2:10" ht="15.75" customHeight="1">
      <c r="B26" s="79" t="str">
        <f>'＠グループ、表示名'!G26</f>
        <v>TM08</v>
      </c>
      <c r="C26" s="79" t="str">
        <f>'＠グループ、表示名'!H26</f>
        <v>TM08B</v>
      </c>
      <c r="D26" s="171" t="s">
        <v>1060</v>
      </c>
      <c r="E26" s="106" t="s">
        <v>1885</v>
      </c>
      <c r="F26" s="100" t="s">
        <v>1090</v>
      </c>
      <c r="G26" s="97" t="s">
        <v>1077</v>
      </c>
      <c r="H26" s="79" t="s">
        <v>540</v>
      </c>
      <c r="I26" s="78" t="s">
        <v>1077</v>
      </c>
      <c r="J26" s="97" t="str">
        <f t="shared" si="0"/>
        <v>I/O</v>
      </c>
    </row>
    <row r="27" spans="2:10" ht="15.75" customHeight="1">
      <c r="B27" s="79" t="str">
        <f>'＠グループ、表示名'!G27</f>
        <v>TM09</v>
      </c>
      <c r="C27" s="79" t="str">
        <f>'＠グループ、表示名'!H27</f>
        <v>TM09A</v>
      </c>
      <c r="D27" s="171" t="s">
        <v>1059</v>
      </c>
      <c r="E27" s="106" t="s">
        <v>1885</v>
      </c>
      <c r="F27" s="100" t="s">
        <v>1090</v>
      </c>
      <c r="G27" s="97" t="s">
        <v>1078</v>
      </c>
      <c r="H27" s="79" t="s">
        <v>542</v>
      </c>
      <c r="I27" s="78" t="s">
        <v>1078</v>
      </c>
      <c r="J27" s="97" t="str">
        <f t="shared" si="0"/>
        <v>I/O</v>
      </c>
    </row>
    <row r="28" spans="2:10" ht="15.75" customHeight="1">
      <c r="B28" s="79" t="str">
        <f>'＠グループ、表示名'!G28</f>
        <v>TM09</v>
      </c>
      <c r="C28" s="79" t="str">
        <f>'＠グループ、表示名'!H28</f>
        <v>TM09B</v>
      </c>
      <c r="D28" s="171" t="s">
        <v>1060</v>
      </c>
      <c r="E28" s="106" t="s">
        <v>1885</v>
      </c>
      <c r="F28" s="100" t="s">
        <v>1090</v>
      </c>
      <c r="G28" s="97" t="s">
        <v>1079</v>
      </c>
      <c r="H28" s="79" t="s">
        <v>544</v>
      </c>
      <c r="I28" s="78" t="s">
        <v>1079</v>
      </c>
      <c r="J28" s="97" t="str">
        <f t="shared" si="0"/>
        <v>I/O</v>
      </c>
    </row>
    <row r="29" spans="2:10" ht="15.75" customHeight="1">
      <c r="B29" s="79" t="str">
        <f>'＠グループ、表示名'!G29</f>
        <v>TM10</v>
      </c>
      <c r="C29" s="79" t="str">
        <f>'＠グループ、表示名'!H29</f>
        <v>TM10A</v>
      </c>
      <c r="D29" s="171" t="s">
        <v>1059</v>
      </c>
      <c r="E29" s="106" t="s">
        <v>1885</v>
      </c>
      <c r="F29" s="100" t="s">
        <v>1090</v>
      </c>
      <c r="G29" s="97" t="s">
        <v>1080</v>
      </c>
      <c r="H29" s="79" t="s">
        <v>546</v>
      </c>
      <c r="I29" s="78" t="s">
        <v>1080</v>
      </c>
      <c r="J29" s="97" t="str">
        <f t="shared" si="0"/>
        <v>I/O</v>
      </c>
    </row>
    <row r="30" spans="2:10" ht="15.75" customHeight="1">
      <c r="B30" s="79" t="str">
        <f>'＠グループ、表示名'!G30</f>
        <v>TM10</v>
      </c>
      <c r="C30" s="79" t="str">
        <f>'＠グループ、表示名'!H30</f>
        <v>TM10B</v>
      </c>
      <c r="D30" s="171" t="s">
        <v>1060</v>
      </c>
      <c r="E30" s="106" t="s">
        <v>1885</v>
      </c>
      <c r="F30" s="100" t="s">
        <v>1090</v>
      </c>
      <c r="G30" s="119" t="s">
        <v>1081</v>
      </c>
      <c r="H30" s="79" t="s">
        <v>548</v>
      </c>
      <c r="I30" s="78" t="s">
        <v>1081</v>
      </c>
      <c r="J30" s="97" t="str">
        <f t="shared" si="0"/>
        <v>I/O</v>
      </c>
    </row>
    <row r="31" spans="2:10" ht="15.75" customHeight="1">
      <c r="B31" s="79" t="str">
        <f>'＠グループ、表示名'!G31</f>
        <v>TM11</v>
      </c>
      <c r="C31" s="79" t="str">
        <f>'＠グループ、表示名'!H31</f>
        <v>TM11A</v>
      </c>
      <c r="D31" s="171" t="s">
        <v>1059</v>
      </c>
      <c r="E31" s="106" t="s">
        <v>1885</v>
      </c>
      <c r="F31" s="100" t="s">
        <v>1090</v>
      </c>
      <c r="G31" s="97" t="s">
        <v>1082</v>
      </c>
      <c r="H31" s="79" t="s">
        <v>582</v>
      </c>
      <c r="I31" s="78" t="s">
        <v>1082</v>
      </c>
      <c r="J31" s="97" t="str">
        <f t="shared" si="0"/>
        <v>I/O</v>
      </c>
    </row>
    <row r="32" spans="2:10" ht="15.75" customHeight="1">
      <c r="B32" s="79" t="str">
        <f>'＠グループ、表示名'!G32</f>
        <v>TM11</v>
      </c>
      <c r="C32" s="79" t="str">
        <f>'＠グループ、表示名'!H32</f>
        <v>TM11B</v>
      </c>
      <c r="D32" s="171" t="s">
        <v>1060</v>
      </c>
      <c r="E32" s="106" t="s">
        <v>1885</v>
      </c>
      <c r="F32" s="100" t="s">
        <v>1090</v>
      </c>
      <c r="G32" s="97" t="s">
        <v>1083</v>
      </c>
      <c r="H32" s="79" t="s">
        <v>584</v>
      </c>
      <c r="I32" s="78" t="s">
        <v>1083</v>
      </c>
      <c r="J32" s="97" t="str">
        <f t="shared" si="0"/>
        <v>I/O</v>
      </c>
    </row>
    <row r="33" spans="2:10" ht="15.75" customHeight="1">
      <c r="B33" s="79" t="str">
        <f>'＠グループ、表示名'!G33</f>
        <v>TM12</v>
      </c>
      <c r="C33" s="79" t="str">
        <f>'＠グループ、表示名'!H33</f>
        <v>TM12A</v>
      </c>
      <c r="D33" s="171" t="s">
        <v>1059</v>
      </c>
      <c r="E33" s="106" t="s">
        <v>1885</v>
      </c>
      <c r="F33" s="100" t="s">
        <v>1090</v>
      </c>
      <c r="G33" s="97" t="s">
        <v>1084</v>
      </c>
      <c r="H33" s="79" t="s">
        <v>592</v>
      </c>
      <c r="I33" s="78" t="s">
        <v>1084</v>
      </c>
      <c r="J33" s="97" t="str">
        <f t="shared" si="0"/>
        <v>I/O</v>
      </c>
    </row>
    <row r="34" spans="2:10" ht="15.75" customHeight="1">
      <c r="B34" s="79" t="str">
        <f>'＠グループ、表示名'!G34</f>
        <v>TM12</v>
      </c>
      <c r="C34" s="79" t="str">
        <f>'＠グループ、表示名'!H34</f>
        <v>TM12B</v>
      </c>
      <c r="D34" s="171" t="s">
        <v>1060</v>
      </c>
      <c r="E34" s="106" t="s">
        <v>1885</v>
      </c>
      <c r="F34" s="100" t="s">
        <v>1090</v>
      </c>
      <c r="G34" s="97" t="s">
        <v>1085</v>
      </c>
      <c r="H34" s="79" t="s">
        <v>595</v>
      </c>
      <c r="I34" s="78" t="s">
        <v>1085</v>
      </c>
      <c r="J34" s="97" t="str">
        <f t="shared" si="0"/>
        <v>I/O</v>
      </c>
    </row>
    <row r="35" spans="2:10" ht="15.75" customHeight="1">
      <c r="B35" s="79" t="str">
        <f>'＠グループ、表示名'!G35</f>
        <v>TM13</v>
      </c>
      <c r="C35" s="79" t="str">
        <f>'＠グループ、表示名'!H35</f>
        <v>TM13A</v>
      </c>
      <c r="D35" s="171" t="s">
        <v>1059</v>
      </c>
      <c r="E35" s="106" t="s">
        <v>1885</v>
      </c>
      <c r="F35" s="100" t="s">
        <v>1090</v>
      </c>
      <c r="G35" s="97" t="s">
        <v>1086</v>
      </c>
      <c r="H35" s="79" t="s">
        <v>602</v>
      </c>
      <c r="I35" s="78" t="s">
        <v>1086</v>
      </c>
      <c r="J35" s="97" t="str">
        <f t="shared" si="0"/>
        <v>I/O</v>
      </c>
    </row>
    <row r="36" spans="2:10" ht="15.75" customHeight="1">
      <c r="B36" s="79" t="str">
        <f>'＠グループ、表示名'!G36</f>
        <v>TM13</v>
      </c>
      <c r="C36" s="79" t="str">
        <f>'＠グループ、表示名'!H36</f>
        <v>TM13B</v>
      </c>
      <c r="D36" s="171" t="s">
        <v>1060</v>
      </c>
      <c r="E36" s="106" t="s">
        <v>1885</v>
      </c>
      <c r="F36" s="100" t="s">
        <v>1090</v>
      </c>
      <c r="G36" s="97" t="s">
        <v>1087</v>
      </c>
      <c r="H36" s="79" t="s">
        <v>604</v>
      </c>
      <c r="I36" s="78" t="s">
        <v>1087</v>
      </c>
      <c r="J36" s="97" t="str">
        <f t="shared" si="0"/>
        <v>I/O</v>
      </c>
    </row>
    <row r="37" spans="2:10" ht="15.75" customHeight="1">
      <c r="B37" s="79" t="str">
        <f>'＠グループ、表示名'!G37</f>
        <v>GPWM0</v>
      </c>
      <c r="C37" s="79" t="str">
        <f>'＠グループ、表示名'!H37</f>
        <v>GPWM0_GPWM00</v>
      </c>
      <c r="D37" s="171" t="s">
        <v>1089</v>
      </c>
      <c r="E37" s="106" t="s">
        <v>1886</v>
      </c>
      <c r="F37" s="169" t="s">
        <v>1018</v>
      </c>
      <c r="G37" s="180" t="s">
        <v>2098</v>
      </c>
      <c r="H37" s="171" t="s">
        <v>2099</v>
      </c>
      <c r="I37" s="78" t="s">
        <v>1957</v>
      </c>
      <c r="J37" s="97" t="s">
        <v>1878</v>
      </c>
    </row>
    <row r="38" spans="2:10" ht="15.75" customHeight="1">
      <c r="B38" s="79" t="str">
        <f>'＠グループ、表示名'!G38</f>
        <v>GPWM0</v>
      </c>
      <c r="C38" s="79" t="str">
        <f>'＠グループ、表示名'!H38</f>
        <v>GPWM0_GPWMH00</v>
      </c>
      <c r="D38" s="171" t="s">
        <v>1126</v>
      </c>
      <c r="E38" s="106" t="s">
        <v>1886</v>
      </c>
      <c r="F38" s="169" t="s">
        <v>1018</v>
      </c>
      <c r="G38" s="97" t="s">
        <v>1889</v>
      </c>
      <c r="H38" s="79" t="s">
        <v>1952</v>
      </c>
      <c r="I38" s="78" t="s">
        <v>1953</v>
      </c>
      <c r="J38" s="97" t="s">
        <v>1878</v>
      </c>
    </row>
    <row r="39" spans="2:10" ht="15.75" customHeight="1">
      <c r="B39" s="79" t="str">
        <f>'＠グループ、表示名'!G39</f>
        <v>GPWM0</v>
      </c>
      <c r="C39" s="79" t="str">
        <f>'＠グループ、表示名'!H39</f>
        <v>GPWM0_GPWM01</v>
      </c>
      <c r="D39" s="171" t="s">
        <v>1089</v>
      </c>
      <c r="E39" s="106" t="s">
        <v>1886</v>
      </c>
      <c r="F39" s="169" t="s">
        <v>1018</v>
      </c>
      <c r="G39" s="97" t="s">
        <v>1890</v>
      </c>
      <c r="H39" s="79" t="s">
        <v>1958</v>
      </c>
      <c r="I39" s="78" t="s">
        <v>1959</v>
      </c>
      <c r="J39" s="97" t="s">
        <v>1878</v>
      </c>
    </row>
    <row r="40" spans="2:10" ht="15.75" customHeight="1">
      <c r="B40" s="79" t="str">
        <f>'＠グループ、表示名'!G40</f>
        <v>GPWM0</v>
      </c>
      <c r="C40" s="79" t="str">
        <f>'＠グループ、表示名'!H40</f>
        <v>GPWM0_GPWMH01</v>
      </c>
      <c r="D40" s="171" t="s">
        <v>1126</v>
      </c>
      <c r="E40" s="106" t="s">
        <v>1886</v>
      </c>
      <c r="F40" s="169" t="s">
        <v>1018</v>
      </c>
      <c r="G40" s="97" t="s">
        <v>1891</v>
      </c>
      <c r="H40" s="79" t="s">
        <v>1954</v>
      </c>
      <c r="I40" s="107" t="s">
        <v>1955</v>
      </c>
      <c r="J40" s="97" t="s">
        <v>1878</v>
      </c>
    </row>
    <row r="41" spans="2:10" ht="15.75" customHeight="1">
      <c r="B41" s="79" t="str">
        <f>'＠グループ、表示名'!G41</f>
        <v>GPWM1</v>
      </c>
      <c r="C41" s="79" t="str">
        <f>'＠グループ、表示名'!H41</f>
        <v>GPWM1_GPWM10</v>
      </c>
      <c r="D41" s="171" t="s">
        <v>1089</v>
      </c>
      <c r="E41" s="106" t="s">
        <v>1886</v>
      </c>
      <c r="F41" s="169" t="s">
        <v>1018</v>
      </c>
      <c r="G41" s="97" t="s">
        <v>1892</v>
      </c>
      <c r="H41" s="79" t="s">
        <v>1956</v>
      </c>
      <c r="I41" s="78" t="s">
        <v>1957</v>
      </c>
      <c r="J41" s="97" t="s">
        <v>1878</v>
      </c>
    </row>
    <row r="42" spans="2:10" ht="15.75" customHeight="1">
      <c r="B42" s="79" t="str">
        <f>'＠グループ、表示名'!G42</f>
        <v>GPWM1</v>
      </c>
      <c r="C42" s="79" t="str">
        <f>'＠グループ、表示名'!H42</f>
        <v>GPWM1_GPWMH10</v>
      </c>
      <c r="D42" s="171" t="s">
        <v>1126</v>
      </c>
      <c r="E42" s="106" t="s">
        <v>1886</v>
      </c>
      <c r="F42" s="169" t="s">
        <v>1018</v>
      </c>
      <c r="G42" s="97" t="s">
        <v>1893</v>
      </c>
      <c r="H42" s="79" t="s">
        <v>1952</v>
      </c>
      <c r="I42" s="78" t="s">
        <v>1953</v>
      </c>
      <c r="J42" s="97" t="s">
        <v>1878</v>
      </c>
    </row>
    <row r="43" spans="2:10" ht="15.75" customHeight="1">
      <c r="B43" s="79" t="str">
        <f>'＠グループ、表示名'!G43</f>
        <v>GPWM1</v>
      </c>
      <c r="C43" s="79" t="str">
        <f>'＠グループ、表示名'!H43</f>
        <v>GPWM1_GPWM11</v>
      </c>
      <c r="D43" s="171" t="s">
        <v>1089</v>
      </c>
      <c r="E43" s="106" t="s">
        <v>1886</v>
      </c>
      <c r="F43" s="169" t="s">
        <v>1018</v>
      </c>
      <c r="G43" s="97" t="s">
        <v>1894</v>
      </c>
      <c r="H43" s="79" t="s">
        <v>1958</v>
      </c>
      <c r="I43" s="78" t="s">
        <v>1959</v>
      </c>
      <c r="J43" s="97" t="s">
        <v>1878</v>
      </c>
    </row>
    <row r="44" spans="2:10" ht="15.75" customHeight="1">
      <c r="B44" s="79" t="str">
        <f>'＠グループ、表示名'!G44</f>
        <v>GPWM1</v>
      </c>
      <c r="C44" s="79" t="str">
        <f>'＠グループ、表示名'!H44</f>
        <v>GPWM1_GPWMH11</v>
      </c>
      <c r="D44" s="171" t="s">
        <v>1126</v>
      </c>
      <c r="E44" s="106" t="s">
        <v>1886</v>
      </c>
      <c r="F44" s="169" t="s">
        <v>1018</v>
      </c>
      <c r="G44" s="97" t="s">
        <v>1895</v>
      </c>
      <c r="H44" s="79" t="s">
        <v>1954</v>
      </c>
      <c r="I44" s="107" t="s">
        <v>1955</v>
      </c>
      <c r="J44" s="97" t="s">
        <v>1878</v>
      </c>
    </row>
    <row r="45" spans="2:10" ht="15.75" customHeight="1">
      <c r="B45" s="79" t="str">
        <f>'＠グループ、表示名'!G45</f>
        <v>GPWM2</v>
      </c>
      <c r="C45" s="79" t="str">
        <f>'＠グループ、表示名'!H45</f>
        <v>GPWM2_GPWM20</v>
      </c>
      <c r="D45" s="171" t="s">
        <v>1089</v>
      </c>
      <c r="E45" s="106" t="s">
        <v>1886</v>
      </c>
      <c r="F45" s="169" t="s">
        <v>1018</v>
      </c>
      <c r="G45" s="97" t="s">
        <v>1896</v>
      </c>
      <c r="H45" s="79" t="s">
        <v>1956</v>
      </c>
      <c r="I45" s="78" t="s">
        <v>1957</v>
      </c>
      <c r="J45" s="97" t="s">
        <v>1878</v>
      </c>
    </row>
    <row r="46" spans="2:10" ht="15.75" customHeight="1">
      <c r="B46" s="79" t="str">
        <f>'＠グループ、表示名'!G46</f>
        <v>GPWM2</v>
      </c>
      <c r="C46" s="79" t="str">
        <f>'＠グループ、表示名'!H46</f>
        <v>GPWM2_GPWMH20</v>
      </c>
      <c r="D46" s="171" t="s">
        <v>1126</v>
      </c>
      <c r="E46" s="106" t="s">
        <v>1886</v>
      </c>
      <c r="F46" s="169" t="s">
        <v>1018</v>
      </c>
      <c r="G46" s="97" t="s">
        <v>1897</v>
      </c>
      <c r="H46" s="79" t="s">
        <v>1952</v>
      </c>
      <c r="I46" s="78" t="s">
        <v>1953</v>
      </c>
      <c r="J46" s="97" t="s">
        <v>1878</v>
      </c>
    </row>
    <row r="47" spans="2:10" ht="15.75" customHeight="1">
      <c r="B47" s="79" t="str">
        <f>'＠グループ、表示名'!G47</f>
        <v>GPWM2</v>
      </c>
      <c r="C47" s="79" t="str">
        <f>'＠グループ、表示名'!H47</f>
        <v>GPWM2_GPWM21</v>
      </c>
      <c r="D47" s="171" t="s">
        <v>1089</v>
      </c>
      <c r="E47" s="106" t="s">
        <v>1886</v>
      </c>
      <c r="F47" s="169" t="s">
        <v>1018</v>
      </c>
      <c r="G47" s="97" t="s">
        <v>1898</v>
      </c>
      <c r="H47" s="79" t="s">
        <v>1958</v>
      </c>
      <c r="I47" s="78" t="s">
        <v>1959</v>
      </c>
      <c r="J47" s="97" t="s">
        <v>1878</v>
      </c>
    </row>
    <row r="48" spans="2:10" ht="15.75" customHeight="1">
      <c r="B48" s="79" t="str">
        <f>'＠グループ、表示名'!G48</f>
        <v>GPWM2</v>
      </c>
      <c r="C48" s="79" t="str">
        <f>'＠グループ、表示名'!H48</f>
        <v>GPWM2_GPWMH21</v>
      </c>
      <c r="D48" s="171" t="s">
        <v>1126</v>
      </c>
      <c r="E48" s="106" t="s">
        <v>1886</v>
      </c>
      <c r="F48" s="169" t="s">
        <v>1018</v>
      </c>
      <c r="G48" s="97" t="s">
        <v>1899</v>
      </c>
      <c r="H48" s="79" t="s">
        <v>1954</v>
      </c>
      <c r="I48" s="107" t="s">
        <v>1955</v>
      </c>
      <c r="J48" s="97" t="s">
        <v>1878</v>
      </c>
    </row>
    <row r="49" spans="2:10" ht="15.75" customHeight="1">
      <c r="B49" s="79" t="str">
        <f>'＠グループ、表示名'!G49</f>
        <v>GPWM3</v>
      </c>
      <c r="C49" s="79" t="str">
        <f>'＠グループ、表示名'!H49</f>
        <v>GPWM3_GPWM30</v>
      </c>
      <c r="D49" s="171" t="s">
        <v>1089</v>
      </c>
      <c r="E49" s="106" t="s">
        <v>1886</v>
      </c>
      <c r="F49" s="169" t="s">
        <v>1018</v>
      </c>
      <c r="G49" s="97" t="s">
        <v>1900</v>
      </c>
      <c r="H49" s="79" t="s">
        <v>1956</v>
      </c>
      <c r="I49" s="78" t="s">
        <v>1957</v>
      </c>
      <c r="J49" s="97" t="s">
        <v>1878</v>
      </c>
    </row>
    <row r="50" spans="2:10" ht="15.75" customHeight="1">
      <c r="B50" s="79" t="str">
        <f>'＠グループ、表示名'!G50</f>
        <v>GPWM3</v>
      </c>
      <c r="C50" s="79" t="str">
        <f>'＠グループ、表示名'!H50</f>
        <v>GPWM3_GPWMH30</v>
      </c>
      <c r="D50" s="171" t="s">
        <v>1126</v>
      </c>
      <c r="E50" s="106" t="s">
        <v>1886</v>
      </c>
      <c r="F50" s="169" t="s">
        <v>1018</v>
      </c>
      <c r="G50" s="97" t="s">
        <v>1901</v>
      </c>
      <c r="H50" s="79" t="s">
        <v>1952</v>
      </c>
      <c r="I50" s="78" t="s">
        <v>1953</v>
      </c>
      <c r="J50" s="97" t="s">
        <v>1878</v>
      </c>
    </row>
    <row r="51" spans="2:10" ht="15.75" customHeight="1">
      <c r="B51" s="79" t="str">
        <f>'＠グループ、表示名'!G51</f>
        <v>GPWM3</v>
      </c>
      <c r="C51" s="79" t="str">
        <f>'＠グループ、表示名'!H51</f>
        <v>GPWM3_GPWM31</v>
      </c>
      <c r="D51" s="171" t="s">
        <v>1089</v>
      </c>
      <c r="E51" s="106" t="s">
        <v>1886</v>
      </c>
      <c r="F51" s="169" t="s">
        <v>1018</v>
      </c>
      <c r="G51" s="97" t="s">
        <v>1902</v>
      </c>
      <c r="H51" s="79" t="s">
        <v>1958</v>
      </c>
      <c r="I51" s="78" t="s">
        <v>1959</v>
      </c>
      <c r="J51" s="97" t="s">
        <v>1878</v>
      </c>
    </row>
    <row r="52" spans="2:10" ht="15.75" customHeight="1">
      <c r="B52" s="79" t="str">
        <f>'＠グループ、表示名'!G52</f>
        <v>GPWM3</v>
      </c>
      <c r="C52" s="79" t="str">
        <f>'＠グループ、表示名'!H52</f>
        <v>GPWM3_GPWMH31</v>
      </c>
      <c r="D52" s="171" t="s">
        <v>1126</v>
      </c>
      <c r="E52" s="106" t="s">
        <v>1886</v>
      </c>
      <c r="F52" s="169" t="s">
        <v>1018</v>
      </c>
      <c r="G52" s="97" t="s">
        <v>1903</v>
      </c>
      <c r="H52" s="79" t="s">
        <v>1954</v>
      </c>
      <c r="I52" s="107" t="s">
        <v>1955</v>
      </c>
      <c r="J52" s="97" t="s">
        <v>1878</v>
      </c>
    </row>
    <row r="53" spans="2:10" ht="15.75" customHeight="1">
      <c r="B53" s="79" t="str">
        <f>'＠グループ、表示名'!G53</f>
        <v>GPWM4</v>
      </c>
      <c r="C53" s="79" t="str">
        <f>'＠グループ、表示名'!H53</f>
        <v>GPWM4_GPWM40</v>
      </c>
      <c r="D53" s="171" t="s">
        <v>1089</v>
      </c>
      <c r="E53" s="106" t="s">
        <v>1886</v>
      </c>
      <c r="F53" s="169" t="s">
        <v>1018</v>
      </c>
      <c r="G53" s="97" t="s">
        <v>1904</v>
      </c>
      <c r="H53" s="79" t="s">
        <v>1956</v>
      </c>
      <c r="I53" s="78" t="s">
        <v>1957</v>
      </c>
      <c r="J53" s="97" t="s">
        <v>1878</v>
      </c>
    </row>
    <row r="54" spans="2:10" ht="15.75" customHeight="1">
      <c r="B54" s="79" t="str">
        <f>'＠グループ、表示名'!G54</f>
        <v>GPWM4</v>
      </c>
      <c r="C54" s="79" t="str">
        <f>'＠グループ、表示名'!H54</f>
        <v>GPWM4_GPWMH40</v>
      </c>
      <c r="D54" s="171" t="s">
        <v>1126</v>
      </c>
      <c r="E54" s="106" t="s">
        <v>1886</v>
      </c>
      <c r="F54" s="169" t="s">
        <v>1018</v>
      </c>
      <c r="G54" s="97" t="s">
        <v>1905</v>
      </c>
      <c r="H54" s="79" t="s">
        <v>1952</v>
      </c>
      <c r="I54" s="78" t="s">
        <v>1953</v>
      </c>
      <c r="J54" s="97" t="s">
        <v>1878</v>
      </c>
    </row>
    <row r="55" spans="2:10" ht="15.75" customHeight="1">
      <c r="B55" s="79" t="str">
        <f>'＠グループ、表示名'!G55</f>
        <v>GPWM4</v>
      </c>
      <c r="C55" s="79" t="str">
        <f>'＠グループ、表示名'!H55</f>
        <v>GPWM4_GPWM41</v>
      </c>
      <c r="D55" s="171" t="s">
        <v>1089</v>
      </c>
      <c r="E55" s="106" t="s">
        <v>1886</v>
      </c>
      <c r="F55" s="169" t="s">
        <v>1018</v>
      </c>
      <c r="G55" s="97" t="s">
        <v>1906</v>
      </c>
      <c r="H55" s="79" t="s">
        <v>1958</v>
      </c>
      <c r="I55" s="78" t="s">
        <v>1959</v>
      </c>
      <c r="J55" s="97" t="s">
        <v>1878</v>
      </c>
    </row>
    <row r="56" spans="2:10" ht="15.75" customHeight="1">
      <c r="B56" s="79" t="str">
        <f>'＠グループ、表示名'!G56</f>
        <v>GPWM4</v>
      </c>
      <c r="C56" s="79" t="str">
        <f>'＠グループ、表示名'!H56</f>
        <v>GPWM4_GPWMH41</v>
      </c>
      <c r="D56" s="171" t="s">
        <v>1126</v>
      </c>
      <c r="E56" s="106" t="s">
        <v>1886</v>
      </c>
      <c r="F56" s="169" t="s">
        <v>1018</v>
      </c>
      <c r="G56" s="97" t="s">
        <v>1907</v>
      </c>
      <c r="H56" s="79" t="s">
        <v>1954</v>
      </c>
      <c r="I56" s="107" t="s">
        <v>1955</v>
      </c>
      <c r="J56" s="97" t="s">
        <v>1878</v>
      </c>
    </row>
    <row r="57" spans="2:10" ht="15.75" customHeight="1">
      <c r="B57" s="79" t="str">
        <f>'＠グループ、表示名'!G57</f>
        <v>GPWM5</v>
      </c>
      <c r="C57" s="79" t="str">
        <f>'＠グループ、表示名'!H57</f>
        <v>GPWM5_GPWM50</v>
      </c>
      <c r="D57" s="171" t="s">
        <v>1089</v>
      </c>
      <c r="E57" s="106" t="s">
        <v>1886</v>
      </c>
      <c r="F57" s="169" t="s">
        <v>1018</v>
      </c>
      <c r="G57" s="97" t="s">
        <v>1908</v>
      </c>
      <c r="H57" s="79" t="s">
        <v>1956</v>
      </c>
      <c r="I57" s="78" t="s">
        <v>1957</v>
      </c>
      <c r="J57" s="97" t="s">
        <v>1878</v>
      </c>
    </row>
    <row r="58" spans="2:10" ht="15.75" customHeight="1">
      <c r="B58" s="79" t="str">
        <f>'＠グループ、表示名'!G58</f>
        <v>GPWM5</v>
      </c>
      <c r="C58" s="79" t="str">
        <f>'＠グループ、表示名'!H58</f>
        <v>GPWM5_GPWMH50</v>
      </c>
      <c r="D58" s="171" t="s">
        <v>1126</v>
      </c>
      <c r="E58" s="106" t="s">
        <v>1886</v>
      </c>
      <c r="F58" s="169" t="s">
        <v>1018</v>
      </c>
      <c r="G58" s="97" t="s">
        <v>1909</v>
      </c>
      <c r="H58" s="79" t="s">
        <v>1952</v>
      </c>
      <c r="I58" s="78" t="s">
        <v>1953</v>
      </c>
      <c r="J58" s="97" t="s">
        <v>1878</v>
      </c>
    </row>
    <row r="59" spans="2:10" ht="15.75" customHeight="1">
      <c r="B59" s="79" t="str">
        <f>'＠グループ、表示名'!G59</f>
        <v>GPWM5</v>
      </c>
      <c r="C59" s="79" t="str">
        <f>'＠グループ、表示名'!H59</f>
        <v>GPWM5_GPWM51</v>
      </c>
      <c r="D59" s="171" t="s">
        <v>1089</v>
      </c>
      <c r="E59" s="106" t="s">
        <v>1886</v>
      </c>
      <c r="F59" s="169" t="s">
        <v>1018</v>
      </c>
      <c r="G59" s="97" t="s">
        <v>1910</v>
      </c>
      <c r="H59" s="79" t="s">
        <v>1958</v>
      </c>
      <c r="I59" s="78" t="s">
        <v>1959</v>
      </c>
      <c r="J59" s="97" t="s">
        <v>1878</v>
      </c>
    </row>
    <row r="60" spans="2:10" ht="15.75" customHeight="1">
      <c r="B60" s="79" t="str">
        <f>'＠グループ、表示名'!G60</f>
        <v>GPWM5</v>
      </c>
      <c r="C60" s="79" t="str">
        <f>'＠グループ、表示名'!H60</f>
        <v>GPWM5_GPWMH51</v>
      </c>
      <c r="D60" s="171" t="s">
        <v>1126</v>
      </c>
      <c r="E60" s="106" t="s">
        <v>1886</v>
      </c>
      <c r="F60" s="169" t="s">
        <v>1018</v>
      </c>
      <c r="G60" s="97" t="s">
        <v>1911</v>
      </c>
      <c r="H60" s="79" t="s">
        <v>1954</v>
      </c>
      <c r="I60" s="107" t="s">
        <v>1955</v>
      </c>
      <c r="J60" s="97" t="s">
        <v>1878</v>
      </c>
    </row>
    <row r="61" spans="2:10" ht="15.75" customHeight="1">
      <c r="B61" s="79" t="str">
        <f>'＠グループ、表示名'!G61</f>
        <v>GPWM6</v>
      </c>
      <c r="C61" s="79" t="str">
        <f>'＠グループ、表示名'!H61</f>
        <v>GPWM6_GPWM60</v>
      </c>
      <c r="D61" s="171" t="s">
        <v>1089</v>
      </c>
      <c r="E61" s="106" t="s">
        <v>1886</v>
      </c>
      <c r="F61" s="169" t="s">
        <v>1018</v>
      </c>
      <c r="G61" s="97" t="s">
        <v>1912</v>
      </c>
      <c r="H61" s="79" t="s">
        <v>1956</v>
      </c>
      <c r="I61" s="78" t="s">
        <v>1957</v>
      </c>
      <c r="J61" s="97" t="s">
        <v>1878</v>
      </c>
    </row>
    <row r="62" spans="2:10" ht="15.75" customHeight="1">
      <c r="B62" s="79" t="str">
        <f>'＠グループ、表示名'!G62</f>
        <v>GPWM6</v>
      </c>
      <c r="C62" s="79" t="str">
        <f>'＠グループ、表示名'!H62</f>
        <v>GPWM6_GPWMH60</v>
      </c>
      <c r="D62" s="171" t="s">
        <v>1126</v>
      </c>
      <c r="E62" s="106" t="s">
        <v>1886</v>
      </c>
      <c r="F62" s="169" t="s">
        <v>1018</v>
      </c>
      <c r="G62" s="97" t="s">
        <v>1913</v>
      </c>
      <c r="H62" s="79" t="s">
        <v>1952</v>
      </c>
      <c r="I62" s="78" t="s">
        <v>1953</v>
      </c>
      <c r="J62" s="97" t="s">
        <v>1878</v>
      </c>
    </row>
    <row r="63" spans="2:10" ht="15.75" customHeight="1">
      <c r="B63" s="79" t="str">
        <f>'＠グループ、表示名'!G63</f>
        <v>GPWM6</v>
      </c>
      <c r="C63" s="79" t="str">
        <f>'＠グループ、表示名'!H63</f>
        <v>GPWM6_GPWM61</v>
      </c>
      <c r="D63" s="171" t="s">
        <v>1089</v>
      </c>
      <c r="E63" s="106" t="s">
        <v>1886</v>
      </c>
      <c r="F63" s="169" t="s">
        <v>1018</v>
      </c>
      <c r="G63" s="97" t="s">
        <v>1914</v>
      </c>
      <c r="H63" s="79" t="s">
        <v>1958</v>
      </c>
      <c r="I63" s="78" t="s">
        <v>1959</v>
      </c>
      <c r="J63" s="97" t="s">
        <v>1878</v>
      </c>
    </row>
    <row r="64" spans="2:10" ht="15.75" customHeight="1">
      <c r="B64" s="79" t="str">
        <f>'＠グループ、表示名'!G64</f>
        <v>GPWM6</v>
      </c>
      <c r="C64" s="79" t="str">
        <f>'＠グループ、表示名'!H64</f>
        <v>GPWM6_GPWMH61</v>
      </c>
      <c r="D64" s="171" t="s">
        <v>1126</v>
      </c>
      <c r="E64" s="106" t="s">
        <v>1886</v>
      </c>
      <c r="F64" s="169" t="s">
        <v>1018</v>
      </c>
      <c r="G64" s="97" t="s">
        <v>1915</v>
      </c>
      <c r="H64" s="79" t="s">
        <v>1954</v>
      </c>
      <c r="I64" s="107" t="s">
        <v>1955</v>
      </c>
      <c r="J64" s="97" t="s">
        <v>1878</v>
      </c>
    </row>
    <row r="65" spans="2:10" ht="15.75" customHeight="1">
      <c r="B65" s="79" t="str">
        <f>'＠グループ、表示名'!G65</f>
        <v>GPWM7</v>
      </c>
      <c r="C65" s="79" t="str">
        <f>'＠グループ、表示名'!H65</f>
        <v>GPWM7_GPWM70</v>
      </c>
      <c r="D65" s="171" t="s">
        <v>1089</v>
      </c>
      <c r="E65" s="106" t="s">
        <v>1886</v>
      </c>
      <c r="F65" s="169" t="s">
        <v>1018</v>
      </c>
      <c r="G65" s="97" t="s">
        <v>1916</v>
      </c>
      <c r="H65" s="79" t="s">
        <v>1956</v>
      </c>
      <c r="I65" s="78" t="s">
        <v>1957</v>
      </c>
      <c r="J65" s="97" t="s">
        <v>1878</v>
      </c>
    </row>
    <row r="66" spans="2:10" ht="15.75" customHeight="1">
      <c r="B66" s="79" t="str">
        <f>'＠グループ、表示名'!G66</f>
        <v>GPWM7</v>
      </c>
      <c r="C66" s="79" t="str">
        <f>'＠グループ、表示名'!H66</f>
        <v>GPWM7_GPWMH70</v>
      </c>
      <c r="D66" s="171" t="s">
        <v>1126</v>
      </c>
      <c r="E66" s="106" t="s">
        <v>1886</v>
      </c>
      <c r="F66" s="169" t="s">
        <v>1018</v>
      </c>
      <c r="G66" s="97" t="s">
        <v>1917</v>
      </c>
      <c r="H66" s="79" t="s">
        <v>1952</v>
      </c>
      <c r="I66" s="78" t="s">
        <v>1953</v>
      </c>
      <c r="J66" s="97" t="s">
        <v>1878</v>
      </c>
    </row>
    <row r="67" spans="2:10" ht="15.75" customHeight="1">
      <c r="B67" s="79" t="str">
        <f>'＠グループ、表示名'!G67</f>
        <v>GPWM7</v>
      </c>
      <c r="C67" s="79" t="str">
        <f>'＠グループ、表示名'!H67</f>
        <v>GPWM7_GPWM71</v>
      </c>
      <c r="D67" s="171" t="s">
        <v>1089</v>
      </c>
      <c r="E67" s="106" t="s">
        <v>1886</v>
      </c>
      <c r="F67" s="169" t="s">
        <v>1018</v>
      </c>
      <c r="G67" s="97" t="s">
        <v>1918</v>
      </c>
      <c r="H67" s="79" t="s">
        <v>1958</v>
      </c>
      <c r="I67" s="78" t="s">
        <v>1959</v>
      </c>
      <c r="J67" s="97" t="s">
        <v>1878</v>
      </c>
    </row>
    <row r="68" spans="2:10" ht="15.75" customHeight="1">
      <c r="B68" s="79" t="str">
        <f>'＠グループ、表示名'!G68</f>
        <v>GPWM7</v>
      </c>
      <c r="C68" s="79" t="str">
        <f>'＠グループ、表示名'!H68</f>
        <v>GPWM7_GPWMH71</v>
      </c>
      <c r="D68" s="171" t="s">
        <v>1126</v>
      </c>
      <c r="E68" s="106" t="s">
        <v>1886</v>
      </c>
      <c r="F68" s="169" t="s">
        <v>1018</v>
      </c>
      <c r="G68" s="97" t="s">
        <v>1919</v>
      </c>
      <c r="H68" s="79" t="s">
        <v>1954</v>
      </c>
      <c r="I68" s="107" t="s">
        <v>1955</v>
      </c>
      <c r="J68" s="97" t="s">
        <v>1878</v>
      </c>
    </row>
    <row r="69" spans="2:10" ht="15.75" customHeight="1">
      <c r="B69" s="79" t="str">
        <f>'＠グループ、表示名'!G69</f>
        <v>SMBUS</v>
      </c>
      <c r="C69" s="79" t="str">
        <f>'＠グループ、表示名'!H69</f>
        <v>SMBUS_SMCL</v>
      </c>
      <c r="D69" s="171" t="s">
        <v>1920</v>
      </c>
      <c r="E69" s="172" t="s">
        <v>2068</v>
      </c>
      <c r="F69" s="100" t="s">
        <v>1058</v>
      </c>
      <c r="G69" s="121" t="s">
        <v>1930</v>
      </c>
      <c r="H69" s="124" t="s">
        <v>1739</v>
      </c>
      <c r="I69" s="125" t="s">
        <v>1929</v>
      </c>
      <c r="J69" s="97" t="str">
        <f t="shared" ref="J69:J132" si="1">F69</f>
        <v>I/O</v>
      </c>
    </row>
    <row r="70" spans="2:10" ht="15.75" customHeight="1">
      <c r="B70" s="79" t="str">
        <f>'＠グループ、表示名'!G70</f>
        <v>SMBUS</v>
      </c>
      <c r="C70" s="79" t="str">
        <f>'＠グループ、表示名'!H70</f>
        <v>SMBUS_SMDA</v>
      </c>
      <c r="D70" s="117" t="s">
        <v>1922</v>
      </c>
      <c r="E70" s="106" t="s">
        <v>1921</v>
      </c>
      <c r="F70" s="100" t="s">
        <v>1058</v>
      </c>
      <c r="G70" s="121" t="s">
        <v>1928</v>
      </c>
      <c r="H70" s="124" t="s">
        <v>1738</v>
      </c>
      <c r="I70" s="125" t="s">
        <v>1928</v>
      </c>
      <c r="J70" s="97" t="str">
        <f t="shared" si="1"/>
        <v>I/O</v>
      </c>
    </row>
    <row r="71" spans="2:10" ht="15.75" customHeight="1">
      <c r="B71" s="79" t="str">
        <f>'＠グループ、表示名'!G71</f>
        <v>AD</v>
      </c>
      <c r="C71" s="79" t="str">
        <f>'＠グループ、表示名'!H71</f>
        <v>ADIN00</v>
      </c>
      <c r="D71" s="171" t="s">
        <v>1925</v>
      </c>
      <c r="E71" s="172" t="s">
        <v>1924</v>
      </c>
      <c r="F71" s="169" t="s">
        <v>1104</v>
      </c>
      <c r="G71" s="121" t="s">
        <v>1926</v>
      </c>
      <c r="H71" s="124" t="s">
        <v>1927</v>
      </c>
      <c r="I71" s="125" t="s">
        <v>1159</v>
      </c>
      <c r="J71" s="97" t="str">
        <f t="shared" si="1"/>
        <v>A</v>
      </c>
    </row>
    <row r="72" spans="2:10" ht="15.75" customHeight="1">
      <c r="B72" s="79" t="str">
        <f>'＠グループ、表示名'!G72</f>
        <v>AD</v>
      </c>
      <c r="C72" s="79" t="str">
        <f>'＠グループ、表示名'!H72</f>
        <v>ADIN01</v>
      </c>
      <c r="D72" s="171" t="s">
        <v>1925</v>
      </c>
      <c r="E72" s="172" t="s">
        <v>1924</v>
      </c>
      <c r="F72" s="169" t="s">
        <v>1104</v>
      </c>
      <c r="G72" s="121" t="s">
        <v>1134</v>
      </c>
      <c r="H72" s="124" t="s">
        <v>1927</v>
      </c>
      <c r="I72" s="125" t="s">
        <v>1159</v>
      </c>
      <c r="J72" s="97" t="str">
        <f t="shared" si="1"/>
        <v>A</v>
      </c>
    </row>
    <row r="73" spans="2:10" ht="15.75" customHeight="1">
      <c r="B73" s="79" t="str">
        <f>'＠グループ、表示名'!G73</f>
        <v>AD</v>
      </c>
      <c r="C73" s="79" t="str">
        <f>'＠グループ、表示名'!H73</f>
        <v>ADIN02</v>
      </c>
      <c r="D73" s="171" t="s">
        <v>1925</v>
      </c>
      <c r="E73" s="172" t="s">
        <v>1924</v>
      </c>
      <c r="F73" s="169" t="s">
        <v>1104</v>
      </c>
      <c r="G73" s="121" t="s">
        <v>1135</v>
      </c>
      <c r="H73" s="124" t="s">
        <v>1927</v>
      </c>
      <c r="I73" s="125" t="s">
        <v>1159</v>
      </c>
      <c r="J73" s="97" t="str">
        <f t="shared" si="1"/>
        <v>A</v>
      </c>
    </row>
    <row r="74" spans="2:10" ht="15.75" customHeight="1">
      <c r="B74" s="79" t="str">
        <f>'＠グループ、表示名'!G74</f>
        <v>AD</v>
      </c>
      <c r="C74" s="79" t="str">
        <f>'＠グループ、表示名'!H74</f>
        <v>ADIN03</v>
      </c>
      <c r="D74" s="171" t="s">
        <v>1925</v>
      </c>
      <c r="E74" s="172" t="s">
        <v>1924</v>
      </c>
      <c r="F74" s="169" t="s">
        <v>1104</v>
      </c>
      <c r="G74" s="121" t="s">
        <v>1136</v>
      </c>
      <c r="H74" s="124" t="s">
        <v>1927</v>
      </c>
      <c r="I74" s="125" t="s">
        <v>1159</v>
      </c>
      <c r="J74" s="97" t="str">
        <f t="shared" si="1"/>
        <v>A</v>
      </c>
    </row>
    <row r="75" spans="2:10" ht="15.75" customHeight="1">
      <c r="B75" s="79" t="str">
        <f>'＠グループ、表示名'!G75</f>
        <v>AD</v>
      </c>
      <c r="C75" s="79" t="str">
        <f>'＠グループ、表示名'!H75</f>
        <v>ADIN04</v>
      </c>
      <c r="D75" s="171" t="s">
        <v>1925</v>
      </c>
      <c r="E75" s="172" t="s">
        <v>1924</v>
      </c>
      <c r="F75" s="169" t="s">
        <v>1104</v>
      </c>
      <c r="G75" s="121" t="s">
        <v>1137</v>
      </c>
      <c r="H75" s="124" t="s">
        <v>1927</v>
      </c>
      <c r="I75" s="125" t="s">
        <v>1159</v>
      </c>
      <c r="J75" s="97" t="str">
        <f t="shared" si="1"/>
        <v>A</v>
      </c>
    </row>
    <row r="76" spans="2:10" ht="15.75" customHeight="1">
      <c r="B76" s="79" t="str">
        <f>'＠グループ、表示名'!G76</f>
        <v>AD</v>
      </c>
      <c r="C76" s="79" t="str">
        <f>'＠グループ、表示名'!H76</f>
        <v>ADIN05</v>
      </c>
      <c r="D76" s="171" t="s">
        <v>1925</v>
      </c>
      <c r="E76" s="172" t="s">
        <v>1924</v>
      </c>
      <c r="F76" s="169" t="s">
        <v>1104</v>
      </c>
      <c r="G76" s="121" t="s">
        <v>1138</v>
      </c>
      <c r="H76" s="124" t="s">
        <v>1927</v>
      </c>
      <c r="I76" s="125" t="s">
        <v>1159</v>
      </c>
      <c r="J76" s="97" t="str">
        <f t="shared" si="1"/>
        <v>A</v>
      </c>
    </row>
    <row r="77" spans="2:10" ht="15.75" customHeight="1">
      <c r="B77" s="79" t="str">
        <f>'＠グループ、表示名'!G77</f>
        <v>AD</v>
      </c>
      <c r="C77" s="79" t="str">
        <f>'＠グループ、表示名'!H77</f>
        <v>ADIN06</v>
      </c>
      <c r="D77" s="171" t="s">
        <v>1925</v>
      </c>
      <c r="E77" s="172" t="s">
        <v>1924</v>
      </c>
      <c r="F77" s="169" t="s">
        <v>1104</v>
      </c>
      <c r="G77" s="121" t="s">
        <v>1139</v>
      </c>
      <c r="H77" s="124" t="s">
        <v>1927</v>
      </c>
      <c r="I77" s="125" t="s">
        <v>1159</v>
      </c>
      <c r="J77" s="97" t="str">
        <f t="shared" si="1"/>
        <v>A</v>
      </c>
    </row>
    <row r="78" spans="2:10" ht="15.75" customHeight="1">
      <c r="B78" s="79" t="str">
        <f>'＠グループ、表示名'!G78</f>
        <v>AD</v>
      </c>
      <c r="C78" s="79" t="str">
        <f>'＠グループ、表示名'!H78</f>
        <v>ADIN07</v>
      </c>
      <c r="D78" s="171" t="s">
        <v>1925</v>
      </c>
      <c r="E78" s="172" t="s">
        <v>1924</v>
      </c>
      <c r="F78" s="169" t="s">
        <v>1104</v>
      </c>
      <c r="G78" s="121" t="s">
        <v>1140</v>
      </c>
      <c r="H78" s="124" t="s">
        <v>1927</v>
      </c>
      <c r="I78" s="125" t="s">
        <v>1159</v>
      </c>
      <c r="J78" s="97" t="str">
        <f t="shared" si="1"/>
        <v>A</v>
      </c>
    </row>
    <row r="79" spans="2:10" ht="15.75" customHeight="1">
      <c r="B79" s="79" t="str">
        <f>'＠グループ、表示名'!G79</f>
        <v>AD</v>
      </c>
      <c r="C79" s="79" t="str">
        <f>'＠グループ、表示名'!H79</f>
        <v>ADIN08</v>
      </c>
      <c r="D79" s="171" t="s">
        <v>1925</v>
      </c>
      <c r="E79" s="172" t="s">
        <v>1924</v>
      </c>
      <c r="F79" s="169" t="s">
        <v>1104</v>
      </c>
      <c r="G79" s="121" t="s">
        <v>1141</v>
      </c>
      <c r="H79" s="124" t="s">
        <v>1927</v>
      </c>
      <c r="I79" s="125" t="s">
        <v>1159</v>
      </c>
      <c r="J79" s="97" t="str">
        <f t="shared" si="1"/>
        <v>A</v>
      </c>
    </row>
    <row r="80" spans="2:10" ht="15.75" customHeight="1">
      <c r="B80" s="79" t="str">
        <f>'＠グループ、表示名'!G80</f>
        <v>AD</v>
      </c>
      <c r="C80" s="79" t="str">
        <f>'＠グループ、表示名'!H80</f>
        <v>ADIN09</v>
      </c>
      <c r="D80" s="171" t="s">
        <v>1925</v>
      </c>
      <c r="E80" s="172" t="s">
        <v>1924</v>
      </c>
      <c r="F80" s="169" t="s">
        <v>1104</v>
      </c>
      <c r="G80" s="121" t="s">
        <v>1142</v>
      </c>
      <c r="H80" s="124" t="s">
        <v>1927</v>
      </c>
      <c r="I80" s="125" t="s">
        <v>1159</v>
      </c>
      <c r="J80" s="97" t="str">
        <f t="shared" si="1"/>
        <v>A</v>
      </c>
    </row>
    <row r="81" spans="2:10" ht="15.75" customHeight="1">
      <c r="B81" s="79" t="str">
        <f>'＠グループ、表示名'!G81</f>
        <v>AD</v>
      </c>
      <c r="C81" s="79" t="str">
        <f>'＠グループ、表示名'!H81</f>
        <v>ADIN10</v>
      </c>
      <c r="D81" s="171" t="s">
        <v>1925</v>
      </c>
      <c r="E81" s="172" t="s">
        <v>1924</v>
      </c>
      <c r="F81" s="169" t="s">
        <v>1104</v>
      </c>
      <c r="G81" s="121" t="s">
        <v>1143</v>
      </c>
      <c r="H81" s="124" t="s">
        <v>1927</v>
      </c>
      <c r="I81" s="125" t="s">
        <v>1159</v>
      </c>
      <c r="J81" s="97" t="str">
        <f t="shared" si="1"/>
        <v>A</v>
      </c>
    </row>
    <row r="82" spans="2:10" ht="15.75" customHeight="1">
      <c r="B82" s="79" t="str">
        <f>'＠グループ、表示名'!G82</f>
        <v>AD</v>
      </c>
      <c r="C82" s="79" t="str">
        <f>'＠グループ、表示名'!H82</f>
        <v>ADIN11</v>
      </c>
      <c r="D82" s="171" t="s">
        <v>1925</v>
      </c>
      <c r="E82" s="172" t="s">
        <v>1924</v>
      </c>
      <c r="F82" s="169" t="s">
        <v>1104</v>
      </c>
      <c r="G82" s="121" t="s">
        <v>1144</v>
      </c>
      <c r="H82" s="124" t="s">
        <v>1927</v>
      </c>
      <c r="I82" s="125" t="s">
        <v>1159</v>
      </c>
      <c r="J82" s="97" t="str">
        <f t="shared" si="1"/>
        <v>A</v>
      </c>
    </row>
    <row r="83" spans="2:10" ht="15.75" customHeight="1">
      <c r="B83" s="79" t="str">
        <f>'＠グループ、表示名'!G83</f>
        <v>AD</v>
      </c>
      <c r="C83" s="79" t="str">
        <f>'＠グループ、表示名'!H83</f>
        <v>ADIN12</v>
      </c>
      <c r="D83" s="171" t="s">
        <v>1925</v>
      </c>
      <c r="E83" s="172" t="s">
        <v>1924</v>
      </c>
      <c r="F83" s="169" t="s">
        <v>1104</v>
      </c>
      <c r="G83" s="121" t="s">
        <v>1145</v>
      </c>
      <c r="H83" s="124" t="s">
        <v>1927</v>
      </c>
      <c r="I83" s="125" t="s">
        <v>1159</v>
      </c>
      <c r="J83" s="97" t="str">
        <f t="shared" si="1"/>
        <v>A</v>
      </c>
    </row>
    <row r="84" spans="2:10" ht="15.75" customHeight="1">
      <c r="B84" s="79" t="str">
        <f>'＠グループ、表示名'!G84</f>
        <v>AD</v>
      </c>
      <c r="C84" s="79" t="str">
        <f>'＠グループ、表示名'!H84</f>
        <v>ADIN13</v>
      </c>
      <c r="D84" s="171" t="s">
        <v>1925</v>
      </c>
      <c r="E84" s="172" t="s">
        <v>1924</v>
      </c>
      <c r="F84" s="169" t="s">
        <v>1104</v>
      </c>
      <c r="G84" s="121" t="s">
        <v>1146</v>
      </c>
      <c r="H84" s="124" t="s">
        <v>1927</v>
      </c>
      <c r="I84" s="125" t="s">
        <v>1159</v>
      </c>
      <c r="J84" s="97" t="str">
        <f t="shared" si="1"/>
        <v>A</v>
      </c>
    </row>
    <row r="85" spans="2:10" ht="15.75" customHeight="1">
      <c r="B85" s="79" t="str">
        <f>'＠グループ、表示名'!G85</f>
        <v>AD</v>
      </c>
      <c r="C85" s="79" t="str">
        <f>'＠グループ、表示名'!H85</f>
        <v>ADIN14</v>
      </c>
      <c r="D85" s="171" t="s">
        <v>1925</v>
      </c>
      <c r="E85" s="172" t="s">
        <v>1924</v>
      </c>
      <c r="F85" s="169" t="s">
        <v>1104</v>
      </c>
      <c r="G85" s="121" t="s">
        <v>1147</v>
      </c>
      <c r="H85" s="124" t="s">
        <v>1927</v>
      </c>
      <c r="I85" s="125" t="s">
        <v>1159</v>
      </c>
      <c r="J85" s="97" t="str">
        <f t="shared" si="1"/>
        <v>A</v>
      </c>
    </row>
    <row r="86" spans="2:10" ht="15.75" customHeight="1">
      <c r="B86" s="79" t="str">
        <f>'＠グループ、表示名'!G86</f>
        <v>AD</v>
      </c>
      <c r="C86" s="79" t="str">
        <f>'＠グループ、表示名'!H86</f>
        <v>ADIN15</v>
      </c>
      <c r="D86" s="171" t="s">
        <v>1925</v>
      </c>
      <c r="E86" s="172" t="s">
        <v>1924</v>
      </c>
      <c r="F86" s="169" t="s">
        <v>1104</v>
      </c>
      <c r="G86" s="121" t="s">
        <v>1148</v>
      </c>
      <c r="H86" s="124" t="s">
        <v>1927</v>
      </c>
      <c r="I86" s="125" t="s">
        <v>1159</v>
      </c>
      <c r="J86" s="97" t="str">
        <f t="shared" si="1"/>
        <v>A</v>
      </c>
    </row>
    <row r="87" spans="2:10" ht="15.75" customHeight="1">
      <c r="B87" s="79" t="str">
        <f>'＠グループ、表示名'!G87</f>
        <v>AD</v>
      </c>
      <c r="C87" s="79" t="str">
        <f>'＠グループ、表示名'!H87</f>
        <v>ADIN16</v>
      </c>
      <c r="D87" s="171" t="s">
        <v>1925</v>
      </c>
      <c r="E87" s="172" t="s">
        <v>1924</v>
      </c>
      <c r="F87" s="169" t="s">
        <v>1104</v>
      </c>
      <c r="G87" s="121" t="s">
        <v>1149</v>
      </c>
      <c r="H87" s="124" t="s">
        <v>1927</v>
      </c>
      <c r="I87" s="125" t="s">
        <v>1159</v>
      </c>
      <c r="J87" s="97" t="str">
        <f t="shared" si="1"/>
        <v>A</v>
      </c>
    </row>
    <row r="88" spans="2:10" ht="15.75" customHeight="1">
      <c r="B88" s="79" t="str">
        <f>'＠グループ、表示名'!G88</f>
        <v>AD</v>
      </c>
      <c r="C88" s="79" t="str">
        <f>'＠グループ、表示名'!H88</f>
        <v>ADIN17</v>
      </c>
      <c r="D88" s="171" t="s">
        <v>1925</v>
      </c>
      <c r="E88" s="172" t="s">
        <v>1924</v>
      </c>
      <c r="F88" s="169" t="s">
        <v>1104</v>
      </c>
      <c r="G88" s="121" t="s">
        <v>1150</v>
      </c>
      <c r="H88" s="124" t="s">
        <v>1927</v>
      </c>
      <c r="I88" s="125" t="s">
        <v>1159</v>
      </c>
      <c r="J88" s="97" t="str">
        <f t="shared" si="1"/>
        <v>A</v>
      </c>
    </row>
    <row r="89" spans="2:10" ht="15.75" customHeight="1">
      <c r="B89" s="79" t="str">
        <f>'＠グループ、表示名'!G89</f>
        <v>AD</v>
      </c>
      <c r="C89" s="79" t="str">
        <f>'＠グループ、表示名'!H89</f>
        <v>ADIN18</v>
      </c>
      <c r="D89" s="171" t="s">
        <v>1925</v>
      </c>
      <c r="E89" s="172" t="s">
        <v>1924</v>
      </c>
      <c r="F89" s="169" t="s">
        <v>1104</v>
      </c>
      <c r="G89" s="121" t="s">
        <v>1151</v>
      </c>
      <c r="H89" s="124" t="s">
        <v>1927</v>
      </c>
      <c r="I89" s="125" t="s">
        <v>1159</v>
      </c>
      <c r="J89" s="97" t="str">
        <f t="shared" si="1"/>
        <v>A</v>
      </c>
    </row>
    <row r="90" spans="2:10" ht="15.75" customHeight="1">
      <c r="B90" s="79" t="str">
        <f>'＠グループ、表示名'!G90</f>
        <v>AD</v>
      </c>
      <c r="C90" s="79" t="str">
        <f>'＠グループ、表示名'!H90</f>
        <v>ADIN19</v>
      </c>
      <c r="D90" s="171" t="s">
        <v>1925</v>
      </c>
      <c r="E90" s="172" t="s">
        <v>1924</v>
      </c>
      <c r="F90" s="169" t="s">
        <v>1104</v>
      </c>
      <c r="G90" s="121" t="s">
        <v>1152</v>
      </c>
      <c r="H90" s="124" t="s">
        <v>1927</v>
      </c>
      <c r="I90" s="125" t="s">
        <v>1159</v>
      </c>
      <c r="J90" s="97" t="str">
        <f t="shared" si="1"/>
        <v>A</v>
      </c>
    </row>
    <row r="91" spans="2:10" ht="15.75" customHeight="1">
      <c r="B91" s="79" t="str">
        <f>'＠グループ、表示名'!G91</f>
        <v>AD</v>
      </c>
      <c r="C91" s="175" t="str">
        <f>'＠グループ、表示名'!H91</f>
        <v>ADIN20</v>
      </c>
      <c r="D91" s="178" t="s">
        <v>1925</v>
      </c>
      <c r="E91" s="172" t="s">
        <v>1924</v>
      </c>
      <c r="F91" s="169" t="s">
        <v>1104</v>
      </c>
      <c r="G91" s="121" t="s">
        <v>1153</v>
      </c>
      <c r="H91" s="124" t="s">
        <v>1927</v>
      </c>
      <c r="I91" s="125" t="s">
        <v>1159</v>
      </c>
      <c r="J91" s="97" t="str">
        <f t="shared" si="1"/>
        <v>A</v>
      </c>
    </row>
    <row r="92" spans="2:10" ht="15.75" customHeight="1">
      <c r="B92" s="79" t="str">
        <f>'＠グループ、表示名'!G92</f>
        <v>AD</v>
      </c>
      <c r="C92" s="175" t="str">
        <f>'＠グループ、表示名'!H92</f>
        <v>ADIN21</v>
      </c>
      <c r="D92" s="171" t="s">
        <v>1925</v>
      </c>
      <c r="E92" s="172" t="s">
        <v>1924</v>
      </c>
      <c r="F92" s="169" t="s">
        <v>1104</v>
      </c>
      <c r="G92" s="121" t="s">
        <v>1154</v>
      </c>
      <c r="H92" s="124" t="s">
        <v>1927</v>
      </c>
      <c r="I92" s="125" t="s">
        <v>1159</v>
      </c>
      <c r="J92" s="97" t="str">
        <f t="shared" si="1"/>
        <v>A</v>
      </c>
    </row>
    <row r="93" spans="2:10" ht="15.75" customHeight="1">
      <c r="B93" s="79" t="str">
        <f>'＠グループ、表示名'!G93</f>
        <v>AD</v>
      </c>
      <c r="C93" s="175" t="str">
        <f>'＠グループ、表示名'!H93</f>
        <v>ADIN22</v>
      </c>
      <c r="D93" s="171" t="s">
        <v>1925</v>
      </c>
      <c r="E93" s="172" t="s">
        <v>1924</v>
      </c>
      <c r="F93" s="169" t="s">
        <v>1104</v>
      </c>
      <c r="G93" s="121" t="s">
        <v>1155</v>
      </c>
      <c r="H93" s="124" t="s">
        <v>1927</v>
      </c>
      <c r="I93" s="125" t="s">
        <v>1159</v>
      </c>
      <c r="J93" s="97" t="str">
        <f t="shared" si="1"/>
        <v>A</v>
      </c>
    </row>
    <row r="94" spans="2:10" ht="15.75" customHeight="1">
      <c r="B94" s="79" t="str">
        <f>'＠グループ、表示名'!G94</f>
        <v>AD</v>
      </c>
      <c r="C94" s="175" t="str">
        <f>'＠グループ、表示名'!H94</f>
        <v>ADIN23</v>
      </c>
      <c r="D94" s="171" t="s">
        <v>1925</v>
      </c>
      <c r="E94" s="172" t="s">
        <v>1924</v>
      </c>
      <c r="F94" s="169" t="s">
        <v>1104</v>
      </c>
      <c r="G94" s="121" t="s">
        <v>1156</v>
      </c>
      <c r="H94" s="124" t="s">
        <v>1927</v>
      </c>
      <c r="I94" s="125" t="s">
        <v>1159</v>
      </c>
      <c r="J94" s="97" t="str">
        <f t="shared" si="1"/>
        <v>A</v>
      </c>
    </row>
    <row r="95" spans="2:10" ht="15.75" customHeight="1">
      <c r="B95" s="79" t="str">
        <f>'＠グループ、表示名'!G95</f>
        <v>AD</v>
      </c>
      <c r="C95" s="175" t="str">
        <f>'＠グループ、表示名'!H95</f>
        <v>ADIN24</v>
      </c>
      <c r="D95" s="171" t="s">
        <v>1925</v>
      </c>
      <c r="E95" s="172" t="s">
        <v>1924</v>
      </c>
      <c r="F95" s="169" t="s">
        <v>1104</v>
      </c>
      <c r="G95" s="121" t="s">
        <v>1157</v>
      </c>
      <c r="H95" s="124" t="s">
        <v>1927</v>
      </c>
      <c r="I95" s="125" t="s">
        <v>1159</v>
      </c>
      <c r="J95" s="97" t="str">
        <f t="shared" si="1"/>
        <v>A</v>
      </c>
    </row>
    <row r="96" spans="2:10" ht="15.75" customHeight="1">
      <c r="B96" s="79" t="str">
        <f>'＠グループ、表示名'!G96</f>
        <v>AD</v>
      </c>
      <c r="C96" s="175" t="str">
        <f>'＠グループ、表示名'!H96</f>
        <v>ADIN25</v>
      </c>
      <c r="D96" s="171" t="s">
        <v>1925</v>
      </c>
      <c r="E96" s="172" t="s">
        <v>1924</v>
      </c>
      <c r="F96" s="169" t="s">
        <v>1104</v>
      </c>
      <c r="G96" s="121" t="s">
        <v>1158</v>
      </c>
      <c r="H96" s="124" t="s">
        <v>1927</v>
      </c>
      <c r="I96" s="125" t="s">
        <v>1159</v>
      </c>
      <c r="J96" s="97" t="str">
        <f t="shared" si="1"/>
        <v>A</v>
      </c>
    </row>
    <row r="97" spans="2:10" ht="15.75" customHeight="1">
      <c r="B97" s="79" t="str">
        <f>'＠グループ、表示名'!G97</f>
        <v>CMP0</v>
      </c>
      <c r="C97" s="175" t="str">
        <f>'＠グループ、表示名'!H97</f>
        <v>CMP0_CMP00</v>
      </c>
      <c r="D97" s="179" t="s">
        <v>1931</v>
      </c>
      <c r="E97" s="174" t="s">
        <v>1880</v>
      </c>
      <c r="F97" s="169" t="s">
        <v>1104</v>
      </c>
      <c r="G97" s="173" t="s">
        <v>1934</v>
      </c>
      <c r="H97" s="124" t="s">
        <v>2100</v>
      </c>
      <c r="I97" s="125" t="s">
        <v>2102</v>
      </c>
      <c r="J97" s="97" t="str">
        <f t="shared" si="1"/>
        <v>A</v>
      </c>
    </row>
    <row r="98" spans="2:10" ht="15.75" customHeight="1">
      <c r="B98" s="79" t="str">
        <f>'＠グループ、表示名'!G98</f>
        <v>CMP0</v>
      </c>
      <c r="C98" s="175" t="str">
        <f>'＠グループ、表示名'!H98</f>
        <v>CMP0_CMP01</v>
      </c>
      <c r="D98" s="179" t="s">
        <v>1931</v>
      </c>
      <c r="E98" s="106" t="s">
        <v>1880</v>
      </c>
      <c r="F98" s="169" t="s">
        <v>1104</v>
      </c>
      <c r="G98" s="173" t="s">
        <v>1935</v>
      </c>
      <c r="H98" s="124" t="s">
        <v>2101</v>
      </c>
      <c r="I98" s="125" t="s">
        <v>2103</v>
      </c>
      <c r="J98" s="97" t="str">
        <f t="shared" si="1"/>
        <v>A</v>
      </c>
    </row>
    <row r="99" spans="2:10" ht="15.75" customHeight="1">
      <c r="B99" s="79" t="str">
        <f>'＠グループ、表示名'!G99</f>
        <v>CMP0</v>
      </c>
      <c r="C99" s="175" t="str">
        <f>'＠グループ、表示名'!H99</f>
        <v>CMP0_CMPREF0</v>
      </c>
      <c r="D99" s="179" t="s">
        <v>1932</v>
      </c>
      <c r="E99" s="106" t="s">
        <v>1933</v>
      </c>
      <c r="F99" s="169" t="s">
        <v>1104</v>
      </c>
      <c r="G99" s="173" t="s">
        <v>1946</v>
      </c>
      <c r="H99" s="124" t="s">
        <v>1960</v>
      </c>
      <c r="I99" s="125" t="s">
        <v>1961</v>
      </c>
      <c r="J99" s="97" t="str">
        <f t="shared" si="1"/>
        <v>A</v>
      </c>
    </row>
    <row r="100" spans="2:10" ht="15.75" customHeight="1">
      <c r="B100" s="79" t="str">
        <f>'＠グループ、表示名'!G100</f>
        <v>CMP1</v>
      </c>
      <c r="C100" s="175" t="str">
        <f>'＠グループ、表示名'!H100</f>
        <v>CMP1_CMP10</v>
      </c>
      <c r="D100" s="179" t="s">
        <v>1931</v>
      </c>
      <c r="E100" s="174" t="s">
        <v>1880</v>
      </c>
      <c r="F100" s="169" t="s">
        <v>1104</v>
      </c>
      <c r="G100" s="173" t="s">
        <v>1936</v>
      </c>
      <c r="H100" s="124" t="s">
        <v>2100</v>
      </c>
      <c r="I100" s="125" t="s">
        <v>2102</v>
      </c>
      <c r="J100" s="97" t="str">
        <f t="shared" si="1"/>
        <v>A</v>
      </c>
    </row>
    <row r="101" spans="2:10" ht="15.75" customHeight="1">
      <c r="B101" s="79" t="str">
        <f>'＠グループ、表示名'!G101</f>
        <v>CMP1</v>
      </c>
      <c r="C101" s="175" t="str">
        <f>'＠グループ、表示名'!H101</f>
        <v>CMP1_CMP11</v>
      </c>
      <c r="D101" s="179" t="s">
        <v>1931</v>
      </c>
      <c r="E101" s="106" t="s">
        <v>1880</v>
      </c>
      <c r="F101" s="169" t="s">
        <v>1104</v>
      </c>
      <c r="G101" s="173" t="s">
        <v>1937</v>
      </c>
      <c r="H101" s="124" t="s">
        <v>2101</v>
      </c>
      <c r="I101" s="125" t="s">
        <v>2103</v>
      </c>
      <c r="J101" s="97" t="str">
        <f t="shared" si="1"/>
        <v>A</v>
      </c>
    </row>
    <row r="102" spans="2:10" ht="15.75" customHeight="1">
      <c r="B102" s="79" t="str">
        <f>'＠グループ、表示名'!G102</f>
        <v>CMP1</v>
      </c>
      <c r="C102" s="175" t="str">
        <f>'＠グループ、表示名'!H102</f>
        <v>CMP1_CMPREF1</v>
      </c>
      <c r="D102" s="179" t="s">
        <v>1932</v>
      </c>
      <c r="E102" s="106" t="s">
        <v>1933</v>
      </c>
      <c r="F102" s="169" t="s">
        <v>1104</v>
      </c>
      <c r="G102" s="121" t="s">
        <v>1947</v>
      </c>
      <c r="H102" s="124" t="s">
        <v>1960</v>
      </c>
      <c r="I102" s="125" t="s">
        <v>1961</v>
      </c>
      <c r="J102" s="97" t="str">
        <f t="shared" si="1"/>
        <v>A</v>
      </c>
    </row>
    <row r="103" spans="2:10" ht="15.75" customHeight="1">
      <c r="B103" s="79" t="str">
        <f>'＠グループ、表示名'!G103</f>
        <v>CMP2</v>
      </c>
      <c r="C103" s="175" t="str">
        <f>'＠グループ、表示名'!H103</f>
        <v>CMP2_CMP20</v>
      </c>
      <c r="D103" s="179" t="s">
        <v>1931</v>
      </c>
      <c r="E103" s="174" t="s">
        <v>1880</v>
      </c>
      <c r="F103" s="169" t="s">
        <v>1104</v>
      </c>
      <c r="G103" s="173" t="s">
        <v>1938</v>
      </c>
      <c r="H103" s="124" t="s">
        <v>2100</v>
      </c>
      <c r="I103" s="125" t="s">
        <v>2102</v>
      </c>
      <c r="J103" s="97" t="str">
        <f t="shared" si="1"/>
        <v>A</v>
      </c>
    </row>
    <row r="104" spans="2:10" ht="15.75" customHeight="1">
      <c r="B104" s="79" t="str">
        <f>'＠グループ、表示名'!G104</f>
        <v>CMP2</v>
      </c>
      <c r="C104" s="175" t="str">
        <f>'＠グループ、表示名'!H104</f>
        <v>CMP2_CMP21</v>
      </c>
      <c r="D104" s="179" t="s">
        <v>1931</v>
      </c>
      <c r="E104" s="106" t="s">
        <v>1880</v>
      </c>
      <c r="F104" s="169" t="s">
        <v>1104</v>
      </c>
      <c r="G104" s="173" t="s">
        <v>1939</v>
      </c>
      <c r="H104" s="124" t="s">
        <v>2101</v>
      </c>
      <c r="I104" s="125" t="s">
        <v>2103</v>
      </c>
      <c r="J104" s="97" t="str">
        <f t="shared" si="1"/>
        <v>A</v>
      </c>
    </row>
    <row r="105" spans="2:10" ht="15.75" customHeight="1">
      <c r="B105" s="79" t="str">
        <f>'＠グループ、表示名'!G105</f>
        <v>CMP2</v>
      </c>
      <c r="C105" s="79" t="str">
        <f>'＠グループ、表示名'!H105</f>
        <v>CMP2_CMPREF2</v>
      </c>
      <c r="D105" s="179" t="s">
        <v>1932</v>
      </c>
      <c r="E105" s="106" t="s">
        <v>1933</v>
      </c>
      <c r="F105" s="169" t="s">
        <v>1104</v>
      </c>
      <c r="G105" s="121" t="s">
        <v>1948</v>
      </c>
      <c r="H105" s="124" t="s">
        <v>1960</v>
      </c>
      <c r="I105" s="125" t="s">
        <v>1961</v>
      </c>
      <c r="J105" s="97" t="str">
        <f t="shared" si="1"/>
        <v>A</v>
      </c>
    </row>
    <row r="106" spans="2:10" ht="15.75" customHeight="1">
      <c r="B106" s="79" t="str">
        <f>'＠グループ、表示名'!G106</f>
        <v>CMP3</v>
      </c>
      <c r="C106" s="79" t="str">
        <f>'＠グループ、表示名'!H106</f>
        <v>CMP3_CMP30</v>
      </c>
      <c r="D106" s="179" t="s">
        <v>1931</v>
      </c>
      <c r="E106" s="174" t="s">
        <v>1880</v>
      </c>
      <c r="F106" s="169" t="s">
        <v>1104</v>
      </c>
      <c r="G106" s="173" t="s">
        <v>1940</v>
      </c>
      <c r="H106" s="124" t="s">
        <v>2100</v>
      </c>
      <c r="I106" s="125" t="s">
        <v>2102</v>
      </c>
      <c r="J106" s="97" t="str">
        <f t="shared" si="1"/>
        <v>A</v>
      </c>
    </row>
    <row r="107" spans="2:10" ht="15.75" customHeight="1">
      <c r="B107" s="79" t="str">
        <f>'＠グループ、表示名'!G107</f>
        <v>CMP3</v>
      </c>
      <c r="C107" s="79" t="str">
        <f>'＠グループ、表示名'!H107</f>
        <v>CMP3_CMP31</v>
      </c>
      <c r="D107" s="179" t="s">
        <v>1931</v>
      </c>
      <c r="E107" s="106" t="s">
        <v>1880</v>
      </c>
      <c r="F107" s="169" t="s">
        <v>1104</v>
      </c>
      <c r="G107" s="173" t="s">
        <v>1941</v>
      </c>
      <c r="H107" s="124" t="s">
        <v>2101</v>
      </c>
      <c r="I107" s="125" t="s">
        <v>2103</v>
      </c>
      <c r="J107" s="97" t="str">
        <f t="shared" si="1"/>
        <v>A</v>
      </c>
    </row>
    <row r="108" spans="2:10" ht="15.75" customHeight="1">
      <c r="B108" s="79" t="str">
        <f>'＠グループ、表示名'!G108</f>
        <v>CMP3</v>
      </c>
      <c r="C108" s="79" t="str">
        <f>'＠グループ、表示名'!H108</f>
        <v>CMP3_CMPREF3</v>
      </c>
      <c r="D108" s="179" t="s">
        <v>1932</v>
      </c>
      <c r="E108" s="106" t="s">
        <v>1933</v>
      </c>
      <c r="F108" s="169" t="s">
        <v>1104</v>
      </c>
      <c r="G108" s="121" t="s">
        <v>1949</v>
      </c>
      <c r="H108" s="124" t="s">
        <v>1960</v>
      </c>
      <c r="I108" s="125" t="s">
        <v>1961</v>
      </c>
      <c r="J108" s="97" t="str">
        <f t="shared" si="1"/>
        <v>A</v>
      </c>
    </row>
    <row r="109" spans="2:10" ht="15.75" customHeight="1">
      <c r="B109" s="79" t="str">
        <f>'＠グループ、表示名'!G109</f>
        <v>CMP4</v>
      </c>
      <c r="C109" s="79" t="str">
        <f>'＠グループ、表示名'!H109</f>
        <v>CMP4_CMP40</v>
      </c>
      <c r="D109" s="179" t="s">
        <v>1931</v>
      </c>
      <c r="E109" s="174" t="s">
        <v>1880</v>
      </c>
      <c r="F109" s="169" t="s">
        <v>1104</v>
      </c>
      <c r="G109" s="173" t="s">
        <v>1942</v>
      </c>
      <c r="H109" s="124" t="s">
        <v>2100</v>
      </c>
      <c r="I109" s="125" t="s">
        <v>2102</v>
      </c>
      <c r="J109" s="97" t="str">
        <f t="shared" si="1"/>
        <v>A</v>
      </c>
    </row>
    <row r="110" spans="2:10" ht="15.75" customHeight="1">
      <c r="B110" s="79" t="str">
        <f>'＠グループ、表示名'!G110</f>
        <v>CMP4</v>
      </c>
      <c r="C110" s="79" t="str">
        <f>'＠グループ、表示名'!H110</f>
        <v>CMP4_CMP41</v>
      </c>
      <c r="D110" s="179" t="s">
        <v>1931</v>
      </c>
      <c r="E110" s="106" t="s">
        <v>1880</v>
      </c>
      <c r="F110" s="169" t="s">
        <v>1104</v>
      </c>
      <c r="G110" s="173" t="s">
        <v>1943</v>
      </c>
      <c r="H110" s="124" t="s">
        <v>2101</v>
      </c>
      <c r="I110" s="125" t="s">
        <v>2103</v>
      </c>
      <c r="J110" s="97" t="str">
        <f t="shared" si="1"/>
        <v>A</v>
      </c>
    </row>
    <row r="111" spans="2:10" ht="15.75" customHeight="1">
      <c r="B111" s="79" t="str">
        <f>'＠グループ、表示名'!G111</f>
        <v>CMP4</v>
      </c>
      <c r="C111" s="79" t="str">
        <f>'＠グループ、表示名'!H111</f>
        <v>CMP4_CMPREF4</v>
      </c>
      <c r="D111" s="179" t="s">
        <v>1932</v>
      </c>
      <c r="E111" s="106" t="s">
        <v>1933</v>
      </c>
      <c r="F111" s="169" t="s">
        <v>1104</v>
      </c>
      <c r="G111" s="121" t="s">
        <v>1950</v>
      </c>
      <c r="H111" s="124" t="s">
        <v>1960</v>
      </c>
      <c r="I111" s="125" t="s">
        <v>1961</v>
      </c>
      <c r="J111" s="97" t="str">
        <f t="shared" si="1"/>
        <v>A</v>
      </c>
    </row>
    <row r="112" spans="2:10" ht="15.75" customHeight="1">
      <c r="B112" s="79" t="str">
        <f>'＠グループ、表示名'!G112</f>
        <v>CMP5</v>
      </c>
      <c r="C112" s="79" t="str">
        <f>'＠グループ、表示名'!H112</f>
        <v>CMP5_CMP50</v>
      </c>
      <c r="D112" s="179" t="s">
        <v>1931</v>
      </c>
      <c r="E112" s="174" t="s">
        <v>1880</v>
      </c>
      <c r="F112" s="169" t="s">
        <v>1104</v>
      </c>
      <c r="G112" s="173" t="s">
        <v>1944</v>
      </c>
      <c r="H112" s="124" t="s">
        <v>2100</v>
      </c>
      <c r="I112" s="125" t="s">
        <v>2102</v>
      </c>
      <c r="J112" s="97" t="str">
        <f t="shared" si="1"/>
        <v>A</v>
      </c>
    </row>
    <row r="113" spans="2:10" ht="15.75" customHeight="1">
      <c r="B113" s="79" t="str">
        <f>'＠グループ、表示名'!G113</f>
        <v>CMP5</v>
      </c>
      <c r="C113" s="79" t="str">
        <f>'＠グループ、表示名'!H113</f>
        <v>CMP5_CMP51</v>
      </c>
      <c r="D113" s="179" t="s">
        <v>1931</v>
      </c>
      <c r="E113" s="106" t="s">
        <v>1880</v>
      </c>
      <c r="F113" s="169" t="s">
        <v>1104</v>
      </c>
      <c r="G113" s="173" t="s">
        <v>1945</v>
      </c>
      <c r="H113" s="124" t="s">
        <v>2101</v>
      </c>
      <c r="I113" s="125" t="s">
        <v>2103</v>
      </c>
      <c r="J113" s="97" t="str">
        <f t="shared" si="1"/>
        <v>A</v>
      </c>
    </row>
    <row r="114" spans="2:10" ht="15.75" customHeight="1">
      <c r="B114" s="79" t="str">
        <f>'＠グループ、表示名'!G114</f>
        <v>CMP5</v>
      </c>
      <c r="C114" s="79" t="str">
        <f>'＠グループ、表示名'!H114</f>
        <v>CMP5_CMPREF5</v>
      </c>
      <c r="D114" s="179" t="s">
        <v>1932</v>
      </c>
      <c r="E114" s="106" t="s">
        <v>1933</v>
      </c>
      <c r="F114" s="169" t="s">
        <v>1104</v>
      </c>
      <c r="G114" s="121" t="s">
        <v>1951</v>
      </c>
      <c r="H114" s="124" t="s">
        <v>1960</v>
      </c>
      <c r="I114" s="125" t="s">
        <v>1961</v>
      </c>
      <c r="J114" s="97" t="str">
        <f t="shared" si="1"/>
        <v>A</v>
      </c>
    </row>
    <row r="115" spans="2:10" ht="15.75" customHeight="1">
      <c r="B115" s="79" t="str">
        <f>'＠グループ、表示名'!G115</f>
        <v>DAC</v>
      </c>
      <c r="C115" s="79" t="str">
        <f>'＠グループ、表示名'!H115</f>
        <v>DAC_DAOUT0</v>
      </c>
      <c r="D115" s="171" t="s">
        <v>1115</v>
      </c>
      <c r="E115" s="174" t="s">
        <v>1880</v>
      </c>
      <c r="F115" s="169" t="s">
        <v>1104</v>
      </c>
      <c r="G115" s="180" t="s">
        <v>1964</v>
      </c>
      <c r="H115" s="171" t="s">
        <v>1962</v>
      </c>
      <c r="I115" s="169" t="s">
        <v>1964</v>
      </c>
      <c r="J115" s="97" t="str">
        <f t="shared" si="1"/>
        <v>A</v>
      </c>
    </row>
    <row r="116" spans="2:10" ht="15.75" customHeight="1">
      <c r="B116" s="79" t="str">
        <f>'＠グループ、表示名'!G116</f>
        <v>DAC</v>
      </c>
      <c r="C116" s="79" t="str">
        <f>'＠グループ、表示名'!H116</f>
        <v>DAC_DAOUT1</v>
      </c>
      <c r="D116" s="171" t="s">
        <v>1115</v>
      </c>
      <c r="E116" s="174" t="s">
        <v>1880</v>
      </c>
      <c r="F116" s="169" t="s">
        <v>1104</v>
      </c>
      <c r="G116" s="180" t="s">
        <v>1964</v>
      </c>
      <c r="H116" s="171" t="s">
        <v>1962</v>
      </c>
      <c r="I116" s="169" t="s">
        <v>1964</v>
      </c>
      <c r="J116" s="97" t="str">
        <f t="shared" si="1"/>
        <v>A</v>
      </c>
    </row>
    <row r="117" spans="2:10" ht="15.75" customHeight="1">
      <c r="B117" s="79" t="str">
        <f>'＠グループ、表示名'!G117</f>
        <v>FPSA</v>
      </c>
      <c r="C117" s="79" t="str">
        <f>'＠グループ、表示名'!H117</f>
        <v>FPSA00</v>
      </c>
      <c r="D117" s="171" t="s">
        <v>1963</v>
      </c>
      <c r="E117" s="174" t="s">
        <v>1880</v>
      </c>
      <c r="F117" s="100" t="s">
        <v>1058</v>
      </c>
      <c r="G117" s="185" t="s">
        <v>1966</v>
      </c>
      <c r="H117" s="171" t="s">
        <v>1981</v>
      </c>
      <c r="I117" s="169" t="s">
        <v>1980</v>
      </c>
      <c r="J117" s="97" t="str">
        <f t="shared" si="1"/>
        <v>I/O</v>
      </c>
    </row>
    <row r="118" spans="2:10" ht="15.75" customHeight="1">
      <c r="B118" s="79" t="str">
        <f>'＠グループ、表示名'!G118</f>
        <v>FPSA</v>
      </c>
      <c r="C118" s="79" t="str">
        <f>'＠グループ、表示名'!H118</f>
        <v>FPSA01</v>
      </c>
      <c r="D118" s="101" t="s">
        <v>1963</v>
      </c>
      <c r="E118" s="174" t="s">
        <v>1880</v>
      </c>
      <c r="F118" s="100" t="s">
        <v>1058</v>
      </c>
      <c r="G118" s="180" t="s">
        <v>1967</v>
      </c>
      <c r="H118" s="171" t="s">
        <v>1981</v>
      </c>
      <c r="I118" s="169" t="s">
        <v>1980</v>
      </c>
      <c r="J118" s="97" t="str">
        <f t="shared" si="1"/>
        <v>I/O</v>
      </c>
    </row>
    <row r="119" spans="2:10" ht="15.75" customHeight="1">
      <c r="B119" s="79" t="str">
        <f>'＠グループ、表示名'!G119</f>
        <v>FPSA</v>
      </c>
      <c r="C119" s="79" t="str">
        <f>'＠グループ、表示名'!H119</f>
        <v>FPSA02</v>
      </c>
      <c r="D119" s="101" t="s">
        <v>1963</v>
      </c>
      <c r="E119" s="174" t="s">
        <v>1880</v>
      </c>
      <c r="F119" s="100" t="s">
        <v>1058</v>
      </c>
      <c r="G119" s="180" t="s">
        <v>1968</v>
      </c>
      <c r="H119" s="171" t="s">
        <v>1981</v>
      </c>
      <c r="I119" s="169" t="s">
        <v>1980</v>
      </c>
      <c r="J119" s="97" t="str">
        <f t="shared" si="1"/>
        <v>I/O</v>
      </c>
    </row>
    <row r="120" spans="2:10" ht="15.75" customHeight="1">
      <c r="B120" s="79" t="str">
        <f>'＠グループ、表示名'!G120</f>
        <v>FPSA</v>
      </c>
      <c r="C120" s="79" t="str">
        <f>'＠グループ、表示名'!H120</f>
        <v>FPSA03</v>
      </c>
      <c r="D120" s="101" t="s">
        <v>1963</v>
      </c>
      <c r="E120" s="174" t="s">
        <v>1880</v>
      </c>
      <c r="F120" s="100" t="s">
        <v>1058</v>
      </c>
      <c r="G120" s="180" t="s">
        <v>1969</v>
      </c>
      <c r="H120" s="171" t="s">
        <v>1981</v>
      </c>
      <c r="I120" s="169" t="s">
        <v>1980</v>
      </c>
      <c r="J120" s="97" t="str">
        <f t="shared" si="1"/>
        <v>I/O</v>
      </c>
    </row>
    <row r="121" spans="2:10" ht="15.75" customHeight="1">
      <c r="B121" s="79" t="str">
        <f>'＠グループ、表示名'!G121</f>
        <v>FPSA</v>
      </c>
      <c r="C121" s="79" t="str">
        <f>'＠グループ、表示名'!H121</f>
        <v>FPSA04</v>
      </c>
      <c r="D121" s="101" t="s">
        <v>1963</v>
      </c>
      <c r="E121" s="174" t="s">
        <v>1880</v>
      </c>
      <c r="F121" s="100" t="s">
        <v>1058</v>
      </c>
      <c r="G121" s="180" t="s">
        <v>1970</v>
      </c>
      <c r="H121" s="171" t="s">
        <v>1981</v>
      </c>
      <c r="I121" s="169" t="s">
        <v>1980</v>
      </c>
      <c r="J121" s="97" t="str">
        <f t="shared" si="1"/>
        <v>I/O</v>
      </c>
    </row>
    <row r="122" spans="2:10" ht="15.75" customHeight="1">
      <c r="B122" s="79" t="str">
        <f>'＠グループ、表示名'!G122</f>
        <v>FPSA</v>
      </c>
      <c r="C122" s="79" t="str">
        <f>'＠グループ、表示名'!H122</f>
        <v>FPSA05</v>
      </c>
      <c r="D122" s="101" t="s">
        <v>1963</v>
      </c>
      <c r="E122" s="174" t="s">
        <v>1880</v>
      </c>
      <c r="F122" s="100" t="s">
        <v>1058</v>
      </c>
      <c r="G122" s="180" t="s">
        <v>1971</v>
      </c>
      <c r="H122" s="171" t="s">
        <v>1981</v>
      </c>
      <c r="I122" s="169" t="s">
        <v>1980</v>
      </c>
      <c r="J122" s="97" t="str">
        <f t="shared" si="1"/>
        <v>I/O</v>
      </c>
    </row>
    <row r="123" spans="2:10" ht="15.75" customHeight="1">
      <c r="B123" s="79" t="str">
        <f>'＠グループ、表示名'!G123</f>
        <v>FPSA</v>
      </c>
      <c r="C123" s="79" t="str">
        <f>'＠グループ、表示名'!H123</f>
        <v>FPSA06</v>
      </c>
      <c r="D123" s="101" t="s">
        <v>1963</v>
      </c>
      <c r="E123" s="174" t="s">
        <v>1880</v>
      </c>
      <c r="F123" s="100" t="s">
        <v>1058</v>
      </c>
      <c r="G123" s="180" t="s">
        <v>1972</v>
      </c>
      <c r="H123" s="171" t="s">
        <v>1981</v>
      </c>
      <c r="I123" s="169" t="s">
        <v>1980</v>
      </c>
      <c r="J123" s="97" t="str">
        <f t="shared" si="1"/>
        <v>I/O</v>
      </c>
    </row>
    <row r="124" spans="2:10" ht="27" customHeight="1">
      <c r="B124" s="79" t="str">
        <f>'＠グループ、表示名'!G124</f>
        <v>FPSA</v>
      </c>
      <c r="C124" s="79" t="str">
        <f>'＠グループ、表示名'!H124</f>
        <v>FPSA07</v>
      </c>
      <c r="D124" s="101" t="s">
        <v>1963</v>
      </c>
      <c r="E124" s="174" t="s">
        <v>1880</v>
      </c>
      <c r="F124" s="100" t="s">
        <v>1058</v>
      </c>
      <c r="G124" s="180" t="s">
        <v>1973</v>
      </c>
      <c r="H124" s="171" t="s">
        <v>1981</v>
      </c>
      <c r="I124" s="169" t="s">
        <v>1980</v>
      </c>
      <c r="J124" s="123" t="str">
        <f t="shared" si="1"/>
        <v>I/O</v>
      </c>
    </row>
    <row r="125" spans="2:10" ht="27" customHeight="1">
      <c r="B125" s="79" t="str">
        <f>'＠グループ、表示名'!G125</f>
        <v>FPSA</v>
      </c>
      <c r="C125" s="79" t="str">
        <f>'＠グループ、表示名'!H125</f>
        <v>FPSA08</v>
      </c>
      <c r="D125" s="101" t="s">
        <v>1963</v>
      </c>
      <c r="E125" s="174" t="s">
        <v>1880</v>
      </c>
      <c r="F125" s="100" t="s">
        <v>1058</v>
      </c>
      <c r="G125" s="180" t="s">
        <v>1974</v>
      </c>
      <c r="H125" s="171" t="s">
        <v>1981</v>
      </c>
      <c r="I125" s="169" t="s">
        <v>1980</v>
      </c>
      <c r="J125" s="97" t="str">
        <f t="shared" si="1"/>
        <v>I/O</v>
      </c>
    </row>
    <row r="126" spans="2:10" ht="27" customHeight="1">
      <c r="B126" s="79" t="str">
        <f>'＠グループ、表示名'!G126</f>
        <v>FPSA</v>
      </c>
      <c r="C126" s="79" t="str">
        <f>'＠グループ、表示名'!H126</f>
        <v>FPSA09</v>
      </c>
      <c r="D126" s="101" t="s">
        <v>1963</v>
      </c>
      <c r="E126" s="174" t="s">
        <v>1880</v>
      </c>
      <c r="F126" s="100" t="s">
        <v>1058</v>
      </c>
      <c r="G126" s="180" t="s">
        <v>1975</v>
      </c>
      <c r="H126" s="171" t="s">
        <v>1981</v>
      </c>
      <c r="I126" s="169" t="s">
        <v>1980</v>
      </c>
      <c r="J126" s="97" t="str">
        <f t="shared" si="1"/>
        <v>I/O</v>
      </c>
    </row>
    <row r="127" spans="2:10" ht="27" customHeight="1">
      <c r="B127" s="79" t="str">
        <f>'＠グループ、表示名'!G127</f>
        <v>FPSA</v>
      </c>
      <c r="C127" s="79" t="str">
        <f>'＠グループ、表示名'!H127</f>
        <v>FPSA10</v>
      </c>
      <c r="D127" s="101" t="s">
        <v>1963</v>
      </c>
      <c r="E127" s="174" t="s">
        <v>1880</v>
      </c>
      <c r="F127" s="100" t="s">
        <v>1058</v>
      </c>
      <c r="G127" s="180" t="s">
        <v>1976</v>
      </c>
      <c r="H127" s="171" t="s">
        <v>1981</v>
      </c>
      <c r="I127" s="169" t="s">
        <v>1980</v>
      </c>
      <c r="J127" s="97" t="str">
        <f t="shared" si="1"/>
        <v>I/O</v>
      </c>
    </row>
    <row r="128" spans="2:10" ht="15.75" customHeight="1">
      <c r="B128" s="79" t="str">
        <f>'＠グループ、表示名'!G128</f>
        <v>FPSA</v>
      </c>
      <c r="C128" s="79" t="str">
        <f>'＠グループ、表示名'!H128</f>
        <v>FPSA11</v>
      </c>
      <c r="D128" s="101" t="s">
        <v>1963</v>
      </c>
      <c r="E128" s="174" t="s">
        <v>1880</v>
      </c>
      <c r="F128" s="100" t="s">
        <v>1058</v>
      </c>
      <c r="G128" s="180" t="s">
        <v>1977</v>
      </c>
      <c r="H128" s="171" t="s">
        <v>1981</v>
      </c>
      <c r="I128" s="169" t="s">
        <v>1980</v>
      </c>
      <c r="J128" s="97" t="str">
        <f t="shared" si="1"/>
        <v>I/O</v>
      </c>
    </row>
    <row r="129" spans="2:10" ht="27" customHeight="1">
      <c r="B129" s="79" t="str">
        <f>'＠グループ、表示名'!G129</f>
        <v>FPSA</v>
      </c>
      <c r="C129" s="79" t="str">
        <f>'＠グループ、表示名'!H129</f>
        <v>FPSA12</v>
      </c>
      <c r="D129" s="101" t="s">
        <v>1963</v>
      </c>
      <c r="E129" s="174" t="s">
        <v>1880</v>
      </c>
      <c r="F129" s="100" t="s">
        <v>1058</v>
      </c>
      <c r="G129" s="180" t="s">
        <v>1978</v>
      </c>
      <c r="H129" s="171" t="s">
        <v>1981</v>
      </c>
      <c r="I129" s="169" t="s">
        <v>1980</v>
      </c>
      <c r="J129" s="97" t="str">
        <f t="shared" si="1"/>
        <v>I/O</v>
      </c>
    </row>
    <row r="130" spans="2:10" ht="27" customHeight="1">
      <c r="B130" s="79" t="str">
        <f>'＠グループ、表示名'!G130</f>
        <v>FPSA</v>
      </c>
      <c r="C130" s="79" t="str">
        <f>'＠グループ、表示名'!H130</f>
        <v>FPSA13</v>
      </c>
      <c r="D130" s="101" t="s">
        <v>1963</v>
      </c>
      <c r="E130" s="174" t="s">
        <v>1880</v>
      </c>
      <c r="F130" s="100" t="s">
        <v>1058</v>
      </c>
      <c r="G130" s="180" t="s">
        <v>1979</v>
      </c>
      <c r="H130" s="171" t="s">
        <v>1981</v>
      </c>
      <c r="I130" s="169" t="s">
        <v>1980</v>
      </c>
      <c r="J130" s="97" t="str">
        <f t="shared" si="1"/>
        <v>I/O</v>
      </c>
    </row>
    <row r="131" spans="2:10" ht="27" customHeight="1">
      <c r="B131" s="79" t="str">
        <f>'＠グループ、表示名'!G131</f>
        <v>FPSB</v>
      </c>
      <c r="C131" s="79" t="str">
        <f>'＠グループ、表示名'!H131</f>
        <v>FPSB00</v>
      </c>
      <c r="D131" s="101" t="s">
        <v>1963</v>
      </c>
      <c r="E131" s="174" t="s">
        <v>1880</v>
      </c>
      <c r="F131" s="100" t="s">
        <v>1058</v>
      </c>
      <c r="G131" s="180" t="s">
        <v>1982</v>
      </c>
      <c r="H131" s="171" t="s">
        <v>1994</v>
      </c>
      <c r="I131" s="169" t="s">
        <v>1995</v>
      </c>
      <c r="J131" s="97" t="str">
        <f t="shared" si="1"/>
        <v>I/O</v>
      </c>
    </row>
    <row r="132" spans="2:10" ht="27" customHeight="1">
      <c r="B132" s="79" t="str">
        <f>'＠グループ、表示名'!G132</f>
        <v>FPSB</v>
      </c>
      <c r="C132" s="79" t="str">
        <f>'＠グループ、表示名'!H132</f>
        <v>FPSB01</v>
      </c>
      <c r="D132" s="101" t="s">
        <v>1963</v>
      </c>
      <c r="E132" s="174" t="s">
        <v>1880</v>
      </c>
      <c r="F132" s="100" t="s">
        <v>1058</v>
      </c>
      <c r="G132" s="180" t="s">
        <v>1983</v>
      </c>
      <c r="H132" s="171" t="s">
        <v>1994</v>
      </c>
      <c r="I132" s="169" t="s">
        <v>1995</v>
      </c>
      <c r="J132" s="97" t="str">
        <f t="shared" si="1"/>
        <v>I/O</v>
      </c>
    </row>
    <row r="133" spans="2:10" ht="15.75" customHeight="1">
      <c r="B133" s="79" t="str">
        <f>'＠グループ、表示名'!G133</f>
        <v>FPSB</v>
      </c>
      <c r="C133" s="79" t="str">
        <f>'＠グループ、表示名'!H133</f>
        <v>FPSB02</v>
      </c>
      <c r="D133" s="101" t="s">
        <v>1963</v>
      </c>
      <c r="E133" s="174" t="s">
        <v>1880</v>
      </c>
      <c r="F133" s="100" t="s">
        <v>1058</v>
      </c>
      <c r="G133" s="180" t="s">
        <v>1984</v>
      </c>
      <c r="H133" s="171" t="s">
        <v>1994</v>
      </c>
      <c r="I133" s="169" t="s">
        <v>1995</v>
      </c>
      <c r="J133" s="97" t="str">
        <f t="shared" ref="J133:J196" si="2">F133</f>
        <v>I/O</v>
      </c>
    </row>
    <row r="134" spans="2:10" ht="27" customHeight="1">
      <c r="B134" s="79" t="str">
        <f>'＠グループ、表示名'!G134</f>
        <v>FPSB</v>
      </c>
      <c r="C134" s="79" t="str">
        <f>'＠グループ、表示名'!H134</f>
        <v>FPSB03</v>
      </c>
      <c r="D134" s="101" t="s">
        <v>1963</v>
      </c>
      <c r="E134" s="174" t="s">
        <v>1880</v>
      </c>
      <c r="F134" s="100" t="s">
        <v>1058</v>
      </c>
      <c r="G134" s="180" t="s">
        <v>1985</v>
      </c>
      <c r="H134" s="171" t="s">
        <v>1994</v>
      </c>
      <c r="I134" s="169" t="s">
        <v>1995</v>
      </c>
      <c r="J134" s="97" t="str">
        <f t="shared" si="2"/>
        <v>I/O</v>
      </c>
    </row>
    <row r="135" spans="2:10" ht="27" customHeight="1">
      <c r="B135" s="79" t="str">
        <f>'＠グループ、表示名'!G135</f>
        <v>FPSB</v>
      </c>
      <c r="C135" s="79" t="str">
        <f>'＠グループ、表示名'!H135</f>
        <v>FPSB04</v>
      </c>
      <c r="D135" s="101" t="s">
        <v>1963</v>
      </c>
      <c r="E135" s="174" t="s">
        <v>1880</v>
      </c>
      <c r="F135" s="100" t="s">
        <v>1058</v>
      </c>
      <c r="G135" s="180" t="s">
        <v>1986</v>
      </c>
      <c r="H135" s="171" t="s">
        <v>1994</v>
      </c>
      <c r="I135" s="169" t="s">
        <v>1995</v>
      </c>
      <c r="J135" s="97" t="str">
        <f t="shared" si="2"/>
        <v>I/O</v>
      </c>
    </row>
    <row r="136" spans="2:10" ht="27" customHeight="1">
      <c r="B136" s="79" t="str">
        <f>'＠グループ、表示名'!G136</f>
        <v>FPSB</v>
      </c>
      <c r="C136" s="79" t="str">
        <f>'＠グループ、表示名'!H136</f>
        <v>FPSB05</v>
      </c>
      <c r="D136" s="101" t="s">
        <v>1963</v>
      </c>
      <c r="E136" s="174" t="s">
        <v>1880</v>
      </c>
      <c r="F136" s="100" t="s">
        <v>1058</v>
      </c>
      <c r="G136" s="180" t="s">
        <v>1987</v>
      </c>
      <c r="H136" s="171" t="s">
        <v>1994</v>
      </c>
      <c r="I136" s="176" t="s">
        <v>1995</v>
      </c>
      <c r="J136" s="115" t="str">
        <f t="shared" si="2"/>
        <v>I/O</v>
      </c>
    </row>
    <row r="137" spans="2:10" ht="27" customHeight="1">
      <c r="B137" s="79" t="str">
        <f>'＠グループ、表示名'!G137</f>
        <v>FPSB</v>
      </c>
      <c r="C137" s="79" t="str">
        <f>'＠グループ、表示名'!H137</f>
        <v>FPSB06</v>
      </c>
      <c r="D137" s="101" t="s">
        <v>1963</v>
      </c>
      <c r="E137" s="174" t="s">
        <v>1880</v>
      </c>
      <c r="F137" s="100" t="s">
        <v>1058</v>
      </c>
      <c r="G137" s="180" t="s">
        <v>1988</v>
      </c>
      <c r="H137" s="171" t="s">
        <v>1994</v>
      </c>
      <c r="I137" s="176" t="s">
        <v>1995</v>
      </c>
      <c r="J137" s="115" t="str">
        <f t="shared" si="2"/>
        <v>I/O</v>
      </c>
    </row>
    <row r="138" spans="2:10" ht="15.75" customHeight="1">
      <c r="B138" s="79" t="str">
        <f>'＠グループ、表示名'!G138</f>
        <v>FPSB</v>
      </c>
      <c r="C138" s="79" t="str">
        <f>'＠グループ、表示名'!H138</f>
        <v>FPSB07</v>
      </c>
      <c r="D138" s="101" t="s">
        <v>1963</v>
      </c>
      <c r="E138" s="174" t="s">
        <v>1880</v>
      </c>
      <c r="F138" s="100" t="s">
        <v>1058</v>
      </c>
      <c r="G138" s="180" t="s">
        <v>1989</v>
      </c>
      <c r="H138" s="171" t="s">
        <v>1994</v>
      </c>
      <c r="I138" s="176" t="s">
        <v>1995</v>
      </c>
      <c r="J138" s="115" t="str">
        <f t="shared" si="2"/>
        <v>I/O</v>
      </c>
    </row>
    <row r="139" spans="2:10" ht="27" customHeight="1">
      <c r="B139" s="79" t="str">
        <f>'＠グループ、表示名'!G139</f>
        <v>FPSB</v>
      </c>
      <c r="C139" s="79" t="str">
        <f>'＠グループ、表示名'!H139</f>
        <v>FPSB08</v>
      </c>
      <c r="D139" s="101" t="s">
        <v>1963</v>
      </c>
      <c r="E139" s="174" t="s">
        <v>1880</v>
      </c>
      <c r="F139" s="100" t="s">
        <v>1058</v>
      </c>
      <c r="G139" s="180" t="s">
        <v>1990</v>
      </c>
      <c r="H139" s="171" t="s">
        <v>1994</v>
      </c>
      <c r="I139" s="176" t="s">
        <v>1995</v>
      </c>
      <c r="J139" s="115" t="str">
        <f t="shared" si="2"/>
        <v>I/O</v>
      </c>
    </row>
    <row r="140" spans="2:10" ht="27" customHeight="1">
      <c r="B140" s="79" t="str">
        <f>'＠グループ、表示名'!G140</f>
        <v>FPSB</v>
      </c>
      <c r="C140" s="79" t="str">
        <f>'＠グループ、表示名'!H140</f>
        <v>FPSB09</v>
      </c>
      <c r="D140" s="101" t="s">
        <v>1963</v>
      </c>
      <c r="E140" s="174" t="s">
        <v>1880</v>
      </c>
      <c r="F140" s="100" t="s">
        <v>1058</v>
      </c>
      <c r="G140" s="180" t="s">
        <v>1991</v>
      </c>
      <c r="H140" s="171" t="s">
        <v>1994</v>
      </c>
      <c r="I140" s="176" t="s">
        <v>1995</v>
      </c>
      <c r="J140" s="115" t="str">
        <f t="shared" si="2"/>
        <v>I/O</v>
      </c>
    </row>
    <row r="141" spans="2:10" ht="27" customHeight="1">
      <c r="B141" s="79" t="str">
        <f>'＠グループ、表示名'!G141</f>
        <v>FPSB</v>
      </c>
      <c r="C141" s="79" t="str">
        <f>'＠グループ、表示名'!H141</f>
        <v>FPSB10</v>
      </c>
      <c r="D141" s="101" t="s">
        <v>1963</v>
      </c>
      <c r="E141" s="174" t="s">
        <v>1880</v>
      </c>
      <c r="F141" s="100" t="s">
        <v>1058</v>
      </c>
      <c r="G141" s="180" t="s">
        <v>1992</v>
      </c>
      <c r="H141" s="171" t="s">
        <v>1994</v>
      </c>
      <c r="I141" s="176" t="s">
        <v>1995</v>
      </c>
      <c r="J141" s="115" t="str">
        <f t="shared" si="2"/>
        <v>I/O</v>
      </c>
    </row>
    <row r="142" spans="2:10" ht="27" customHeight="1">
      <c r="B142" s="79" t="str">
        <f>'＠グループ、表示名'!G142</f>
        <v>FPSB</v>
      </c>
      <c r="C142" s="79" t="str">
        <f>'＠グループ、表示名'!H142</f>
        <v>FPSB11</v>
      </c>
      <c r="D142" s="101" t="s">
        <v>1963</v>
      </c>
      <c r="E142" s="174" t="s">
        <v>1880</v>
      </c>
      <c r="F142" s="100" t="s">
        <v>1058</v>
      </c>
      <c r="G142" s="180" t="s">
        <v>1993</v>
      </c>
      <c r="H142" s="171" t="s">
        <v>1994</v>
      </c>
      <c r="I142" s="176" t="s">
        <v>1995</v>
      </c>
      <c r="J142" s="115" t="str">
        <f t="shared" si="2"/>
        <v>I/O</v>
      </c>
    </row>
    <row r="143" spans="2:10" ht="27" customHeight="1">
      <c r="B143" s="79" t="str">
        <f>'＠グループ、表示名'!G143</f>
        <v>P0</v>
      </c>
      <c r="C143" s="79" t="str">
        <f>'＠グループ、表示名'!H143</f>
        <v>P0.0</v>
      </c>
      <c r="D143" s="178" t="s">
        <v>1129</v>
      </c>
      <c r="E143" s="108" t="s">
        <v>1996</v>
      </c>
      <c r="F143" s="100" t="s">
        <v>1058</v>
      </c>
      <c r="G143" s="129" t="s">
        <v>1128</v>
      </c>
      <c r="H143" s="79" t="s">
        <v>1997</v>
      </c>
      <c r="I143" s="181" t="s">
        <v>1128</v>
      </c>
      <c r="J143" s="115" t="str">
        <f t="shared" si="2"/>
        <v>I/O</v>
      </c>
    </row>
    <row r="144" spans="2:10" ht="15.75" customHeight="1">
      <c r="B144" s="79" t="str">
        <f>'＠グループ、表示名'!G144</f>
        <v>P0</v>
      </c>
      <c r="C144" s="79" t="str">
        <f>'＠グループ、表示名'!H144</f>
        <v>P0.1</v>
      </c>
      <c r="D144" s="178" t="s">
        <v>1129</v>
      </c>
      <c r="E144" s="108" t="s">
        <v>1996</v>
      </c>
      <c r="F144" s="100" t="s">
        <v>1058</v>
      </c>
      <c r="G144" s="129" t="s">
        <v>1128</v>
      </c>
      <c r="H144" s="79" t="s">
        <v>1997</v>
      </c>
      <c r="I144" s="181" t="s">
        <v>1128</v>
      </c>
      <c r="J144" s="115" t="str">
        <f t="shared" si="2"/>
        <v>I/O</v>
      </c>
    </row>
    <row r="145" spans="2:10" ht="27" customHeight="1">
      <c r="B145" s="79" t="str">
        <f>'＠グループ、表示名'!G145</f>
        <v>P0</v>
      </c>
      <c r="C145" s="79" t="str">
        <f>'＠グループ、表示名'!H145</f>
        <v>P0.2</v>
      </c>
      <c r="D145" s="178" t="s">
        <v>1129</v>
      </c>
      <c r="E145" s="108" t="s">
        <v>1996</v>
      </c>
      <c r="F145" s="100" t="s">
        <v>1058</v>
      </c>
      <c r="G145" s="129" t="s">
        <v>1128</v>
      </c>
      <c r="H145" s="79" t="s">
        <v>1997</v>
      </c>
      <c r="I145" s="181" t="s">
        <v>1128</v>
      </c>
      <c r="J145" s="115" t="str">
        <f t="shared" si="2"/>
        <v>I/O</v>
      </c>
    </row>
    <row r="146" spans="2:10" ht="27" customHeight="1">
      <c r="B146" s="79" t="str">
        <f>'＠グループ、表示名'!G146</f>
        <v>P0</v>
      </c>
      <c r="C146" s="79" t="str">
        <f>'＠グループ、表示名'!H146</f>
        <v>P0.3</v>
      </c>
      <c r="D146" s="178" t="s">
        <v>1129</v>
      </c>
      <c r="E146" s="108" t="s">
        <v>1996</v>
      </c>
      <c r="F146" s="100" t="s">
        <v>1058</v>
      </c>
      <c r="G146" s="129" t="s">
        <v>1128</v>
      </c>
      <c r="H146" s="79" t="s">
        <v>1997</v>
      </c>
      <c r="I146" s="181" t="s">
        <v>1128</v>
      </c>
      <c r="J146" s="115" t="str">
        <f t="shared" si="2"/>
        <v>I/O</v>
      </c>
    </row>
    <row r="147" spans="2:10" ht="27" customHeight="1">
      <c r="B147" s="79" t="str">
        <f>'＠グループ、表示名'!G147</f>
        <v>P0</v>
      </c>
      <c r="C147" s="79" t="str">
        <f>'＠グループ、表示名'!H147</f>
        <v>P0.4</v>
      </c>
      <c r="D147" s="178" t="s">
        <v>1129</v>
      </c>
      <c r="E147" s="108" t="s">
        <v>1996</v>
      </c>
      <c r="F147" s="100" t="s">
        <v>1058</v>
      </c>
      <c r="G147" s="129" t="s">
        <v>1128</v>
      </c>
      <c r="H147" s="101" t="s">
        <v>1997</v>
      </c>
      <c r="I147" s="181" t="s">
        <v>1128</v>
      </c>
      <c r="J147" s="115" t="str">
        <f t="shared" si="2"/>
        <v>I/O</v>
      </c>
    </row>
    <row r="148" spans="2:10" ht="27" customHeight="1">
      <c r="B148" s="79" t="str">
        <f>'＠グループ、表示名'!G148</f>
        <v>P0</v>
      </c>
      <c r="C148" s="79" t="str">
        <f>'＠グループ、表示名'!H148</f>
        <v>P0.5</v>
      </c>
      <c r="D148" s="178" t="s">
        <v>1129</v>
      </c>
      <c r="E148" s="108" t="s">
        <v>1996</v>
      </c>
      <c r="F148" s="100" t="s">
        <v>1058</v>
      </c>
      <c r="G148" s="129" t="s">
        <v>1128</v>
      </c>
      <c r="H148" s="101" t="s">
        <v>1997</v>
      </c>
      <c r="I148" s="181" t="s">
        <v>1128</v>
      </c>
      <c r="J148" s="115" t="str">
        <f t="shared" si="2"/>
        <v>I/O</v>
      </c>
    </row>
    <row r="149" spans="2:10" ht="27" customHeight="1">
      <c r="B149" s="79" t="str">
        <f>'＠グループ、表示名'!G149</f>
        <v>P0</v>
      </c>
      <c r="C149" s="79" t="str">
        <f>'＠グループ、表示名'!H149</f>
        <v>P0.6</v>
      </c>
      <c r="D149" s="178" t="s">
        <v>1129</v>
      </c>
      <c r="E149" s="108" t="s">
        <v>1996</v>
      </c>
      <c r="F149" s="100" t="s">
        <v>1058</v>
      </c>
      <c r="G149" s="129" t="s">
        <v>1128</v>
      </c>
      <c r="H149" s="101" t="s">
        <v>1997</v>
      </c>
      <c r="I149" s="181" t="s">
        <v>1128</v>
      </c>
      <c r="J149" s="115" t="str">
        <f t="shared" si="2"/>
        <v>I/O</v>
      </c>
    </row>
    <row r="150" spans="2:10" ht="27" customHeight="1">
      <c r="B150" s="79" t="str">
        <f>'＠グループ、表示名'!G150</f>
        <v>P0</v>
      </c>
      <c r="C150" s="79" t="str">
        <f>'＠グループ、表示名'!H150</f>
        <v>P0.7</v>
      </c>
      <c r="D150" s="178" t="s">
        <v>1129</v>
      </c>
      <c r="E150" s="108" t="s">
        <v>1996</v>
      </c>
      <c r="F150" s="100" t="s">
        <v>1058</v>
      </c>
      <c r="G150" s="129" t="s">
        <v>1128</v>
      </c>
      <c r="H150" s="101" t="s">
        <v>1997</v>
      </c>
      <c r="I150" s="181" t="s">
        <v>1128</v>
      </c>
      <c r="J150" s="115" t="str">
        <f t="shared" si="2"/>
        <v>I/O</v>
      </c>
    </row>
    <row r="151" spans="2:10" ht="27" customHeight="1">
      <c r="B151" s="79" t="str">
        <f>'＠グループ、表示名'!G151</f>
        <v>P1</v>
      </c>
      <c r="C151" s="79" t="str">
        <f>'＠グループ、表示名'!H151</f>
        <v>P1.0</v>
      </c>
      <c r="D151" s="178" t="s">
        <v>1129</v>
      </c>
      <c r="E151" s="108" t="s">
        <v>1996</v>
      </c>
      <c r="F151" s="100" t="s">
        <v>1058</v>
      </c>
      <c r="G151" s="129" t="s">
        <v>1128</v>
      </c>
      <c r="H151" s="101" t="s">
        <v>1116</v>
      </c>
      <c r="I151" s="181" t="s">
        <v>1128</v>
      </c>
      <c r="J151" s="115" t="str">
        <f t="shared" si="2"/>
        <v>I/O</v>
      </c>
    </row>
    <row r="152" spans="2:10" ht="27" customHeight="1">
      <c r="B152" s="79" t="str">
        <f>'＠グループ、表示名'!G152</f>
        <v>P1</v>
      </c>
      <c r="C152" s="79" t="str">
        <f>'＠グループ、表示名'!H152</f>
        <v>P1.1</v>
      </c>
      <c r="D152" s="178" t="s">
        <v>1129</v>
      </c>
      <c r="E152" s="108" t="s">
        <v>1996</v>
      </c>
      <c r="F152" s="100" t="s">
        <v>1058</v>
      </c>
      <c r="G152" s="129" t="s">
        <v>1128</v>
      </c>
      <c r="H152" s="79" t="s">
        <v>1116</v>
      </c>
      <c r="I152" s="181" t="s">
        <v>1128</v>
      </c>
      <c r="J152" s="115" t="str">
        <f t="shared" si="2"/>
        <v>I/O</v>
      </c>
    </row>
    <row r="153" spans="2:10" ht="27" customHeight="1">
      <c r="B153" s="79" t="str">
        <f>'＠グループ、表示名'!G153</f>
        <v>P1</v>
      </c>
      <c r="C153" s="79" t="str">
        <f>'＠グループ、表示名'!H153</f>
        <v>P1.2</v>
      </c>
      <c r="D153" s="178" t="s">
        <v>1129</v>
      </c>
      <c r="E153" s="108" t="s">
        <v>1996</v>
      </c>
      <c r="F153" s="100" t="s">
        <v>1058</v>
      </c>
      <c r="G153" s="129" t="s">
        <v>1128</v>
      </c>
      <c r="H153" s="101" t="s">
        <v>1116</v>
      </c>
      <c r="I153" s="181" t="s">
        <v>1128</v>
      </c>
      <c r="J153" s="115" t="str">
        <f t="shared" si="2"/>
        <v>I/O</v>
      </c>
    </row>
    <row r="154" spans="2:10" ht="27" customHeight="1">
      <c r="B154" s="79" t="str">
        <f>'＠グループ、表示名'!G154</f>
        <v>P1</v>
      </c>
      <c r="C154" s="79" t="str">
        <f>'＠グループ、表示名'!H154</f>
        <v>P1.3</v>
      </c>
      <c r="D154" s="178" t="s">
        <v>1129</v>
      </c>
      <c r="E154" s="108" t="s">
        <v>1996</v>
      </c>
      <c r="F154" s="100" t="s">
        <v>1058</v>
      </c>
      <c r="G154" s="129" t="s">
        <v>1128</v>
      </c>
      <c r="H154" s="79" t="s">
        <v>1116</v>
      </c>
      <c r="I154" s="181" t="s">
        <v>1128</v>
      </c>
      <c r="J154" s="115" t="str">
        <f t="shared" si="2"/>
        <v>I/O</v>
      </c>
    </row>
    <row r="155" spans="2:10" ht="15.75" customHeight="1">
      <c r="B155" s="79" t="str">
        <f>'＠グループ、表示名'!G155</f>
        <v>P2</v>
      </c>
      <c r="C155" s="79" t="str">
        <f>'＠グループ、表示名'!H155</f>
        <v>P2.0</v>
      </c>
      <c r="D155" s="178" t="s">
        <v>1129</v>
      </c>
      <c r="E155" s="108" t="s">
        <v>1996</v>
      </c>
      <c r="F155" s="100" t="s">
        <v>1058</v>
      </c>
      <c r="G155" s="129" t="s">
        <v>1128</v>
      </c>
      <c r="H155" s="79" t="s">
        <v>1117</v>
      </c>
      <c r="I155" s="181" t="s">
        <v>1128</v>
      </c>
      <c r="J155" s="115" t="str">
        <f t="shared" si="2"/>
        <v>I/O</v>
      </c>
    </row>
    <row r="156" spans="2:10" ht="15.75" customHeight="1">
      <c r="B156" s="79" t="str">
        <f>'＠グループ、表示名'!G156</f>
        <v>P2</v>
      </c>
      <c r="C156" s="79" t="str">
        <f>'＠グループ、表示名'!H156</f>
        <v>P2.1</v>
      </c>
      <c r="D156" s="178" t="s">
        <v>1129</v>
      </c>
      <c r="E156" s="108" t="s">
        <v>1996</v>
      </c>
      <c r="F156" s="100" t="s">
        <v>1058</v>
      </c>
      <c r="G156" s="129" t="s">
        <v>1128</v>
      </c>
      <c r="H156" s="79" t="s">
        <v>1117</v>
      </c>
      <c r="I156" s="181" t="s">
        <v>1128</v>
      </c>
      <c r="J156" s="115" t="str">
        <f t="shared" si="2"/>
        <v>I/O</v>
      </c>
    </row>
    <row r="157" spans="2:10" ht="27" customHeight="1">
      <c r="B157" s="79" t="str">
        <f>'＠グループ、表示名'!G157</f>
        <v>P2</v>
      </c>
      <c r="C157" s="79" t="str">
        <f>'＠グループ、表示名'!H157</f>
        <v>P2.2</v>
      </c>
      <c r="D157" s="178" t="s">
        <v>1129</v>
      </c>
      <c r="E157" s="108" t="s">
        <v>1996</v>
      </c>
      <c r="F157" s="100" t="s">
        <v>1058</v>
      </c>
      <c r="G157" s="129" t="s">
        <v>1128</v>
      </c>
      <c r="H157" s="101" t="s">
        <v>1117</v>
      </c>
      <c r="I157" s="181" t="s">
        <v>1128</v>
      </c>
      <c r="J157" s="115" t="str">
        <f t="shared" si="2"/>
        <v>I/O</v>
      </c>
    </row>
    <row r="158" spans="2:10" ht="27" customHeight="1">
      <c r="B158" s="79" t="str">
        <f>'＠グループ、表示名'!G158</f>
        <v>P2</v>
      </c>
      <c r="C158" s="79" t="str">
        <f>'＠グループ、表示名'!H158</f>
        <v>P2.3</v>
      </c>
      <c r="D158" s="178" t="s">
        <v>1129</v>
      </c>
      <c r="E158" s="108" t="s">
        <v>1996</v>
      </c>
      <c r="F158" s="100" t="s">
        <v>1058</v>
      </c>
      <c r="G158" s="129" t="s">
        <v>1128</v>
      </c>
      <c r="H158" s="101" t="s">
        <v>1117</v>
      </c>
      <c r="I158" s="181" t="s">
        <v>1128</v>
      </c>
      <c r="J158" s="115" t="str">
        <f t="shared" si="2"/>
        <v>I/O</v>
      </c>
    </row>
    <row r="159" spans="2:10" ht="27" customHeight="1">
      <c r="B159" s="79" t="str">
        <f>'＠グループ、表示名'!G159</f>
        <v>P2</v>
      </c>
      <c r="C159" s="79" t="str">
        <f>'＠グループ、表示名'!H159</f>
        <v>P2.4</v>
      </c>
      <c r="D159" s="178" t="s">
        <v>1129</v>
      </c>
      <c r="E159" s="108" t="s">
        <v>1996</v>
      </c>
      <c r="F159" s="100" t="s">
        <v>1058</v>
      </c>
      <c r="G159" s="129" t="s">
        <v>1128</v>
      </c>
      <c r="H159" s="101" t="s">
        <v>1117</v>
      </c>
      <c r="I159" s="181" t="s">
        <v>1128</v>
      </c>
      <c r="J159" s="115" t="str">
        <f t="shared" si="2"/>
        <v>I/O</v>
      </c>
    </row>
    <row r="160" spans="2:10" ht="27" customHeight="1">
      <c r="B160" s="79" t="str">
        <f>'＠グループ、表示名'!G160</f>
        <v>P2</v>
      </c>
      <c r="C160" s="79" t="str">
        <f>'＠グループ、表示名'!H160</f>
        <v>P2.5</v>
      </c>
      <c r="D160" s="178" t="s">
        <v>1129</v>
      </c>
      <c r="E160" s="108" t="s">
        <v>1996</v>
      </c>
      <c r="F160" s="100" t="s">
        <v>1058</v>
      </c>
      <c r="G160" s="129" t="s">
        <v>1128</v>
      </c>
      <c r="H160" s="79" t="s">
        <v>1117</v>
      </c>
      <c r="I160" s="181" t="s">
        <v>1128</v>
      </c>
      <c r="J160" s="115" t="str">
        <f t="shared" si="2"/>
        <v>I/O</v>
      </c>
    </row>
    <row r="161" spans="2:10" ht="15.75" customHeight="1">
      <c r="B161" s="79" t="str">
        <f>'＠グループ、表示名'!G161</f>
        <v>P2</v>
      </c>
      <c r="C161" s="79" t="str">
        <f>'＠グループ、表示名'!H161</f>
        <v>P2.6</v>
      </c>
      <c r="D161" s="178" t="s">
        <v>1129</v>
      </c>
      <c r="E161" s="108" t="s">
        <v>1996</v>
      </c>
      <c r="F161" s="100" t="s">
        <v>1058</v>
      </c>
      <c r="G161" s="129" t="s">
        <v>1128</v>
      </c>
      <c r="H161" s="79" t="s">
        <v>1117</v>
      </c>
      <c r="I161" s="181" t="s">
        <v>1128</v>
      </c>
      <c r="J161" s="115" t="str">
        <f t="shared" si="2"/>
        <v>I/O</v>
      </c>
    </row>
    <row r="162" spans="2:10" ht="27" customHeight="1">
      <c r="B162" s="79" t="str">
        <f>'＠グループ、表示名'!G162</f>
        <v>P2</v>
      </c>
      <c r="C162" s="79" t="str">
        <f>'＠グループ、表示名'!H162</f>
        <v>P2.7</v>
      </c>
      <c r="D162" s="178" t="s">
        <v>1129</v>
      </c>
      <c r="E162" s="108" t="s">
        <v>1996</v>
      </c>
      <c r="F162" s="100" t="s">
        <v>1058</v>
      </c>
      <c r="G162" s="129" t="s">
        <v>1128</v>
      </c>
      <c r="H162" s="101" t="s">
        <v>1117</v>
      </c>
      <c r="I162" s="181" t="s">
        <v>1128</v>
      </c>
      <c r="J162" s="115" t="str">
        <f t="shared" si="2"/>
        <v>I/O</v>
      </c>
    </row>
    <row r="163" spans="2:10" ht="27" customHeight="1">
      <c r="B163" s="79" t="str">
        <f>'＠グループ、表示名'!G163</f>
        <v>P3</v>
      </c>
      <c r="C163" s="79" t="str">
        <f>'＠グループ、表示名'!H163</f>
        <v>P3.0</v>
      </c>
      <c r="D163" s="178" t="s">
        <v>1129</v>
      </c>
      <c r="E163" s="108" t="s">
        <v>1996</v>
      </c>
      <c r="F163" s="100" t="s">
        <v>1058</v>
      </c>
      <c r="G163" s="129" t="s">
        <v>1128</v>
      </c>
      <c r="H163" s="101" t="s">
        <v>1118</v>
      </c>
      <c r="I163" s="181" t="s">
        <v>1128</v>
      </c>
      <c r="J163" s="115" t="str">
        <f t="shared" si="2"/>
        <v>I/O</v>
      </c>
    </row>
    <row r="164" spans="2:10" ht="27" customHeight="1">
      <c r="B164" s="79" t="str">
        <f>'＠グループ、表示名'!G164</f>
        <v>P3</v>
      </c>
      <c r="C164" s="79" t="str">
        <f>'＠グループ、表示名'!H164</f>
        <v>P3.1</v>
      </c>
      <c r="D164" s="178" t="s">
        <v>1129</v>
      </c>
      <c r="E164" s="108" t="s">
        <v>1996</v>
      </c>
      <c r="F164" s="100" t="s">
        <v>1058</v>
      </c>
      <c r="G164" s="129" t="s">
        <v>1128</v>
      </c>
      <c r="H164" s="101" t="s">
        <v>1118</v>
      </c>
      <c r="I164" s="181" t="s">
        <v>1128</v>
      </c>
      <c r="J164" s="115" t="str">
        <f t="shared" si="2"/>
        <v>I/O</v>
      </c>
    </row>
    <row r="165" spans="2:10" ht="27" customHeight="1">
      <c r="B165" s="79" t="str">
        <f>'＠グループ、表示名'!G165</f>
        <v>P3</v>
      </c>
      <c r="C165" s="79" t="str">
        <f>'＠グループ、表示名'!H165</f>
        <v>P3.2</v>
      </c>
      <c r="D165" s="178" t="s">
        <v>1129</v>
      </c>
      <c r="E165" s="108" t="s">
        <v>1996</v>
      </c>
      <c r="F165" s="100" t="s">
        <v>1058</v>
      </c>
      <c r="G165" s="129" t="s">
        <v>1128</v>
      </c>
      <c r="H165" s="79" t="s">
        <v>1118</v>
      </c>
      <c r="I165" s="181" t="s">
        <v>1128</v>
      </c>
      <c r="J165" s="115" t="str">
        <f t="shared" si="2"/>
        <v>I/O</v>
      </c>
    </row>
    <row r="166" spans="2:10" ht="15.75" customHeight="1">
      <c r="B166" s="79" t="str">
        <f>'＠グループ、表示名'!G166</f>
        <v>P3</v>
      </c>
      <c r="C166" s="79" t="str">
        <f>'＠グループ、表示名'!H166</f>
        <v>P3.3</v>
      </c>
      <c r="D166" s="178" t="s">
        <v>1129</v>
      </c>
      <c r="E166" s="108" t="s">
        <v>1996</v>
      </c>
      <c r="F166" s="100" t="s">
        <v>1058</v>
      </c>
      <c r="G166" s="129" t="s">
        <v>1128</v>
      </c>
      <c r="H166" s="79" t="s">
        <v>1118</v>
      </c>
      <c r="I166" s="181" t="s">
        <v>1128</v>
      </c>
      <c r="J166" s="115" t="str">
        <f t="shared" si="2"/>
        <v>I/O</v>
      </c>
    </row>
    <row r="167" spans="2:10">
      <c r="B167" s="79" t="str">
        <f>'＠グループ、表示名'!G167</f>
        <v>P3</v>
      </c>
      <c r="C167" s="79" t="str">
        <f>'＠グループ、表示名'!H167</f>
        <v>P3.4</v>
      </c>
      <c r="D167" s="178" t="s">
        <v>1129</v>
      </c>
      <c r="E167" s="108" t="s">
        <v>1996</v>
      </c>
      <c r="F167" s="100" t="s">
        <v>1058</v>
      </c>
      <c r="G167" s="129" t="s">
        <v>1128</v>
      </c>
      <c r="H167" s="79" t="s">
        <v>1118</v>
      </c>
      <c r="I167" s="181" t="s">
        <v>1128</v>
      </c>
      <c r="J167" s="115" t="str">
        <f t="shared" si="2"/>
        <v>I/O</v>
      </c>
    </row>
    <row r="168" spans="2:10">
      <c r="B168" s="79" t="str">
        <f>'＠グループ、表示名'!G168</f>
        <v>P3</v>
      </c>
      <c r="C168" s="79" t="str">
        <f>'＠グループ、表示名'!H168</f>
        <v>P3.5</v>
      </c>
      <c r="D168" s="178" t="s">
        <v>1129</v>
      </c>
      <c r="E168" s="108" t="s">
        <v>1996</v>
      </c>
      <c r="F168" s="100" t="s">
        <v>1058</v>
      </c>
      <c r="G168" s="129" t="s">
        <v>1128</v>
      </c>
      <c r="H168" s="79" t="s">
        <v>1118</v>
      </c>
      <c r="I168" s="181" t="s">
        <v>1128</v>
      </c>
      <c r="J168" s="115" t="str">
        <f t="shared" si="2"/>
        <v>I/O</v>
      </c>
    </row>
    <row r="169" spans="2:10">
      <c r="B169" s="79" t="str">
        <f>'＠グループ、表示名'!G169</f>
        <v>P3</v>
      </c>
      <c r="C169" s="79" t="str">
        <f>'＠グループ、表示名'!H169</f>
        <v>P3.6</v>
      </c>
      <c r="D169" s="178" t="s">
        <v>1129</v>
      </c>
      <c r="E169" s="108" t="s">
        <v>1996</v>
      </c>
      <c r="F169" s="100" t="s">
        <v>1058</v>
      </c>
      <c r="G169" s="129" t="s">
        <v>1128</v>
      </c>
      <c r="H169" s="101" t="s">
        <v>1118</v>
      </c>
      <c r="I169" s="181" t="s">
        <v>1128</v>
      </c>
      <c r="J169" s="115" t="str">
        <f t="shared" si="2"/>
        <v>I/O</v>
      </c>
    </row>
    <row r="170" spans="2:10">
      <c r="B170" s="79" t="str">
        <f>'＠グループ、表示名'!G170</f>
        <v>P3</v>
      </c>
      <c r="C170" s="79" t="str">
        <f>'＠グループ、表示名'!H170</f>
        <v>P3.7</v>
      </c>
      <c r="D170" s="178" t="s">
        <v>1129</v>
      </c>
      <c r="E170" s="108" t="s">
        <v>1996</v>
      </c>
      <c r="F170" s="100" t="s">
        <v>1058</v>
      </c>
      <c r="G170" s="129" t="s">
        <v>1128</v>
      </c>
      <c r="H170" s="101" t="s">
        <v>1118</v>
      </c>
      <c r="I170" s="181" t="s">
        <v>1128</v>
      </c>
      <c r="J170" s="115" t="str">
        <f t="shared" si="2"/>
        <v>I/O</v>
      </c>
    </row>
    <row r="171" spans="2:10">
      <c r="B171" s="79" t="str">
        <f>'＠グループ、表示名'!G171</f>
        <v>P4</v>
      </c>
      <c r="C171" s="79" t="str">
        <f>'＠グループ、表示名'!H171</f>
        <v>P4.0</v>
      </c>
      <c r="D171" s="178" t="s">
        <v>1129</v>
      </c>
      <c r="E171" s="108" t="s">
        <v>1996</v>
      </c>
      <c r="F171" s="100" t="s">
        <v>1058</v>
      </c>
      <c r="G171" s="129" t="s">
        <v>1128</v>
      </c>
      <c r="H171" s="101" t="s">
        <v>1119</v>
      </c>
      <c r="I171" s="181" t="s">
        <v>1128</v>
      </c>
      <c r="J171" s="115" t="str">
        <f t="shared" si="2"/>
        <v>I/O</v>
      </c>
    </row>
    <row r="172" spans="2:10">
      <c r="B172" s="79" t="str">
        <f>'＠グループ、表示名'!G172</f>
        <v>P4</v>
      </c>
      <c r="C172" s="79" t="str">
        <f>'＠グループ、表示名'!H172</f>
        <v>P4.1</v>
      </c>
      <c r="D172" s="178" t="s">
        <v>1129</v>
      </c>
      <c r="E172" s="108" t="s">
        <v>1996</v>
      </c>
      <c r="F172" s="100" t="s">
        <v>1058</v>
      </c>
      <c r="G172" s="129" t="s">
        <v>1128</v>
      </c>
      <c r="H172" s="101" t="s">
        <v>1119</v>
      </c>
      <c r="I172" s="181" t="s">
        <v>1128</v>
      </c>
      <c r="J172" s="115" t="str">
        <f t="shared" si="2"/>
        <v>I/O</v>
      </c>
    </row>
    <row r="173" spans="2:10">
      <c r="B173" s="79" t="str">
        <f>'＠グループ、表示名'!G173</f>
        <v>P4</v>
      </c>
      <c r="C173" s="79" t="str">
        <f>'＠グループ、表示名'!H173</f>
        <v>P4.2</v>
      </c>
      <c r="D173" s="178" t="s">
        <v>1129</v>
      </c>
      <c r="E173" s="108" t="s">
        <v>1996</v>
      </c>
      <c r="F173" s="100" t="s">
        <v>1058</v>
      </c>
      <c r="G173" s="129" t="s">
        <v>1128</v>
      </c>
      <c r="H173" s="101" t="s">
        <v>1119</v>
      </c>
      <c r="I173" s="181" t="s">
        <v>1128</v>
      </c>
      <c r="J173" s="115" t="str">
        <f t="shared" si="2"/>
        <v>I/O</v>
      </c>
    </row>
    <row r="174" spans="2:10">
      <c r="B174" s="79" t="str">
        <f>'＠グループ、表示名'!G174</f>
        <v>P4</v>
      </c>
      <c r="C174" s="79" t="str">
        <f>'＠グループ、表示名'!H174</f>
        <v>P4.3</v>
      </c>
      <c r="D174" s="178" t="s">
        <v>1129</v>
      </c>
      <c r="E174" s="108" t="s">
        <v>1996</v>
      </c>
      <c r="F174" s="100" t="s">
        <v>1058</v>
      </c>
      <c r="G174" s="129" t="s">
        <v>1128</v>
      </c>
      <c r="H174" s="79" t="s">
        <v>1119</v>
      </c>
      <c r="I174" s="181" t="s">
        <v>1128</v>
      </c>
      <c r="J174" s="115" t="str">
        <f t="shared" si="2"/>
        <v>I/O</v>
      </c>
    </row>
    <row r="175" spans="2:10">
      <c r="B175" s="79" t="str">
        <f>'＠グループ、表示名'!G175</f>
        <v>P4</v>
      </c>
      <c r="C175" s="79" t="str">
        <f>'＠グループ、表示名'!H175</f>
        <v>P4.4</v>
      </c>
      <c r="D175" s="178" t="s">
        <v>1129</v>
      </c>
      <c r="E175" s="108" t="s">
        <v>1996</v>
      </c>
      <c r="F175" s="100" t="s">
        <v>1058</v>
      </c>
      <c r="G175" s="129" t="s">
        <v>1128</v>
      </c>
      <c r="H175" s="101" t="s">
        <v>1119</v>
      </c>
      <c r="I175" s="181" t="s">
        <v>1128</v>
      </c>
      <c r="J175" s="115" t="str">
        <f t="shared" si="2"/>
        <v>I/O</v>
      </c>
    </row>
    <row r="176" spans="2:10">
      <c r="B176" s="79" t="str">
        <f>'＠グループ、表示名'!G176</f>
        <v>P4</v>
      </c>
      <c r="C176" s="79" t="str">
        <f>'＠グループ、表示名'!H176</f>
        <v>P4.5</v>
      </c>
      <c r="D176" s="178" t="s">
        <v>1129</v>
      </c>
      <c r="E176" s="108" t="s">
        <v>1996</v>
      </c>
      <c r="F176" s="100" t="s">
        <v>1058</v>
      </c>
      <c r="G176" s="129" t="s">
        <v>1128</v>
      </c>
      <c r="H176" s="79" t="s">
        <v>1119</v>
      </c>
      <c r="I176" s="181" t="s">
        <v>1128</v>
      </c>
      <c r="J176" s="115" t="str">
        <f t="shared" si="2"/>
        <v>I/O</v>
      </c>
    </row>
    <row r="177" spans="2:10" ht="15.75" customHeight="1">
      <c r="B177" s="79" t="str">
        <f>'＠グループ、表示名'!G177</f>
        <v>P4</v>
      </c>
      <c r="C177" s="79" t="str">
        <f>'＠グループ、表示名'!H177</f>
        <v>P4.6</v>
      </c>
      <c r="D177" s="178" t="s">
        <v>1129</v>
      </c>
      <c r="E177" s="108" t="s">
        <v>1996</v>
      </c>
      <c r="F177" s="100" t="s">
        <v>1058</v>
      </c>
      <c r="G177" s="129" t="s">
        <v>1128</v>
      </c>
      <c r="H177" s="79" t="s">
        <v>1119</v>
      </c>
      <c r="I177" s="181" t="s">
        <v>1128</v>
      </c>
      <c r="J177" s="115" t="str">
        <f t="shared" si="2"/>
        <v>I/O</v>
      </c>
    </row>
    <row r="178" spans="2:10" ht="15.75" customHeight="1">
      <c r="B178" s="79" t="str">
        <f>'＠グループ、表示名'!G178</f>
        <v>P4</v>
      </c>
      <c r="C178" s="79" t="str">
        <f>'＠グループ、表示名'!H178</f>
        <v>P4.7</v>
      </c>
      <c r="D178" s="178" t="s">
        <v>1129</v>
      </c>
      <c r="E178" s="108" t="s">
        <v>1996</v>
      </c>
      <c r="F178" s="100" t="s">
        <v>1058</v>
      </c>
      <c r="G178" s="129" t="s">
        <v>1128</v>
      </c>
      <c r="H178" s="79" t="s">
        <v>1119</v>
      </c>
      <c r="I178" s="181" t="s">
        <v>1128</v>
      </c>
      <c r="J178" s="115" t="str">
        <f t="shared" si="2"/>
        <v>I/O</v>
      </c>
    </row>
    <row r="179" spans="2:10" ht="27" customHeight="1">
      <c r="B179" s="79" t="str">
        <f>'＠グループ、表示名'!G179</f>
        <v>P5</v>
      </c>
      <c r="C179" s="79" t="str">
        <f>'＠グループ、表示名'!H179</f>
        <v>P5.0</v>
      </c>
      <c r="D179" s="178" t="s">
        <v>1129</v>
      </c>
      <c r="E179" s="108" t="s">
        <v>1996</v>
      </c>
      <c r="F179" s="100" t="s">
        <v>1058</v>
      </c>
      <c r="G179" s="129" t="s">
        <v>1128</v>
      </c>
      <c r="H179" s="124" t="s">
        <v>1120</v>
      </c>
      <c r="I179" s="181" t="s">
        <v>1128</v>
      </c>
      <c r="J179" s="115" t="str">
        <f t="shared" si="2"/>
        <v>I/O</v>
      </c>
    </row>
    <row r="180" spans="2:10" ht="27" customHeight="1">
      <c r="B180" s="79" t="str">
        <f>'＠グループ、表示名'!G180</f>
        <v>P5</v>
      </c>
      <c r="C180" s="79" t="str">
        <f>'＠グループ、表示名'!H180</f>
        <v>P5.1</v>
      </c>
      <c r="D180" s="178" t="s">
        <v>1129</v>
      </c>
      <c r="E180" s="108" t="s">
        <v>1996</v>
      </c>
      <c r="F180" s="100" t="s">
        <v>1058</v>
      </c>
      <c r="G180" s="129" t="s">
        <v>1128</v>
      </c>
      <c r="H180" s="124" t="s">
        <v>1120</v>
      </c>
      <c r="I180" s="181" t="s">
        <v>1128</v>
      </c>
      <c r="J180" s="115" t="str">
        <f t="shared" si="2"/>
        <v>I/O</v>
      </c>
    </row>
    <row r="181" spans="2:10" ht="15.75" customHeight="1">
      <c r="B181" s="79" t="str">
        <f>'＠グループ、表示名'!G181</f>
        <v>P5</v>
      </c>
      <c r="C181" s="79" t="str">
        <f>'＠グループ、表示名'!H181</f>
        <v>P5.2</v>
      </c>
      <c r="D181" s="178" t="s">
        <v>1129</v>
      </c>
      <c r="E181" s="108" t="s">
        <v>1996</v>
      </c>
      <c r="F181" s="100" t="s">
        <v>1058</v>
      </c>
      <c r="G181" s="129" t="s">
        <v>1128</v>
      </c>
      <c r="H181" s="124" t="s">
        <v>1120</v>
      </c>
      <c r="I181" s="181" t="s">
        <v>1128</v>
      </c>
      <c r="J181" s="115" t="str">
        <f t="shared" si="2"/>
        <v>I/O</v>
      </c>
    </row>
    <row r="182" spans="2:10" ht="27" customHeight="1">
      <c r="B182" s="79" t="str">
        <f>'＠グループ、表示名'!G182</f>
        <v>P5</v>
      </c>
      <c r="C182" s="79" t="str">
        <f>'＠グループ、表示名'!H182</f>
        <v>P5.3</v>
      </c>
      <c r="D182" s="178" t="s">
        <v>1129</v>
      </c>
      <c r="E182" s="108" t="s">
        <v>1996</v>
      </c>
      <c r="F182" s="100" t="s">
        <v>1058</v>
      </c>
      <c r="G182" s="129" t="s">
        <v>1128</v>
      </c>
      <c r="H182" s="124" t="s">
        <v>1120</v>
      </c>
      <c r="I182" s="181" t="s">
        <v>1128</v>
      </c>
      <c r="J182" s="115" t="str">
        <f t="shared" si="2"/>
        <v>I/O</v>
      </c>
    </row>
    <row r="183" spans="2:10" ht="27" customHeight="1">
      <c r="B183" s="79" t="str">
        <f>'＠グループ、表示名'!G183</f>
        <v>P5</v>
      </c>
      <c r="C183" s="79" t="str">
        <f>'＠グループ、表示名'!H183</f>
        <v>P5.4</v>
      </c>
      <c r="D183" s="178" t="s">
        <v>1129</v>
      </c>
      <c r="E183" s="108" t="s">
        <v>1996</v>
      </c>
      <c r="F183" s="100" t="s">
        <v>1058</v>
      </c>
      <c r="G183" s="129" t="s">
        <v>1128</v>
      </c>
      <c r="H183" s="124" t="s">
        <v>1120</v>
      </c>
      <c r="I183" s="181" t="s">
        <v>1128</v>
      </c>
      <c r="J183" s="115" t="str">
        <f t="shared" si="2"/>
        <v>I/O</v>
      </c>
    </row>
    <row r="184" spans="2:10" ht="15.75" customHeight="1">
      <c r="B184" s="79" t="str">
        <f>'＠グループ、表示名'!G184</f>
        <v>P5</v>
      </c>
      <c r="C184" s="79" t="str">
        <f>'＠グループ、表示名'!H184</f>
        <v>P5.5</v>
      </c>
      <c r="D184" s="178" t="s">
        <v>1129</v>
      </c>
      <c r="E184" s="108" t="s">
        <v>1996</v>
      </c>
      <c r="F184" s="100" t="s">
        <v>1058</v>
      </c>
      <c r="G184" s="129" t="s">
        <v>1128</v>
      </c>
      <c r="H184" s="124" t="s">
        <v>1120</v>
      </c>
      <c r="I184" s="181" t="s">
        <v>1128</v>
      </c>
      <c r="J184" s="115" t="str">
        <f t="shared" si="2"/>
        <v>I/O</v>
      </c>
    </row>
    <row r="185" spans="2:10" ht="27" customHeight="1">
      <c r="B185" s="79" t="str">
        <f>'＠グループ、表示名'!G185</f>
        <v>P5</v>
      </c>
      <c r="C185" s="79" t="str">
        <f>'＠グループ、表示名'!H185</f>
        <v>P5.6</v>
      </c>
      <c r="D185" s="178" t="s">
        <v>1129</v>
      </c>
      <c r="E185" s="108" t="s">
        <v>1996</v>
      </c>
      <c r="F185" s="100" t="s">
        <v>1058</v>
      </c>
      <c r="G185" s="129" t="s">
        <v>1128</v>
      </c>
      <c r="H185" s="124" t="s">
        <v>1120</v>
      </c>
      <c r="I185" s="181" t="s">
        <v>1128</v>
      </c>
      <c r="J185" s="115" t="str">
        <f t="shared" si="2"/>
        <v>I/O</v>
      </c>
    </row>
    <row r="186" spans="2:10" ht="27" customHeight="1">
      <c r="B186" s="79" t="str">
        <f>'＠グループ、表示名'!G186</f>
        <v>P5</v>
      </c>
      <c r="C186" s="79" t="str">
        <f>'＠グループ、表示名'!H186</f>
        <v>P5.7</v>
      </c>
      <c r="D186" s="178" t="s">
        <v>1129</v>
      </c>
      <c r="E186" s="108" t="s">
        <v>1996</v>
      </c>
      <c r="F186" s="100" t="s">
        <v>1058</v>
      </c>
      <c r="G186" s="129" t="s">
        <v>1128</v>
      </c>
      <c r="H186" s="124" t="s">
        <v>1120</v>
      </c>
      <c r="I186" s="181" t="s">
        <v>1128</v>
      </c>
      <c r="J186" s="115" t="str">
        <f t="shared" si="2"/>
        <v>I/O</v>
      </c>
    </row>
    <row r="187" spans="2:10" ht="15.75" customHeight="1">
      <c r="B187" s="79" t="str">
        <f>'＠グループ、表示名'!G187</f>
        <v>P6</v>
      </c>
      <c r="C187" s="79" t="str">
        <f>'＠グループ、表示名'!H187</f>
        <v>P6.0</v>
      </c>
      <c r="D187" s="178" t="s">
        <v>1129</v>
      </c>
      <c r="E187" s="108" t="s">
        <v>1996</v>
      </c>
      <c r="F187" s="100" t="s">
        <v>1058</v>
      </c>
      <c r="G187" s="129" t="s">
        <v>1128</v>
      </c>
      <c r="H187" s="124" t="s">
        <v>1121</v>
      </c>
      <c r="I187" s="181" t="s">
        <v>1128</v>
      </c>
      <c r="J187" s="115" t="str">
        <f t="shared" si="2"/>
        <v>I/O</v>
      </c>
    </row>
    <row r="188" spans="2:10">
      <c r="B188" s="79" t="str">
        <f>'＠グループ、表示名'!G188</f>
        <v>P6</v>
      </c>
      <c r="C188" s="79" t="str">
        <f>'＠グループ、表示名'!H188</f>
        <v>P6.1</v>
      </c>
      <c r="D188" s="178" t="s">
        <v>1129</v>
      </c>
      <c r="E188" s="108" t="s">
        <v>1996</v>
      </c>
      <c r="F188" s="100" t="s">
        <v>1058</v>
      </c>
      <c r="G188" s="129" t="s">
        <v>1128</v>
      </c>
      <c r="H188" s="79" t="s">
        <v>1121</v>
      </c>
      <c r="I188" s="181" t="s">
        <v>1128</v>
      </c>
      <c r="J188" s="115" t="str">
        <f t="shared" si="2"/>
        <v>I/O</v>
      </c>
    </row>
    <row r="189" spans="2:10">
      <c r="B189" s="79" t="str">
        <f>'＠グループ、表示名'!G189</f>
        <v>P6</v>
      </c>
      <c r="C189" s="79" t="str">
        <f>'＠グループ、表示名'!H189</f>
        <v>P6.2</v>
      </c>
      <c r="D189" s="178" t="s">
        <v>1129</v>
      </c>
      <c r="E189" s="108" t="s">
        <v>1996</v>
      </c>
      <c r="F189" s="100" t="s">
        <v>1058</v>
      </c>
      <c r="G189" s="129" t="s">
        <v>1128</v>
      </c>
      <c r="H189" s="79" t="s">
        <v>1121</v>
      </c>
      <c r="I189" s="181" t="s">
        <v>1128</v>
      </c>
      <c r="J189" s="115" t="str">
        <f t="shared" si="2"/>
        <v>I/O</v>
      </c>
    </row>
    <row r="190" spans="2:10">
      <c r="B190" s="79" t="str">
        <f>'＠グループ、表示名'!G190</f>
        <v>P6</v>
      </c>
      <c r="C190" s="79" t="str">
        <f>'＠グループ、表示名'!H190</f>
        <v>P6.3</v>
      </c>
      <c r="D190" s="178" t="s">
        <v>1129</v>
      </c>
      <c r="E190" s="108" t="s">
        <v>1996</v>
      </c>
      <c r="F190" s="100" t="s">
        <v>1058</v>
      </c>
      <c r="G190" s="129" t="s">
        <v>1128</v>
      </c>
      <c r="H190" s="79" t="s">
        <v>1121</v>
      </c>
      <c r="I190" s="181" t="s">
        <v>1128</v>
      </c>
      <c r="J190" s="115" t="str">
        <f t="shared" si="2"/>
        <v>I/O</v>
      </c>
    </row>
    <row r="191" spans="2:10">
      <c r="B191" s="79" t="str">
        <f>'＠グループ、表示名'!G191</f>
        <v>P6</v>
      </c>
      <c r="C191" s="79" t="str">
        <f>'＠グループ、表示名'!H191</f>
        <v>P6.4</v>
      </c>
      <c r="D191" s="178" t="s">
        <v>1129</v>
      </c>
      <c r="E191" s="108" t="s">
        <v>1996</v>
      </c>
      <c r="F191" s="100" t="s">
        <v>1058</v>
      </c>
      <c r="G191" s="129" t="s">
        <v>1128</v>
      </c>
      <c r="H191" s="79" t="s">
        <v>1121</v>
      </c>
      <c r="I191" s="181" t="s">
        <v>1128</v>
      </c>
      <c r="J191" s="115" t="str">
        <f t="shared" si="2"/>
        <v>I/O</v>
      </c>
    </row>
    <row r="192" spans="2:10">
      <c r="B192" s="79" t="str">
        <f>'＠グループ、表示名'!G192</f>
        <v>P6</v>
      </c>
      <c r="C192" s="79" t="str">
        <f>'＠グループ、表示名'!H192</f>
        <v>P6.5</v>
      </c>
      <c r="D192" s="178" t="s">
        <v>1129</v>
      </c>
      <c r="E192" s="108" t="s">
        <v>1996</v>
      </c>
      <c r="F192" s="100" t="s">
        <v>1058</v>
      </c>
      <c r="G192" s="129" t="s">
        <v>1128</v>
      </c>
      <c r="H192" s="79" t="s">
        <v>1121</v>
      </c>
      <c r="I192" s="181" t="s">
        <v>1128</v>
      </c>
      <c r="J192" s="115" t="str">
        <f t="shared" si="2"/>
        <v>I/O</v>
      </c>
    </row>
    <row r="193" spans="2:10">
      <c r="B193" s="79" t="str">
        <f>'＠グループ、表示名'!G193</f>
        <v>P6</v>
      </c>
      <c r="C193" s="79" t="str">
        <f>'＠グループ、表示名'!H193</f>
        <v>P6.6</v>
      </c>
      <c r="D193" s="178" t="s">
        <v>1129</v>
      </c>
      <c r="E193" s="108" t="s">
        <v>1996</v>
      </c>
      <c r="F193" s="100" t="s">
        <v>1058</v>
      </c>
      <c r="G193" s="129" t="s">
        <v>1128</v>
      </c>
      <c r="H193" s="79" t="s">
        <v>1121</v>
      </c>
      <c r="I193" s="181" t="s">
        <v>1128</v>
      </c>
      <c r="J193" s="115" t="str">
        <f t="shared" si="2"/>
        <v>I/O</v>
      </c>
    </row>
    <row r="194" spans="2:10" ht="27" customHeight="1">
      <c r="B194" s="79" t="str">
        <f>'＠グループ、表示名'!G194</f>
        <v>P6</v>
      </c>
      <c r="C194" s="79" t="str">
        <f>'＠グループ、表示名'!H194</f>
        <v>P6.7</v>
      </c>
      <c r="D194" s="178" t="s">
        <v>1129</v>
      </c>
      <c r="E194" s="108" t="s">
        <v>1996</v>
      </c>
      <c r="F194" s="100" t="s">
        <v>1058</v>
      </c>
      <c r="G194" s="129" t="s">
        <v>1128</v>
      </c>
      <c r="H194" s="79" t="s">
        <v>1121</v>
      </c>
      <c r="I194" s="181" t="s">
        <v>1128</v>
      </c>
      <c r="J194" s="115" t="str">
        <f t="shared" si="2"/>
        <v>I/O</v>
      </c>
    </row>
    <row r="195" spans="2:10" ht="27" customHeight="1">
      <c r="B195" s="79" t="str">
        <f>'＠グループ、表示名'!G195</f>
        <v>P7</v>
      </c>
      <c r="C195" s="79" t="str">
        <f>'＠グループ、表示名'!H195</f>
        <v>P7.0</v>
      </c>
      <c r="D195" s="178" t="s">
        <v>1129</v>
      </c>
      <c r="E195" s="108" t="s">
        <v>1996</v>
      </c>
      <c r="F195" s="100" t="s">
        <v>1058</v>
      </c>
      <c r="G195" s="129" t="s">
        <v>1128</v>
      </c>
      <c r="H195" s="79" t="s">
        <v>1122</v>
      </c>
      <c r="I195" s="181" t="s">
        <v>1128</v>
      </c>
      <c r="J195" s="115" t="str">
        <f t="shared" si="2"/>
        <v>I/O</v>
      </c>
    </row>
    <row r="196" spans="2:10" ht="15.75" customHeight="1">
      <c r="B196" s="79" t="str">
        <f>'＠グループ、表示名'!G196</f>
        <v>P7</v>
      </c>
      <c r="C196" s="79" t="str">
        <f>'＠グループ、表示名'!H196</f>
        <v>P7.1</v>
      </c>
      <c r="D196" s="178" t="s">
        <v>1129</v>
      </c>
      <c r="E196" s="108" t="s">
        <v>1996</v>
      </c>
      <c r="F196" s="100" t="s">
        <v>1058</v>
      </c>
      <c r="G196" s="129" t="s">
        <v>1128</v>
      </c>
      <c r="H196" s="79" t="s">
        <v>1122</v>
      </c>
      <c r="I196" s="181" t="s">
        <v>1128</v>
      </c>
      <c r="J196" s="115" t="str">
        <f t="shared" si="2"/>
        <v>I/O</v>
      </c>
    </row>
    <row r="197" spans="2:10" ht="27" customHeight="1">
      <c r="B197" s="79" t="str">
        <f>'＠グループ、表示名'!G197</f>
        <v>P7</v>
      </c>
      <c r="C197" s="79" t="str">
        <f>'＠グループ、表示名'!H197</f>
        <v>P7.2</v>
      </c>
      <c r="D197" s="178" t="s">
        <v>1129</v>
      </c>
      <c r="E197" s="108" t="s">
        <v>1996</v>
      </c>
      <c r="F197" s="100" t="s">
        <v>1058</v>
      </c>
      <c r="G197" s="129" t="s">
        <v>1128</v>
      </c>
      <c r="H197" s="79" t="s">
        <v>1122</v>
      </c>
      <c r="I197" s="181" t="s">
        <v>1128</v>
      </c>
      <c r="J197" s="115" t="str">
        <f t="shared" ref="J197:J261" si="3">F197</f>
        <v>I/O</v>
      </c>
    </row>
    <row r="198" spans="2:10" ht="27" customHeight="1">
      <c r="B198" s="79" t="str">
        <f>'＠グループ、表示名'!G198</f>
        <v>P7</v>
      </c>
      <c r="C198" s="79" t="str">
        <f>'＠グループ、表示名'!H198</f>
        <v>P7.3</v>
      </c>
      <c r="D198" s="178" t="s">
        <v>1129</v>
      </c>
      <c r="E198" s="108" t="s">
        <v>1996</v>
      </c>
      <c r="F198" s="100" t="s">
        <v>1058</v>
      </c>
      <c r="G198" s="129" t="s">
        <v>1128</v>
      </c>
      <c r="H198" s="79" t="s">
        <v>1122</v>
      </c>
      <c r="I198" s="181" t="s">
        <v>1128</v>
      </c>
      <c r="J198" s="115" t="str">
        <f t="shared" si="3"/>
        <v>I/O</v>
      </c>
    </row>
    <row r="199" spans="2:10">
      <c r="B199" s="79" t="str">
        <f>'＠グループ、表示名'!G199</f>
        <v>P7</v>
      </c>
      <c r="C199" s="79" t="str">
        <f>'＠グループ、表示名'!H199</f>
        <v>P7.4</v>
      </c>
      <c r="D199" s="178" t="s">
        <v>1129</v>
      </c>
      <c r="E199" s="108" t="s">
        <v>1996</v>
      </c>
      <c r="F199" s="100" t="s">
        <v>1058</v>
      </c>
      <c r="G199" s="129" t="s">
        <v>1128</v>
      </c>
      <c r="H199" s="79" t="s">
        <v>1122</v>
      </c>
      <c r="I199" s="181" t="s">
        <v>1128</v>
      </c>
      <c r="J199" s="115" t="str">
        <f t="shared" si="3"/>
        <v>I/O</v>
      </c>
    </row>
    <row r="200" spans="2:10" ht="27" customHeight="1">
      <c r="B200" s="79" t="str">
        <f>'＠グループ、表示名'!G200</f>
        <v>P7</v>
      </c>
      <c r="C200" s="79" t="str">
        <f>'＠グループ、表示名'!H200</f>
        <v>P7.5</v>
      </c>
      <c r="D200" s="178" t="s">
        <v>1129</v>
      </c>
      <c r="E200" s="108" t="s">
        <v>1996</v>
      </c>
      <c r="F200" s="100" t="s">
        <v>1058</v>
      </c>
      <c r="G200" s="129" t="s">
        <v>1128</v>
      </c>
      <c r="H200" s="79" t="s">
        <v>1122</v>
      </c>
      <c r="I200" s="181" t="s">
        <v>1128</v>
      </c>
      <c r="J200" s="115" t="str">
        <f t="shared" si="3"/>
        <v>I/O</v>
      </c>
    </row>
    <row r="201" spans="2:10" ht="27" customHeight="1">
      <c r="B201" s="79" t="str">
        <f>'＠グループ、表示名'!G201</f>
        <v>P7</v>
      </c>
      <c r="C201" s="79" t="str">
        <f>'＠グループ、表示名'!H201</f>
        <v>P7.6</v>
      </c>
      <c r="D201" s="178" t="s">
        <v>1129</v>
      </c>
      <c r="E201" s="108" t="s">
        <v>1996</v>
      </c>
      <c r="F201" s="100" t="s">
        <v>1058</v>
      </c>
      <c r="G201" s="129" t="s">
        <v>1128</v>
      </c>
      <c r="H201" s="79" t="s">
        <v>1122</v>
      </c>
      <c r="I201" s="181" t="s">
        <v>1128</v>
      </c>
      <c r="J201" s="115" t="str">
        <f t="shared" si="3"/>
        <v>I/O</v>
      </c>
    </row>
    <row r="202" spans="2:10" ht="27" customHeight="1">
      <c r="B202" s="79" t="str">
        <f>'＠グループ、表示名'!G202</f>
        <v>P7</v>
      </c>
      <c r="C202" s="79" t="str">
        <f>'＠グループ、表示名'!H202</f>
        <v>P7.7</v>
      </c>
      <c r="D202" s="178" t="s">
        <v>1129</v>
      </c>
      <c r="E202" s="108" t="s">
        <v>1996</v>
      </c>
      <c r="F202" s="100" t="s">
        <v>1058</v>
      </c>
      <c r="G202" s="129" t="s">
        <v>1128</v>
      </c>
      <c r="H202" s="79" t="s">
        <v>1122</v>
      </c>
      <c r="I202" s="181" t="s">
        <v>1128</v>
      </c>
      <c r="J202" s="115" t="str">
        <f t="shared" si="3"/>
        <v>I/O</v>
      </c>
    </row>
    <row r="203" spans="2:10" ht="27" customHeight="1">
      <c r="B203" s="79" t="str">
        <f>'＠グループ、表示名'!G203</f>
        <v>P8</v>
      </c>
      <c r="C203" s="79" t="str">
        <f>'＠グループ、表示名'!H203</f>
        <v>P8.0</v>
      </c>
      <c r="D203" s="178" t="s">
        <v>1129</v>
      </c>
      <c r="E203" s="108" t="s">
        <v>1996</v>
      </c>
      <c r="F203" s="100" t="s">
        <v>1058</v>
      </c>
      <c r="G203" s="129" t="s">
        <v>1128</v>
      </c>
      <c r="H203" s="79" t="s">
        <v>1123</v>
      </c>
      <c r="I203" s="181" t="s">
        <v>1128</v>
      </c>
      <c r="J203" s="115" t="str">
        <f t="shared" si="3"/>
        <v>I/O</v>
      </c>
    </row>
    <row r="204" spans="2:10">
      <c r="B204" s="79" t="str">
        <f>'＠グループ、表示名'!G204</f>
        <v>P8</v>
      </c>
      <c r="C204" s="79" t="str">
        <f>'＠グループ、表示名'!H204</f>
        <v>P8.1</v>
      </c>
      <c r="D204" s="178" t="s">
        <v>1129</v>
      </c>
      <c r="E204" s="108" t="s">
        <v>1996</v>
      </c>
      <c r="F204" s="100" t="s">
        <v>1058</v>
      </c>
      <c r="G204" s="129" t="s">
        <v>1128</v>
      </c>
      <c r="H204" s="79" t="s">
        <v>1123</v>
      </c>
      <c r="I204" s="181" t="s">
        <v>1128</v>
      </c>
      <c r="J204" s="115" t="str">
        <f t="shared" si="3"/>
        <v>I/O</v>
      </c>
    </row>
    <row r="205" spans="2:10">
      <c r="B205" s="79" t="str">
        <f>'＠グループ、表示名'!G205</f>
        <v>P8</v>
      </c>
      <c r="C205" s="79" t="str">
        <f>'＠グループ、表示名'!H205</f>
        <v>P8.2</v>
      </c>
      <c r="D205" s="178" t="s">
        <v>1129</v>
      </c>
      <c r="E205" s="108" t="s">
        <v>1996</v>
      </c>
      <c r="F205" s="100" t="s">
        <v>1058</v>
      </c>
      <c r="G205" s="129" t="s">
        <v>1128</v>
      </c>
      <c r="H205" s="79" t="s">
        <v>1123</v>
      </c>
      <c r="I205" s="181" t="s">
        <v>1128</v>
      </c>
      <c r="J205" s="115" t="str">
        <f t="shared" si="3"/>
        <v>I/O</v>
      </c>
    </row>
    <row r="206" spans="2:10" ht="27" customHeight="1">
      <c r="B206" s="79" t="str">
        <f>'＠グループ、表示名'!G206</f>
        <v>P8</v>
      </c>
      <c r="C206" s="79" t="str">
        <f>'＠グループ、表示名'!H206</f>
        <v>P8.3</v>
      </c>
      <c r="D206" s="178" t="s">
        <v>1129</v>
      </c>
      <c r="E206" s="108" t="s">
        <v>1996</v>
      </c>
      <c r="F206" s="100" t="s">
        <v>1058</v>
      </c>
      <c r="G206" s="129" t="s">
        <v>1128</v>
      </c>
      <c r="H206" s="110" t="s">
        <v>1123</v>
      </c>
      <c r="I206" s="181" t="s">
        <v>1128</v>
      </c>
      <c r="J206" s="115" t="str">
        <f t="shared" si="3"/>
        <v>I/O</v>
      </c>
    </row>
    <row r="207" spans="2:10" ht="27" customHeight="1">
      <c r="B207" s="79" t="str">
        <f>'＠グループ、表示名'!G207</f>
        <v>P8</v>
      </c>
      <c r="C207" s="79" t="str">
        <f>'＠グループ、表示名'!H207</f>
        <v>P8.4</v>
      </c>
      <c r="D207" s="178" t="s">
        <v>1129</v>
      </c>
      <c r="E207" s="108" t="s">
        <v>1996</v>
      </c>
      <c r="F207" s="100" t="s">
        <v>1058</v>
      </c>
      <c r="G207" s="129" t="s">
        <v>1128</v>
      </c>
      <c r="H207" s="110" t="s">
        <v>1123</v>
      </c>
      <c r="I207" s="181" t="s">
        <v>1128</v>
      </c>
      <c r="J207" s="115" t="str">
        <f t="shared" si="3"/>
        <v>I/O</v>
      </c>
    </row>
    <row r="208" spans="2:10" ht="15.75" customHeight="1">
      <c r="B208" s="79" t="str">
        <f>'＠グループ、表示名'!G208</f>
        <v>P8</v>
      </c>
      <c r="C208" s="79" t="str">
        <f>'＠グループ、表示名'!H208</f>
        <v>P8.5</v>
      </c>
      <c r="D208" s="178" t="s">
        <v>1129</v>
      </c>
      <c r="E208" s="108" t="s">
        <v>1996</v>
      </c>
      <c r="F208" s="100" t="s">
        <v>1058</v>
      </c>
      <c r="G208" s="129" t="s">
        <v>1128</v>
      </c>
      <c r="H208" s="110" t="s">
        <v>1123</v>
      </c>
      <c r="I208" s="181" t="s">
        <v>1128</v>
      </c>
      <c r="J208" s="115" t="str">
        <f t="shared" si="3"/>
        <v>I/O</v>
      </c>
    </row>
    <row r="209" spans="2:10" ht="27" customHeight="1">
      <c r="B209" s="79" t="str">
        <f>'＠グループ、表示名'!G209</f>
        <v>P8</v>
      </c>
      <c r="C209" s="79" t="str">
        <f>'＠グループ、表示名'!H209</f>
        <v>P8.6</v>
      </c>
      <c r="D209" s="178" t="s">
        <v>1129</v>
      </c>
      <c r="E209" s="108" t="s">
        <v>1996</v>
      </c>
      <c r="F209" s="100" t="s">
        <v>1058</v>
      </c>
      <c r="G209" s="129" t="s">
        <v>1128</v>
      </c>
      <c r="H209" s="79" t="s">
        <v>1123</v>
      </c>
      <c r="I209" s="181" t="s">
        <v>1128</v>
      </c>
      <c r="J209" s="115" t="str">
        <f t="shared" si="3"/>
        <v>I/O</v>
      </c>
    </row>
    <row r="210" spans="2:10" ht="27" customHeight="1">
      <c r="B210" s="79" t="str">
        <f>'＠グループ、表示名'!G210</f>
        <v>P8</v>
      </c>
      <c r="C210" s="79" t="str">
        <f>'＠グループ、表示名'!H210</f>
        <v>P8.7</v>
      </c>
      <c r="D210" s="178" t="s">
        <v>1129</v>
      </c>
      <c r="E210" s="108" t="s">
        <v>1996</v>
      </c>
      <c r="F210" s="100" t="s">
        <v>1058</v>
      </c>
      <c r="G210" s="129" t="s">
        <v>1128</v>
      </c>
      <c r="H210" s="79" t="s">
        <v>1123</v>
      </c>
      <c r="I210" s="181" t="s">
        <v>1128</v>
      </c>
      <c r="J210" s="115" t="str">
        <f t="shared" si="3"/>
        <v>I/O</v>
      </c>
    </row>
    <row r="211" spans="2:10" ht="27" customHeight="1">
      <c r="B211" s="79" t="str">
        <f>'＠グループ、表示名'!G211</f>
        <v>IRQ</v>
      </c>
      <c r="C211" s="79" t="str">
        <f>'＠グループ、表示名'!H211</f>
        <v>IRQ00</v>
      </c>
      <c r="D211" s="171" t="s">
        <v>1025</v>
      </c>
      <c r="E211" s="108" t="s">
        <v>1125</v>
      </c>
      <c r="F211" s="100" t="s">
        <v>1041</v>
      </c>
      <c r="G211" s="180" t="s">
        <v>1042</v>
      </c>
      <c r="H211" s="79" t="s">
        <v>461</v>
      </c>
      <c r="I211" s="78" t="s">
        <v>1998</v>
      </c>
      <c r="J211" s="97" t="str">
        <f t="shared" si="3"/>
        <v>I</v>
      </c>
    </row>
    <row r="212" spans="2:10" ht="27" customHeight="1">
      <c r="B212" s="79" t="str">
        <f>'＠グループ、表示名'!G212</f>
        <v>IRQ</v>
      </c>
      <c r="C212" s="79" t="str">
        <f>'＠グループ、表示名'!H212</f>
        <v>IRQ01</v>
      </c>
      <c r="D212" s="171" t="s">
        <v>1026</v>
      </c>
      <c r="E212" s="108" t="s">
        <v>1125</v>
      </c>
      <c r="F212" s="100" t="s">
        <v>1041</v>
      </c>
      <c r="G212" s="180" t="s">
        <v>1043</v>
      </c>
      <c r="H212" s="79" t="s">
        <v>463</v>
      </c>
      <c r="I212" s="78" t="s">
        <v>1043</v>
      </c>
      <c r="J212" s="97" t="str">
        <f t="shared" si="3"/>
        <v>I</v>
      </c>
    </row>
    <row r="213" spans="2:10" ht="27" customHeight="1">
      <c r="B213" s="79" t="str">
        <f>'＠グループ、表示名'!G213</f>
        <v>IRQ</v>
      </c>
      <c r="C213" s="79" t="str">
        <f>'＠グループ、表示名'!H213</f>
        <v>IRQ02</v>
      </c>
      <c r="D213" s="171" t="s">
        <v>1027</v>
      </c>
      <c r="E213" s="108" t="s">
        <v>1125</v>
      </c>
      <c r="F213" s="100" t="s">
        <v>1041</v>
      </c>
      <c r="G213" s="180" t="s">
        <v>1044</v>
      </c>
      <c r="H213" s="79" t="s">
        <v>466</v>
      </c>
      <c r="I213" s="78" t="s">
        <v>1044</v>
      </c>
      <c r="J213" s="97" t="str">
        <f t="shared" si="3"/>
        <v>I</v>
      </c>
    </row>
    <row r="214" spans="2:10" ht="27" customHeight="1">
      <c r="B214" s="79" t="str">
        <f>'＠グループ、表示名'!G214</f>
        <v>IRQ</v>
      </c>
      <c r="C214" s="79" t="str">
        <f>'＠グループ、表示名'!H214</f>
        <v>IRQ03</v>
      </c>
      <c r="D214" s="171" t="s">
        <v>1028</v>
      </c>
      <c r="E214" s="108" t="s">
        <v>1125</v>
      </c>
      <c r="F214" s="100" t="s">
        <v>1041</v>
      </c>
      <c r="G214" s="180" t="s">
        <v>1045</v>
      </c>
      <c r="H214" s="102" t="s">
        <v>469</v>
      </c>
      <c r="I214" s="78" t="s">
        <v>1045</v>
      </c>
      <c r="J214" s="97" t="str">
        <f t="shared" si="3"/>
        <v>I</v>
      </c>
    </row>
    <row r="215" spans="2:10" ht="27" customHeight="1">
      <c r="B215" s="79" t="str">
        <f>'＠グループ、表示名'!G215</f>
        <v>IRQ</v>
      </c>
      <c r="C215" s="79" t="str">
        <f>'＠グループ、表示名'!H215</f>
        <v>IRQ04</v>
      </c>
      <c r="D215" s="171" t="s">
        <v>1029</v>
      </c>
      <c r="E215" s="108" t="s">
        <v>1125</v>
      </c>
      <c r="F215" s="100" t="s">
        <v>1041</v>
      </c>
      <c r="G215" s="180" t="s">
        <v>1046</v>
      </c>
      <c r="H215" s="79" t="s">
        <v>472</v>
      </c>
      <c r="I215" s="78" t="s">
        <v>1046</v>
      </c>
      <c r="J215" s="97" t="str">
        <f t="shared" si="3"/>
        <v>I</v>
      </c>
    </row>
    <row r="216" spans="2:10" ht="27" customHeight="1">
      <c r="B216" s="79" t="str">
        <f>'＠グループ、表示名'!G216</f>
        <v>IRQ</v>
      </c>
      <c r="C216" s="79" t="str">
        <f>'＠グループ、表示名'!H216</f>
        <v>IRQ05</v>
      </c>
      <c r="D216" s="171" t="s">
        <v>1030</v>
      </c>
      <c r="E216" s="108" t="s">
        <v>1125</v>
      </c>
      <c r="F216" s="100" t="s">
        <v>1041</v>
      </c>
      <c r="G216" s="180" t="s">
        <v>1047</v>
      </c>
      <c r="H216" s="79" t="s">
        <v>475</v>
      </c>
      <c r="I216" s="78" t="s">
        <v>1047</v>
      </c>
      <c r="J216" s="97" t="str">
        <f t="shared" si="3"/>
        <v>I</v>
      </c>
    </row>
    <row r="217" spans="2:10" ht="27" customHeight="1">
      <c r="B217" s="79" t="str">
        <f>'＠グループ、表示名'!G217</f>
        <v>IRQ</v>
      </c>
      <c r="C217" s="79" t="str">
        <f>'＠グループ、表示名'!H217</f>
        <v>IRQ06</v>
      </c>
      <c r="D217" s="171" t="s">
        <v>1031</v>
      </c>
      <c r="E217" s="108" t="s">
        <v>1125</v>
      </c>
      <c r="F217" s="100" t="s">
        <v>1041</v>
      </c>
      <c r="G217" s="180" t="s">
        <v>1048</v>
      </c>
      <c r="H217" s="79" t="s">
        <v>478</v>
      </c>
      <c r="I217" s="78" t="s">
        <v>1048</v>
      </c>
      <c r="J217" s="97" t="str">
        <f t="shared" si="3"/>
        <v>I</v>
      </c>
    </row>
    <row r="218" spans="2:10">
      <c r="B218" s="79" t="str">
        <f>'＠グループ、表示名'!G218</f>
        <v>IRQ</v>
      </c>
      <c r="C218" s="79" t="str">
        <f>'＠グループ、表示名'!H218</f>
        <v>IRQ07</v>
      </c>
      <c r="D218" s="171" t="s">
        <v>1032</v>
      </c>
      <c r="E218" s="108" t="s">
        <v>1125</v>
      </c>
      <c r="F218" s="100" t="s">
        <v>1041</v>
      </c>
      <c r="G218" s="180" t="s">
        <v>1049</v>
      </c>
      <c r="H218" s="79" t="s">
        <v>481</v>
      </c>
      <c r="I218" s="78" t="s">
        <v>1049</v>
      </c>
      <c r="J218" s="97" t="str">
        <f t="shared" si="3"/>
        <v>I</v>
      </c>
    </row>
    <row r="219" spans="2:10" ht="27" customHeight="1">
      <c r="B219" s="79" t="str">
        <f>'＠グループ、表示名'!G219</f>
        <v>IRQ</v>
      </c>
      <c r="C219" s="79" t="str">
        <f>'＠グループ、表示名'!H219</f>
        <v>IRQ08</v>
      </c>
      <c r="D219" s="171" t="s">
        <v>1033</v>
      </c>
      <c r="E219" s="108" t="s">
        <v>1125</v>
      </c>
      <c r="F219" s="100" t="s">
        <v>1041</v>
      </c>
      <c r="G219" s="180" t="s">
        <v>1050</v>
      </c>
      <c r="H219" s="79" t="s">
        <v>528</v>
      </c>
      <c r="I219" s="78" t="s">
        <v>1050</v>
      </c>
      <c r="J219" s="97" t="str">
        <f t="shared" si="3"/>
        <v>I</v>
      </c>
    </row>
    <row r="220" spans="2:10" ht="27" customHeight="1">
      <c r="B220" s="79" t="str">
        <f>'＠グループ、表示名'!G220</f>
        <v>IRQ</v>
      </c>
      <c r="C220" s="79" t="str">
        <f>'＠グループ、表示名'!H220</f>
        <v>IRQ09</v>
      </c>
      <c r="D220" s="171" t="s">
        <v>1034</v>
      </c>
      <c r="E220" s="108" t="s">
        <v>1125</v>
      </c>
      <c r="F220" s="100" t="s">
        <v>1041</v>
      </c>
      <c r="G220" s="180" t="s">
        <v>1051</v>
      </c>
      <c r="H220" s="79" t="s">
        <v>530</v>
      </c>
      <c r="I220" s="78" t="s">
        <v>1051</v>
      </c>
      <c r="J220" s="97" t="str">
        <f t="shared" si="3"/>
        <v>I</v>
      </c>
    </row>
    <row r="221" spans="2:10">
      <c r="B221" s="79" t="str">
        <f>'＠グループ、表示名'!G221</f>
        <v>IRQ</v>
      </c>
      <c r="C221" s="79" t="str">
        <f>'＠グループ、表示名'!H221</f>
        <v>IRQ10</v>
      </c>
      <c r="D221" s="171" t="s">
        <v>1035</v>
      </c>
      <c r="E221" s="108" t="s">
        <v>1125</v>
      </c>
      <c r="F221" s="100" t="s">
        <v>1041</v>
      </c>
      <c r="G221" s="180" t="s">
        <v>1052</v>
      </c>
      <c r="H221" s="79" t="s">
        <v>532</v>
      </c>
      <c r="I221" s="126" t="s">
        <v>1052</v>
      </c>
      <c r="J221" s="97" t="str">
        <f t="shared" si="3"/>
        <v>I</v>
      </c>
    </row>
    <row r="222" spans="2:10">
      <c r="B222" s="79" t="str">
        <f>'＠グループ、表示名'!G222</f>
        <v>IRQ</v>
      </c>
      <c r="C222" s="79" t="str">
        <f>'＠グループ、表示名'!H222</f>
        <v>IRQ11</v>
      </c>
      <c r="D222" s="171" t="s">
        <v>1036</v>
      </c>
      <c r="E222" s="108" t="s">
        <v>1125</v>
      </c>
      <c r="F222" s="100" t="s">
        <v>1041</v>
      </c>
      <c r="G222" s="180" t="s">
        <v>1053</v>
      </c>
      <c r="H222" s="79" t="s">
        <v>535</v>
      </c>
      <c r="I222" s="126" t="s">
        <v>1053</v>
      </c>
      <c r="J222" s="97" t="str">
        <f t="shared" si="3"/>
        <v>I</v>
      </c>
    </row>
    <row r="223" spans="2:10">
      <c r="B223" s="79" t="str">
        <f>'＠グループ、表示名'!G223</f>
        <v>IRQ</v>
      </c>
      <c r="C223" s="79" t="str">
        <f>'＠グループ、表示名'!H223</f>
        <v>IRQ12</v>
      </c>
      <c r="D223" s="171" t="s">
        <v>1037</v>
      </c>
      <c r="E223" s="108" t="s">
        <v>1125</v>
      </c>
      <c r="F223" s="100" t="s">
        <v>1041</v>
      </c>
      <c r="G223" s="180" t="s">
        <v>1054</v>
      </c>
      <c r="H223" s="79" t="s">
        <v>537</v>
      </c>
      <c r="I223" s="126" t="s">
        <v>1054</v>
      </c>
      <c r="J223" s="97" t="str">
        <f t="shared" si="3"/>
        <v>I</v>
      </c>
    </row>
    <row r="224" spans="2:10">
      <c r="B224" s="79" t="str">
        <f>'＠グループ、表示名'!G224</f>
        <v>IRQ</v>
      </c>
      <c r="C224" s="79" t="str">
        <f>'＠グループ、表示名'!H224</f>
        <v>IRQ13</v>
      </c>
      <c r="D224" s="171" t="s">
        <v>1038</v>
      </c>
      <c r="E224" s="108" t="s">
        <v>1125</v>
      </c>
      <c r="F224" s="100" t="s">
        <v>1041</v>
      </c>
      <c r="G224" s="180" t="s">
        <v>1055</v>
      </c>
      <c r="H224" s="79" t="s">
        <v>539</v>
      </c>
      <c r="I224" s="126" t="s">
        <v>1055</v>
      </c>
      <c r="J224" s="97" t="str">
        <f t="shared" si="3"/>
        <v>I</v>
      </c>
    </row>
    <row r="225" spans="2:10">
      <c r="B225" s="79" t="str">
        <f>'＠グループ、表示名'!G225</f>
        <v>IRQ</v>
      </c>
      <c r="C225" s="79" t="str">
        <f>'＠グループ、表示名'!H225</f>
        <v>IRQ14</v>
      </c>
      <c r="D225" s="171" t="s">
        <v>1039</v>
      </c>
      <c r="E225" s="108" t="s">
        <v>1125</v>
      </c>
      <c r="F225" s="100" t="s">
        <v>1041</v>
      </c>
      <c r="G225" s="180" t="s">
        <v>1056</v>
      </c>
      <c r="H225" s="79" t="s">
        <v>591</v>
      </c>
      <c r="I225" s="126" t="s">
        <v>1056</v>
      </c>
      <c r="J225" s="97" t="str">
        <f t="shared" si="3"/>
        <v>I</v>
      </c>
    </row>
    <row r="226" spans="2:10">
      <c r="B226" s="79" t="str">
        <f>'＠グループ、表示名'!G226</f>
        <v>IRQ</v>
      </c>
      <c r="C226" s="79" t="str">
        <f>'＠グループ、表示名'!H226</f>
        <v>IRQ15</v>
      </c>
      <c r="D226" s="171" t="s">
        <v>1040</v>
      </c>
      <c r="E226" s="108" t="s">
        <v>1125</v>
      </c>
      <c r="F226" s="100" t="s">
        <v>1041</v>
      </c>
      <c r="G226" s="180" t="s">
        <v>1057</v>
      </c>
      <c r="H226" s="117" t="s">
        <v>594</v>
      </c>
      <c r="I226" s="126" t="s">
        <v>1057</v>
      </c>
      <c r="J226" s="97" t="str">
        <f t="shared" si="3"/>
        <v>I</v>
      </c>
    </row>
    <row r="227" spans="2:10">
      <c r="B227" s="79" t="str">
        <f>'＠グループ、表示名'!G227</f>
        <v>SPI0</v>
      </c>
      <c r="C227" s="79" t="str">
        <f>'＠グループ、表示名'!H227</f>
        <v>SPI0_SBO0</v>
      </c>
      <c r="D227" s="171" t="s">
        <v>2000</v>
      </c>
      <c r="E227" s="104" t="s">
        <v>2003</v>
      </c>
      <c r="F227" s="100" t="s">
        <v>1058</v>
      </c>
      <c r="G227" s="182" t="s">
        <v>2005</v>
      </c>
      <c r="H227" s="79" t="s">
        <v>2028</v>
      </c>
      <c r="I227" s="126" t="s">
        <v>2025</v>
      </c>
      <c r="J227" s="97" t="str">
        <f t="shared" si="3"/>
        <v>I/O</v>
      </c>
    </row>
    <row r="228" spans="2:10">
      <c r="B228" s="79" t="str">
        <f>'＠グループ、表示名'!G228</f>
        <v>SPI0</v>
      </c>
      <c r="C228" s="79" t="str">
        <f>'＠グループ、表示名'!H228</f>
        <v>SPI0_SBI0</v>
      </c>
      <c r="D228" s="171" t="s">
        <v>2001</v>
      </c>
      <c r="E228" s="104" t="s">
        <v>2003</v>
      </c>
      <c r="F228" s="100" t="s">
        <v>1041</v>
      </c>
      <c r="G228" s="182" t="s">
        <v>2006</v>
      </c>
      <c r="H228" s="79" t="s">
        <v>2029</v>
      </c>
      <c r="I228" s="126" t="s">
        <v>1097</v>
      </c>
      <c r="J228" s="97" t="str">
        <f t="shared" si="3"/>
        <v>I</v>
      </c>
    </row>
    <row r="229" spans="2:10">
      <c r="B229" s="79" t="str">
        <f>'＠グループ、表示名'!G229</f>
        <v>SPI0</v>
      </c>
      <c r="C229" s="79" t="str">
        <f>'＠グループ、表示名'!H229</f>
        <v>SPI0_SBT0</v>
      </c>
      <c r="D229" s="109" t="s">
        <v>1999</v>
      </c>
      <c r="E229" s="108" t="s">
        <v>2003</v>
      </c>
      <c r="F229" s="100" t="s">
        <v>1058</v>
      </c>
      <c r="G229" s="180" t="s">
        <v>2007</v>
      </c>
      <c r="H229" s="117" t="s">
        <v>2030</v>
      </c>
      <c r="I229" s="118" t="s">
        <v>2026</v>
      </c>
      <c r="J229" s="97" t="str">
        <f t="shared" si="3"/>
        <v>I/O</v>
      </c>
    </row>
    <row r="230" spans="2:10" ht="15.75" customHeight="1">
      <c r="B230" s="79" t="str">
        <f>'＠グループ、表示名'!G230</f>
        <v>SPI0</v>
      </c>
      <c r="C230" s="79" t="str">
        <f>'＠グループ、表示名'!H230</f>
        <v>SPI0_SBCS0</v>
      </c>
      <c r="D230" s="179" t="s">
        <v>2002</v>
      </c>
      <c r="E230" s="106" t="s">
        <v>2003</v>
      </c>
      <c r="F230" s="100" t="s">
        <v>1058</v>
      </c>
      <c r="G230" s="121" t="s">
        <v>2008</v>
      </c>
      <c r="H230" s="102" t="s">
        <v>2031</v>
      </c>
      <c r="I230" s="118" t="s">
        <v>2027</v>
      </c>
      <c r="J230" s="97" t="str">
        <f t="shared" si="3"/>
        <v>I/O</v>
      </c>
    </row>
    <row r="231" spans="2:10" ht="15.75" customHeight="1">
      <c r="B231" s="79" t="str">
        <f>'＠グループ、表示名'!G231</f>
        <v>SPI1</v>
      </c>
      <c r="C231" s="79" t="str">
        <f>'＠グループ、表示名'!H231</f>
        <v>SPI1_SBO1</v>
      </c>
      <c r="D231" s="171" t="s">
        <v>2000</v>
      </c>
      <c r="E231" s="104" t="s">
        <v>2003</v>
      </c>
      <c r="F231" s="100" t="s">
        <v>1058</v>
      </c>
      <c r="G231" s="182" t="s">
        <v>2011</v>
      </c>
      <c r="H231" s="101" t="s">
        <v>2028</v>
      </c>
      <c r="I231" s="126" t="s">
        <v>2025</v>
      </c>
      <c r="J231" s="97" t="str">
        <f t="shared" si="3"/>
        <v>I/O</v>
      </c>
    </row>
    <row r="232" spans="2:10" ht="15.75" customHeight="1">
      <c r="B232" s="79" t="str">
        <f>'＠グループ、表示名'!G232</f>
        <v>SPI1</v>
      </c>
      <c r="C232" s="79" t="str">
        <f>'＠グループ、表示名'!H232</f>
        <v>SPI1_SBI1</v>
      </c>
      <c r="D232" s="171" t="s">
        <v>2001</v>
      </c>
      <c r="E232" s="104" t="s">
        <v>2003</v>
      </c>
      <c r="F232" s="100" t="s">
        <v>1041</v>
      </c>
      <c r="G232" s="182" t="s">
        <v>1091</v>
      </c>
      <c r="H232" s="101" t="s">
        <v>2029</v>
      </c>
      <c r="I232" s="126" t="s">
        <v>1097</v>
      </c>
      <c r="J232" s="97" t="str">
        <f t="shared" si="3"/>
        <v>I</v>
      </c>
    </row>
    <row r="233" spans="2:10" ht="15.75" customHeight="1">
      <c r="B233" s="79" t="str">
        <f>'＠グループ、表示名'!G233</f>
        <v>SPI1</v>
      </c>
      <c r="C233" s="79" t="str">
        <f>'＠グループ、表示名'!H233</f>
        <v>SPI1_SBT1</v>
      </c>
      <c r="D233" s="109" t="s">
        <v>1999</v>
      </c>
      <c r="E233" s="108" t="s">
        <v>2003</v>
      </c>
      <c r="F233" s="100" t="s">
        <v>1058</v>
      </c>
      <c r="G233" s="180" t="s">
        <v>2009</v>
      </c>
      <c r="H233" s="101" t="s">
        <v>2030</v>
      </c>
      <c r="I233" s="118" t="s">
        <v>2026</v>
      </c>
      <c r="J233" s="97" t="str">
        <f t="shared" si="3"/>
        <v>I/O</v>
      </c>
    </row>
    <row r="234" spans="2:10" ht="15.75" customHeight="1">
      <c r="B234" s="79" t="str">
        <f>'＠グループ、表示名'!G234</f>
        <v>SPI1</v>
      </c>
      <c r="C234" s="79" t="str">
        <f>'＠グループ、表示名'!H234</f>
        <v>SPI1_SBCS1</v>
      </c>
      <c r="D234" s="179" t="s">
        <v>2002</v>
      </c>
      <c r="E234" s="106" t="s">
        <v>2003</v>
      </c>
      <c r="F234" s="100" t="s">
        <v>1058</v>
      </c>
      <c r="G234" s="121" t="s">
        <v>2010</v>
      </c>
      <c r="H234" s="101" t="s">
        <v>2031</v>
      </c>
      <c r="I234" s="118" t="s">
        <v>2027</v>
      </c>
      <c r="J234" s="97" t="str">
        <f t="shared" si="3"/>
        <v>I/O</v>
      </c>
    </row>
    <row r="235" spans="2:10" ht="15.75" customHeight="1">
      <c r="B235" s="79" t="str">
        <f>'＠グループ、表示名'!G235</f>
        <v>SPI2</v>
      </c>
      <c r="C235" s="79" t="str">
        <f>'＠グループ、表示名'!H235</f>
        <v>SPI2_SBO2</v>
      </c>
      <c r="D235" s="171" t="s">
        <v>2000</v>
      </c>
      <c r="E235" s="172" t="s">
        <v>2004</v>
      </c>
      <c r="F235" s="100" t="s">
        <v>1058</v>
      </c>
      <c r="G235" s="182" t="s">
        <v>2012</v>
      </c>
      <c r="H235" s="101" t="s">
        <v>2028</v>
      </c>
      <c r="I235" s="126" t="s">
        <v>2025</v>
      </c>
      <c r="J235" s="97" t="str">
        <f t="shared" si="3"/>
        <v>I/O</v>
      </c>
    </row>
    <row r="236" spans="2:10" ht="15.75" customHeight="1">
      <c r="B236" s="79" t="str">
        <f>'＠グループ、表示名'!G236</f>
        <v>SPI2</v>
      </c>
      <c r="C236" s="79" t="str">
        <f>'＠グループ、表示名'!H236</f>
        <v>SPI2_SBI2</v>
      </c>
      <c r="D236" s="171" t="s">
        <v>2001</v>
      </c>
      <c r="E236" s="172" t="s">
        <v>2004</v>
      </c>
      <c r="F236" s="100" t="s">
        <v>1041</v>
      </c>
      <c r="G236" s="182" t="s">
        <v>1092</v>
      </c>
      <c r="H236" s="101" t="s">
        <v>2029</v>
      </c>
      <c r="I236" s="126" t="s">
        <v>1097</v>
      </c>
      <c r="J236" s="97" t="str">
        <f t="shared" si="3"/>
        <v>I</v>
      </c>
    </row>
    <row r="237" spans="2:10" ht="15.75" customHeight="1">
      <c r="B237" s="79" t="str">
        <f>'＠グループ、表示名'!G237</f>
        <v>SPI2</v>
      </c>
      <c r="C237" s="79" t="str">
        <f>'＠グループ、表示名'!H237</f>
        <v>SPI2_SBT2</v>
      </c>
      <c r="D237" s="109" t="s">
        <v>1999</v>
      </c>
      <c r="E237" s="172" t="s">
        <v>2004</v>
      </c>
      <c r="F237" s="100" t="s">
        <v>1058</v>
      </c>
      <c r="G237" s="180" t="s">
        <v>2013</v>
      </c>
      <c r="H237" s="101" t="s">
        <v>2030</v>
      </c>
      <c r="I237" s="118" t="s">
        <v>2026</v>
      </c>
      <c r="J237" s="97" t="str">
        <f t="shared" si="3"/>
        <v>I/O</v>
      </c>
    </row>
    <row r="238" spans="2:10" ht="15.75" customHeight="1">
      <c r="B238" s="79" t="str">
        <f>'＠グループ、表示名'!G238</f>
        <v>SPI2</v>
      </c>
      <c r="C238" s="79" t="str">
        <f>'＠グループ、表示名'!H238</f>
        <v>SPI2_SBCS2</v>
      </c>
      <c r="D238" s="179" t="s">
        <v>2002</v>
      </c>
      <c r="E238" s="172" t="s">
        <v>2004</v>
      </c>
      <c r="F238" s="100" t="s">
        <v>1058</v>
      </c>
      <c r="G238" s="121" t="s">
        <v>2014</v>
      </c>
      <c r="H238" s="101" t="s">
        <v>2031</v>
      </c>
      <c r="I238" s="118" t="s">
        <v>2027</v>
      </c>
      <c r="J238" s="97" t="str">
        <f t="shared" si="3"/>
        <v>I/O</v>
      </c>
    </row>
    <row r="239" spans="2:10" ht="15.75" customHeight="1">
      <c r="B239" s="79" t="str">
        <f>'＠グループ、表示名'!G239</f>
        <v>SPI3</v>
      </c>
      <c r="C239" s="79" t="str">
        <f>'＠グループ、表示名'!H239</f>
        <v>SPI3_SBO3</v>
      </c>
      <c r="D239" s="171" t="s">
        <v>2000</v>
      </c>
      <c r="E239" s="172" t="s">
        <v>2004</v>
      </c>
      <c r="F239" s="100" t="s">
        <v>1058</v>
      </c>
      <c r="G239" s="97" t="s">
        <v>2015</v>
      </c>
      <c r="H239" s="101" t="s">
        <v>2028</v>
      </c>
      <c r="I239" s="126" t="s">
        <v>2025</v>
      </c>
      <c r="J239" s="97" t="str">
        <f t="shared" si="3"/>
        <v>I/O</v>
      </c>
    </row>
    <row r="240" spans="2:10" ht="15.75" customHeight="1">
      <c r="B240" s="79" t="str">
        <f>'＠グループ、表示名'!G240</f>
        <v>SPI3</v>
      </c>
      <c r="C240" s="79" t="str">
        <f>'＠グループ、表示名'!H240</f>
        <v>SPI3_SBI3</v>
      </c>
      <c r="D240" s="171" t="s">
        <v>2001</v>
      </c>
      <c r="E240" s="172" t="s">
        <v>2004</v>
      </c>
      <c r="F240" s="100" t="s">
        <v>1041</v>
      </c>
      <c r="G240" s="97" t="s">
        <v>1093</v>
      </c>
      <c r="H240" s="101" t="s">
        <v>2029</v>
      </c>
      <c r="I240" s="126" t="s">
        <v>1097</v>
      </c>
      <c r="J240" s="97" t="str">
        <f t="shared" si="3"/>
        <v>I</v>
      </c>
    </row>
    <row r="241" spans="2:10" ht="15.75" customHeight="1">
      <c r="B241" s="79" t="str">
        <f>'＠グループ、表示名'!G241</f>
        <v>SPI3</v>
      </c>
      <c r="C241" s="79" t="str">
        <f>'＠グループ、表示名'!H241</f>
        <v>SPI3_SBT3</v>
      </c>
      <c r="D241" s="109" t="s">
        <v>1999</v>
      </c>
      <c r="E241" s="172" t="s">
        <v>2004</v>
      </c>
      <c r="F241" s="100" t="s">
        <v>1058</v>
      </c>
      <c r="G241" s="97" t="s">
        <v>2016</v>
      </c>
      <c r="H241" s="101" t="s">
        <v>2030</v>
      </c>
      <c r="I241" s="118" t="s">
        <v>2026</v>
      </c>
      <c r="J241" s="97" t="str">
        <f t="shared" si="3"/>
        <v>I/O</v>
      </c>
    </row>
    <row r="242" spans="2:10" ht="15.75" customHeight="1">
      <c r="B242" s="79" t="str">
        <f>'＠グループ、表示名'!G242</f>
        <v>SPI3</v>
      </c>
      <c r="C242" s="79" t="str">
        <f>'＠グループ、表示名'!H242</f>
        <v>SPI3_SBCS3</v>
      </c>
      <c r="D242" s="179" t="s">
        <v>2002</v>
      </c>
      <c r="E242" s="172" t="s">
        <v>2004</v>
      </c>
      <c r="F242" s="100" t="s">
        <v>1058</v>
      </c>
      <c r="G242" s="97" t="s">
        <v>2017</v>
      </c>
      <c r="H242" s="101" t="s">
        <v>2031</v>
      </c>
      <c r="I242" s="118" t="s">
        <v>2027</v>
      </c>
      <c r="J242" s="97" t="str">
        <f t="shared" si="3"/>
        <v>I/O</v>
      </c>
    </row>
    <row r="243" spans="2:10" ht="15.75" customHeight="1">
      <c r="B243" s="79" t="str">
        <f>'＠グループ、表示名'!G243</f>
        <v>SPI4</v>
      </c>
      <c r="C243" s="79" t="str">
        <f>'＠グループ、表示名'!H243</f>
        <v>SPI4_SBO4</v>
      </c>
      <c r="D243" s="171" t="s">
        <v>2000</v>
      </c>
      <c r="E243" s="172" t="s">
        <v>2004</v>
      </c>
      <c r="F243" s="100" t="s">
        <v>1058</v>
      </c>
      <c r="G243" s="97" t="s">
        <v>2018</v>
      </c>
      <c r="H243" s="101" t="s">
        <v>2028</v>
      </c>
      <c r="I243" s="126" t="s">
        <v>2025</v>
      </c>
      <c r="J243" s="97" t="str">
        <f t="shared" si="3"/>
        <v>I/O</v>
      </c>
    </row>
    <row r="244" spans="2:10" ht="15.75" customHeight="1">
      <c r="B244" s="79" t="str">
        <f>'＠グループ、表示名'!G244</f>
        <v>SPI4</v>
      </c>
      <c r="C244" s="79" t="str">
        <f>'＠グループ、表示名'!H244</f>
        <v>SPI4_SBI4</v>
      </c>
      <c r="D244" s="171" t="s">
        <v>2001</v>
      </c>
      <c r="E244" s="172" t="s">
        <v>2004</v>
      </c>
      <c r="F244" s="100" t="s">
        <v>1041</v>
      </c>
      <c r="G244" s="97" t="s">
        <v>1096</v>
      </c>
      <c r="H244" s="101" t="s">
        <v>2029</v>
      </c>
      <c r="I244" s="126" t="s">
        <v>1097</v>
      </c>
      <c r="J244" s="97" t="str">
        <f t="shared" si="3"/>
        <v>I</v>
      </c>
    </row>
    <row r="245" spans="2:10" ht="15.75" customHeight="1">
      <c r="B245" s="79" t="str">
        <f>'＠グループ、表示名'!G245</f>
        <v>SPI4</v>
      </c>
      <c r="C245" s="79" t="str">
        <f>'＠グループ、表示名'!H245</f>
        <v>SPI4_SBT4</v>
      </c>
      <c r="D245" s="109" t="s">
        <v>1999</v>
      </c>
      <c r="E245" s="172" t="s">
        <v>2004</v>
      </c>
      <c r="F245" s="100" t="s">
        <v>1058</v>
      </c>
      <c r="G245" s="97" t="s">
        <v>2019</v>
      </c>
      <c r="H245" s="101" t="s">
        <v>2030</v>
      </c>
      <c r="I245" s="118" t="s">
        <v>2026</v>
      </c>
      <c r="J245" s="97" t="str">
        <f t="shared" si="3"/>
        <v>I/O</v>
      </c>
    </row>
    <row r="246" spans="2:10" ht="15.75" customHeight="1">
      <c r="B246" s="79" t="str">
        <f>'＠グループ、表示名'!G246</f>
        <v>SPI4</v>
      </c>
      <c r="C246" s="79" t="str">
        <f>'＠グループ、表示名'!H246</f>
        <v>SPI4_SBCS4</v>
      </c>
      <c r="D246" s="179" t="s">
        <v>2002</v>
      </c>
      <c r="E246" s="172" t="s">
        <v>2004</v>
      </c>
      <c r="F246" s="100" t="s">
        <v>1058</v>
      </c>
      <c r="G246" s="97" t="s">
        <v>2020</v>
      </c>
      <c r="H246" s="101" t="s">
        <v>2031</v>
      </c>
      <c r="I246" s="118" t="s">
        <v>2027</v>
      </c>
      <c r="J246" s="97" t="str">
        <f t="shared" si="3"/>
        <v>I/O</v>
      </c>
    </row>
    <row r="247" spans="2:10" ht="15.75" customHeight="1">
      <c r="B247" s="79" t="str">
        <f>'＠グループ、表示名'!G247</f>
        <v>SPI5</v>
      </c>
      <c r="C247" s="79" t="str">
        <f>'＠グループ、表示名'!H247</f>
        <v>SPI5_SBO5</v>
      </c>
      <c r="D247" s="171" t="s">
        <v>2000</v>
      </c>
      <c r="E247" s="172" t="s">
        <v>2004</v>
      </c>
      <c r="F247" s="100" t="s">
        <v>1058</v>
      </c>
      <c r="G247" s="97" t="s">
        <v>2021</v>
      </c>
      <c r="H247" s="101" t="s">
        <v>2028</v>
      </c>
      <c r="I247" s="126" t="s">
        <v>2025</v>
      </c>
      <c r="J247" s="97" t="str">
        <f t="shared" si="3"/>
        <v>I/O</v>
      </c>
    </row>
    <row r="248" spans="2:10" ht="15.75" customHeight="1">
      <c r="B248" s="79" t="str">
        <f>'＠グループ、表示名'!G248</f>
        <v>SPI5</v>
      </c>
      <c r="C248" s="79" t="str">
        <f>'＠グループ、表示名'!H248</f>
        <v>SPI5_SBI5</v>
      </c>
      <c r="D248" s="171" t="s">
        <v>2001</v>
      </c>
      <c r="E248" s="172" t="s">
        <v>2004</v>
      </c>
      <c r="F248" s="100" t="s">
        <v>1041</v>
      </c>
      <c r="G248" s="97" t="s">
        <v>1094</v>
      </c>
      <c r="H248" s="101" t="s">
        <v>2029</v>
      </c>
      <c r="I248" s="126" t="s">
        <v>1097</v>
      </c>
      <c r="J248" s="97" t="str">
        <f t="shared" si="3"/>
        <v>I</v>
      </c>
    </row>
    <row r="249" spans="2:10" ht="15.75" customHeight="1">
      <c r="B249" s="79" t="str">
        <f>'＠グループ、表示名'!G249</f>
        <v>SPI5</v>
      </c>
      <c r="C249" s="79" t="str">
        <f>'＠グループ、表示名'!H249</f>
        <v>SPI5_SBT5</v>
      </c>
      <c r="D249" s="109" t="s">
        <v>1999</v>
      </c>
      <c r="E249" s="172" t="s">
        <v>2004</v>
      </c>
      <c r="F249" s="100" t="s">
        <v>1058</v>
      </c>
      <c r="G249" s="97" t="s">
        <v>2022</v>
      </c>
      <c r="H249" s="101" t="s">
        <v>2030</v>
      </c>
      <c r="I249" s="118" t="s">
        <v>2026</v>
      </c>
      <c r="J249" s="97" t="str">
        <f t="shared" si="3"/>
        <v>I/O</v>
      </c>
    </row>
    <row r="250" spans="2:10" ht="15.75" customHeight="1">
      <c r="B250" s="79" t="str">
        <f>'＠グループ、表示名'!G250</f>
        <v>SPI6</v>
      </c>
      <c r="C250" s="79" t="str">
        <f>'＠グループ、表示名'!H250</f>
        <v>SPI6_SBO6</v>
      </c>
      <c r="D250" s="171" t="s">
        <v>2000</v>
      </c>
      <c r="E250" s="172" t="s">
        <v>2004</v>
      </c>
      <c r="F250" s="100" t="s">
        <v>1058</v>
      </c>
      <c r="G250" s="97" t="s">
        <v>2023</v>
      </c>
      <c r="H250" s="101" t="s">
        <v>2028</v>
      </c>
      <c r="I250" s="126" t="s">
        <v>2025</v>
      </c>
      <c r="J250" s="97" t="str">
        <f t="shared" si="3"/>
        <v>I/O</v>
      </c>
    </row>
    <row r="251" spans="2:10" ht="15.75" customHeight="1">
      <c r="B251" s="79" t="str">
        <f>'＠グループ、表示名'!G251</f>
        <v>SPI6</v>
      </c>
      <c r="C251" s="79" t="str">
        <f>'＠グループ、表示名'!H251</f>
        <v>SPI6_SBI6</v>
      </c>
      <c r="D251" s="171" t="s">
        <v>2001</v>
      </c>
      <c r="E251" s="172" t="s">
        <v>2004</v>
      </c>
      <c r="F251" s="100" t="s">
        <v>1041</v>
      </c>
      <c r="G251" s="97" t="s">
        <v>1095</v>
      </c>
      <c r="H251" s="101" t="s">
        <v>2029</v>
      </c>
      <c r="I251" s="126" t="s">
        <v>1097</v>
      </c>
      <c r="J251" s="97" t="str">
        <f t="shared" si="3"/>
        <v>I</v>
      </c>
    </row>
    <row r="252" spans="2:10" ht="15.75" customHeight="1">
      <c r="B252" s="79" t="str">
        <f>'＠グループ、表示名'!G252</f>
        <v>SPI6</v>
      </c>
      <c r="C252" s="79" t="str">
        <f>'＠グループ、表示名'!H252</f>
        <v>SPI6_SBT6</v>
      </c>
      <c r="D252" s="109" t="s">
        <v>1999</v>
      </c>
      <c r="E252" s="172" t="s">
        <v>2004</v>
      </c>
      <c r="F252" s="100" t="s">
        <v>1058</v>
      </c>
      <c r="G252" s="97" t="s">
        <v>2024</v>
      </c>
      <c r="H252" s="101" t="s">
        <v>2030</v>
      </c>
      <c r="I252" s="118" t="s">
        <v>2026</v>
      </c>
      <c r="J252" s="97" t="str">
        <f t="shared" si="3"/>
        <v>I/O</v>
      </c>
    </row>
    <row r="253" spans="2:10" ht="15.75" customHeight="1">
      <c r="B253" s="79" t="str">
        <f>'＠グループ、表示名'!G253</f>
        <v>UART0</v>
      </c>
      <c r="C253" s="79" t="str">
        <f>'＠グループ、表示名'!H253</f>
        <v>UART0_TX0</v>
      </c>
      <c r="D253" s="171" t="s">
        <v>2000</v>
      </c>
      <c r="E253" s="106" t="s">
        <v>2032</v>
      </c>
      <c r="F253" s="100" t="s">
        <v>1058</v>
      </c>
      <c r="G253" s="97" t="s">
        <v>2033</v>
      </c>
      <c r="H253" s="101" t="s">
        <v>2043</v>
      </c>
      <c r="I253" s="100" t="s">
        <v>2044</v>
      </c>
      <c r="J253" s="97" t="str">
        <f t="shared" si="3"/>
        <v>I/O</v>
      </c>
    </row>
    <row r="254" spans="2:10" ht="15.75" customHeight="1">
      <c r="B254" s="79" t="str">
        <f>'＠グループ、表示名'!G254</f>
        <v>UART0</v>
      </c>
      <c r="C254" s="79" t="str">
        <f>'＠グループ、表示名'!H254</f>
        <v>UART0_RX0</v>
      </c>
      <c r="D254" s="171" t="s">
        <v>2001</v>
      </c>
      <c r="E254" s="106" t="s">
        <v>2032</v>
      </c>
      <c r="F254" s="100" t="s">
        <v>1041</v>
      </c>
      <c r="G254" s="97" t="s">
        <v>2034</v>
      </c>
      <c r="H254" s="101" t="s">
        <v>2045</v>
      </c>
      <c r="I254" s="100" t="s">
        <v>1102</v>
      </c>
      <c r="J254" s="97" t="str">
        <f t="shared" si="3"/>
        <v>I</v>
      </c>
    </row>
    <row r="255" spans="2:10" ht="15.75" customHeight="1">
      <c r="B255" s="79" t="str">
        <f>'＠グループ、表示名'!G255</f>
        <v>UART1</v>
      </c>
      <c r="C255" s="79" t="str">
        <f>'＠グループ、表示名'!H255</f>
        <v>UART1_TX1</v>
      </c>
      <c r="D255" s="171" t="s">
        <v>2000</v>
      </c>
      <c r="E255" s="106" t="s">
        <v>2032</v>
      </c>
      <c r="F255" s="100" t="s">
        <v>1058</v>
      </c>
      <c r="G255" s="97" t="s">
        <v>2035</v>
      </c>
      <c r="H255" s="101" t="s">
        <v>2043</v>
      </c>
      <c r="I255" s="100" t="s">
        <v>2044</v>
      </c>
      <c r="J255" s="97" t="str">
        <f t="shared" si="3"/>
        <v>I/O</v>
      </c>
    </row>
    <row r="256" spans="2:10" ht="15.75" customHeight="1">
      <c r="B256" s="79" t="str">
        <f>'＠グループ、表示名'!G256</f>
        <v>UART1</v>
      </c>
      <c r="C256" s="79" t="str">
        <f>'＠グループ、表示名'!H256</f>
        <v>UART1_RX1</v>
      </c>
      <c r="D256" s="171" t="s">
        <v>2001</v>
      </c>
      <c r="E256" s="106" t="s">
        <v>2032</v>
      </c>
      <c r="F256" s="100" t="s">
        <v>1041</v>
      </c>
      <c r="G256" s="97" t="s">
        <v>2036</v>
      </c>
      <c r="H256" s="101" t="s">
        <v>2045</v>
      </c>
      <c r="I256" s="100" t="s">
        <v>1102</v>
      </c>
      <c r="J256" s="97" t="str">
        <f t="shared" si="3"/>
        <v>I</v>
      </c>
    </row>
    <row r="257" spans="2:10" ht="15.75" customHeight="1">
      <c r="B257" s="79" t="str">
        <f>'＠グループ、表示名'!G257</f>
        <v>UART2</v>
      </c>
      <c r="C257" s="79" t="str">
        <f>'＠グループ、表示名'!H257</f>
        <v>UART2_TX2</v>
      </c>
      <c r="D257" s="171" t="s">
        <v>2000</v>
      </c>
      <c r="E257" s="106" t="s">
        <v>1130</v>
      </c>
      <c r="F257" s="100" t="s">
        <v>1058</v>
      </c>
      <c r="G257" s="97" t="s">
        <v>2037</v>
      </c>
      <c r="H257" s="101" t="s">
        <v>2043</v>
      </c>
      <c r="I257" s="100" t="s">
        <v>2044</v>
      </c>
      <c r="J257" s="97" t="str">
        <f t="shared" si="3"/>
        <v>I/O</v>
      </c>
    </row>
    <row r="258" spans="2:10" ht="15.75" customHeight="1">
      <c r="B258" s="79" t="str">
        <f>'＠グループ、表示名'!G258</f>
        <v>UART2</v>
      </c>
      <c r="C258" s="79" t="str">
        <f>'＠グループ、表示名'!H258</f>
        <v>UART2_RX2</v>
      </c>
      <c r="D258" s="171" t="s">
        <v>2001</v>
      </c>
      <c r="E258" s="106" t="s">
        <v>1130</v>
      </c>
      <c r="F258" s="100" t="s">
        <v>1041</v>
      </c>
      <c r="G258" s="97" t="s">
        <v>1098</v>
      </c>
      <c r="H258" s="101" t="s">
        <v>2045</v>
      </c>
      <c r="I258" s="100" t="s">
        <v>1102</v>
      </c>
      <c r="J258" s="97" t="str">
        <f t="shared" si="3"/>
        <v>I</v>
      </c>
    </row>
    <row r="259" spans="2:10" ht="15.75" customHeight="1">
      <c r="B259" s="79" t="str">
        <f>'＠グループ、表示名'!G259</f>
        <v>UART3</v>
      </c>
      <c r="C259" s="79" t="str">
        <f>'＠グループ、表示名'!H259</f>
        <v>UART3_TX3</v>
      </c>
      <c r="D259" s="171" t="s">
        <v>2000</v>
      </c>
      <c r="E259" s="106" t="s">
        <v>1130</v>
      </c>
      <c r="F259" s="100" t="s">
        <v>1058</v>
      </c>
      <c r="G259" s="97" t="s">
        <v>2038</v>
      </c>
      <c r="H259" s="101" t="s">
        <v>2043</v>
      </c>
      <c r="I259" s="100" t="s">
        <v>2044</v>
      </c>
      <c r="J259" s="97" t="str">
        <f t="shared" si="3"/>
        <v>I/O</v>
      </c>
    </row>
    <row r="260" spans="2:10" ht="15.75" customHeight="1">
      <c r="B260" s="79" t="str">
        <f>'＠グループ、表示名'!G260</f>
        <v>UART3</v>
      </c>
      <c r="C260" s="79" t="str">
        <f>'＠グループ、表示名'!H260</f>
        <v>UART3_RX3</v>
      </c>
      <c r="D260" s="171" t="s">
        <v>2001</v>
      </c>
      <c r="E260" s="106" t="s">
        <v>1130</v>
      </c>
      <c r="F260" s="100" t="s">
        <v>1041</v>
      </c>
      <c r="G260" s="97" t="s">
        <v>1099</v>
      </c>
      <c r="H260" s="101" t="s">
        <v>2045</v>
      </c>
      <c r="I260" s="100" t="s">
        <v>1102</v>
      </c>
      <c r="J260" s="97" t="str">
        <f t="shared" si="3"/>
        <v>I</v>
      </c>
    </row>
    <row r="261" spans="2:10" ht="15.75" customHeight="1">
      <c r="B261" s="79" t="str">
        <f>'＠グループ、表示名'!G261</f>
        <v>UART4</v>
      </c>
      <c r="C261" s="79" t="str">
        <f>'＠グループ、表示名'!H261</f>
        <v>UART4_TX4</v>
      </c>
      <c r="D261" s="171" t="s">
        <v>2000</v>
      </c>
      <c r="E261" s="106" t="s">
        <v>1130</v>
      </c>
      <c r="F261" s="100" t="s">
        <v>1058</v>
      </c>
      <c r="G261" s="97" t="s">
        <v>2039</v>
      </c>
      <c r="H261" s="101" t="s">
        <v>2043</v>
      </c>
      <c r="I261" s="100" t="s">
        <v>2044</v>
      </c>
      <c r="J261" s="97" t="str">
        <f t="shared" si="3"/>
        <v>I/O</v>
      </c>
    </row>
    <row r="262" spans="2:10" ht="15.75" customHeight="1">
      <c r="B262" s="79" t="str">
        <f>'＠グループ、表示名'!G262</f>
        <v>UART4</v>
      </c>
      <c r="C262" s="79" t="str">
        <f>'＠グループ、表示名'!H262</f>
        <v>UART4_RX4</v>
      </c>
      <c r="D262" s="171" t="s">
        <v>2001</v>
      </c>
      <c r="E262" s="106" t="s">
        <v>1130</v>
      </c>
      <c r="F262" s="100" t="s">
        <v>1041</v>
      </c>
      <c r="G262" s="119" t="s">
        <v>2040</v>
      </c>
      <c r="H262" s="101" t="s">
        <v>2045</v>
      </c>
      <c r="I262" s="100" t="s">
        <v>1102</v>
      </c>
      <c r="J262" s="97" t="str">
        <f t="shared" ref="J262:J297" si="4">F262</f>
        <v>I</v>
      </c>
    </row>
    <row r="263" spans="2:10" ht="15.75" customHeight="1">
      <c r="B263" s="79" t="str">
        <f>'＠グループ、表示名'!G263</f>
        <v>UART5</v>
      </c>
      <c r="C263" s="79" t="str">
        <f>'＠グループ、表示名'!H263</f>
        <v>UART5_TX5</v>
      </c>
      <c r="D263" s="171" t="s">
        <v>2000</v>
      </c>
      <c r="E263" s="106" t="s">
        <v>1130</v>
      </c>
      <c r="F263" s="100" t="s">
        <v>1058</v>
      </c>
      <c r="G263" s="121" t="s">
        <v>2041</v>
      </c>
      <c r="H263" s="101" t="s">
        <v>2043</v>
      </c>
      <c r="I263" s="100" t="s">
        <v>2044</v>
      </c>
      <c r="J263" s="97" t="str">
        <f t="shared" si="4"/>
        <v>I/O</v>
      </c>
    </row>
    <row r="264" spans="2:10" ht="15.75" customHeight="1">
      <c r="B264" s="79" t="str">
        <f>'＠グループ、表示名'!G264</f>
        <v>UART5</v>
      </c>
      <c r="C264" s="79" t="str">
        <f>'＠グループ、表示名'!H264</f>
        <v>UART5_RX5</v>
      </c>
      <c r="D264" s="171" t="s">
        <v>2001</v>
      </c>
      <c r="E264" s="106" t="s">
        <v>1130</v>
      </c>
      <c r="F264" s="100" t="s">
        <v>1041</v>
      </c>
      <c r="G264" s="128" t="s">
        <v>1100</v>
      </c>
      <c r="H264" s="101" t="s">
        <v>2045</v>
      </c>
      <c r="I264" s="100" t="s">
        <v>1102</v>
      </c>
      <c r="J264" s="97" t="str">
        <f t="shared" si="4"/>
        <v>I</v>
      </c>
    </row>
    <row r="265" spans="2:10" ht="15.75" customHeight="1">
      <c r="B265" s="79" t="str">
        <f>'＠グループ、表示名'!G265</f>
        <v>UART6</v>
      </c>
      <c r="C265" s="79" t="str">
        <f>'＠グループ、表示名'!H265</f>
        <v>UART6_TX6</v>
      </c>
      <c r="D265" s="171" t="s">
        <v>2000</v>
      </c>
      <c r="E265" s="106" t="s">
        <v>1130</v>
      </c>
      <c r="F265" s="100" t="s">
        <v>1058</v>
      </c>
      <c r="G265" s="128" t="s">
        <v>2042</v>
      </c>
      <c r="H265" s="101" t="s">
        <v>2043</v>
      </c>
      <c r="I265" s="100" t="s">
        <v>2044</v>
      </c>
      <c r="J265" s="97" t="str">
        <f t="shared" si="4"/>
        <v>I/O</v>
      </c>
    </row>
    <row r="266" spans="2:10" ht="15.75" customHeight="1">
      <c r="B266" s="79" t="str">
        <f>'＠グループ、表示名'!G266</f>
        <v>UART6</v>
      </c>
      <c r="C266" s="79" t="str">
        <f>'＠グループ、表示名'!H266</f>
        <v>UART6_RX6</v>
      </c>
      <c r="D266" s="171" t="s">
        <v>2001</v>
      </c>
      <c r="E266" s="106" t="s">
        <v>1130</v>
      </c>
      <c r="F266" s="100" t="s">
        <v>1041</v>
      </c>
      <c r="G266" s="128" t="s">
        <v>1101</v>
      </c>
      <c r="H266" s="101" t="s">
        <v>2045</v>
      </c>
      <c r="I266" s="100" t="s">
        <v>1102</v>
      </c>
      <c r="J266" s="97" t="str">
        <f t="shared" si="4"/>
        <v>I</v>
      </c>
    </row>
    <row r="267" spans="2:10" ht="15.75" customHeight="1">
      <c r="B267" s="79" t="str">
        <f>'＠グループ、表示名'!G267</f>
        <v>I2C0</v>
      </c>
      <c r="C267" s="79" t="str">
        <f>'＠グループ、表示名'!H267</f>
        <v>I2C0_SDA0</v>
      </c>
      <c r="D267" s="171" t="s">
        <v>2000</v>
      </c>
      <c r="E267" s="106" t="s">
        <v>2046</v>
      </c>
      <c r="F267" s="100" t="s">
        <v>1058</v>
      </c>
      <c r="G267" s="128" t="s">
        <v>2051</v>
      </c>
      <c r="H267" s="114" t="s">
        <v>2047</v>
      </c>
      <c r="I267" s="122" t="s">
        <v>2048</v>
      </c>
      <c r="J267" s="115" t="str">
        <f t="shared" si="4"/>
        <v>I/O</v>
      </c>
    </row>
    <row r="268" spans="2:10" ht="15.75" customHeight="1">
      <c r="B268" s="79" t="str">
        <f>'＠グループ、表示名'!G268</f>
        <v>I2C0</v>
      </c>
      <c r="C268" s="79" t="str">
        <f>'＠グループ、表示名'!H268</f>
        <v>I2C0_SCL0</v>
      </c>
      <c r="D268" s="109" t="s">
        <v>1999</v>
      </c>
      <c r="E268" s="106" t="s">
        <v>2046</v>
      </c>
      <c r="F268" s="100" t="s">
        <v>1058</v>
      </c>
      <c r="G268" s="128" t="s">
        <v>2052</v>
      </c>
      <c r="H268" s="114" t="s">
        <v>2049</v>
      </c>
      <c r="I268" s="118" t="s">
        <v>2050</v>
      </c>
      <c r="J268" s="115" t="str">
        <f t="shared" si="4"/>
        <v>I/O</v>
      </c>
    </row>
    <row r="269" spans="2:10" ht="15.75" customHeight="1">
      <c r="B269" s="79" t="str">
        <f>'＠グループ、表示名'!G269</f>
        <v>I2C1</v>
      </c>
      <c r="C269" s="79" t="str">
        <f>'＠グループ、表示名'!H269</f>
        <v>I2C1_SDA1</v>
      </c>
      <c r="D269" s="171" t="s">
        <v>2000</v>
      </c>
      <c r="E269" s="106" t="s">
        <v>2046</v>
      </c>
      <c r="F269" s="100" t="s">
        <v>1058</v>
      </c>
      <c r="G269" s="128" t="s">
        <v>2053</v>
      </c>
      <c r="H269" s="114" t="s">
        <v>2047</v>
      </c>
      <c r="I269" s="118" t="s">
        <v>2048</v>
      </c>
      <c r="J269" s="115" t="str">
        <f t="shared" si="4"/>
        <v>I/O</v>
      </c>
    </row>
    <row r="270" spans="2:10" ht="15.75" customHeight="1">
      <c r="B270" s="79" t="str">
        <f>'＠グループ、表示名'!G270</f>
        <v>I2C1</v>
      </c>
      <c r="C270" s="79" t="str">
        <f>'＠グループ、表示名'!H270</f>
        <v>I2C1_SCL1</v>
      </c>
      <c r="D270" s="109" t="s">
        <v>1999</v>
      </c>
      <c r="E270" s="106" t="s">
        <v>2046</v>
      </c>
      <c r="F270" s="100" t="s">
        <v>1058</v>
      </c>
      <c r="G270" s="127" t="s">
        <v>2054</v>
      </c>
      <c r="H270" s="117" t="s">
        <v>2049</v>
      </c>
      <c r="I270" s="118" t="s">
        <v>2050</v>
      </c>
      <c r="J270" s="97" t="str">
        <f t="shared" si="4"/>
        <v>I/O</v>
      </c>
    </row>
    <row r="271" spans="2:10" ht="15.75" customHeight="1">
      <c r="B271" s="79" t="str">
        <f>'＠グループ、表示名'!G271</f>
        <v>LIN</v>
      </c>
      <c r="C271" s="79" t="str">
        <f>'＠グループ、表示名'!H271</f>
        <v>LIN_LTX</v>
      </c>
      <c r="D271" s="101" t="s">
        <v>2055</v>
      </c>
      <c r="E271" s="106" t="s">
        <v>2056</v>
      </c>
      <c r="F271" s="169" t="s">
        <v>1018</v>
      </c>
      <c r="G271" s="128" t="s">
        <v>2058</v>
      </c>
      <c r="H271" s="117" t="s">
        <v>1866</v>
      </c>
      <c r="I271" s="118" t="s">
        <v>2057</v>
      </c>
      <c r="J271" s="97" t="str">
        <f t="shared" si="4"/>
        <v>O</v>
      </c>
    </row>
    <row r="272" spans="2:10" ht="15.75" customHeight="1">
      <c r="B272" s="79" t="str">
        <f>'＠グループ、表示名'!G272</f>
        <v>LIN</v>
      </c>
      <c r="C272" s="79" t="str">
        <f>'＠グループ、表示名'!H272</f>
        <v>LIN_LRX</v>
      </c>
      <c r="D272" s="101" t="s">
        <v>1103</v>
      </c>
      <c r="E272" s="106" t="s">
        <v>2056</v>
      </c>
      <c r="F272" s="169" t="s">
        <v>1041</v>
      </c>
      <c r="G272" s="128" t="s">
        <v>1131</v>
      </c>
      <c r="H272" s="117" t="s">
        <v>1869</v>
      </c>
      <c r="I272" s="118" t="s">
        <v>2059</v>
      </c>
      <c r="J272" s="97" t="str">
        <f t="shared" si="4"/>
        <v>I</v>
      </c>
    </row>
    <row r="273" spans="2:10" ht="15.75" customHeight="1">
      <c r="B273" s="79" t="str">
        <f>'＠グループ、表示名'!G273</f>
        <v>CAN</v>
      </c>
      <c r="C273" s="79" t="str">
        <f>'＠グループ、表示名'!H273</f>
        <v>CAN_CTX</v>
      </c>
      <c r="D273" s="101" t="s">
        <v>2060</v>
      </c>
      <c r="E273" s="106" t="s">
        <v>2062</v>
      </c>
      <c r="F273" s="169" t="s">
        <v>1018</v>
      </c>
      <c r="G273" s="127" t="s">
        <v>2064</v>
      </c>
      <c r="H273" s="117" t="s">
        <v>1827</v>
      </c>
      <c r="I273" s="118" t="s">
        <v>2063</v>
      </c>
      <c r="J273" s="97" t="str">
        <f t="shared" si="4"/>
        <v>O</v>
      </c>
    </row>
    <row r="274" spans="2:10" ht="27" customHeight="1">
      <c r="B274" s="79" t="str">
        <f>'＠グループ、表示名'!G274</f>
        <v>CAN</v>
      </c>
      <c r="C274" s="79" t="str">
        <f>'＠グループ、表示名'!H274</f>
        <v>CAN_CRX</v>
      </c>
      <c r="D274" s="109" t="s">
        <v>2061</v>
      </c>
      <c r="E274" s="120" t="s">
        <v>2062</v>
      </c>
      <c r="F274" s="169" t="s">
        <v>1041</v>
      </c>
      <c r="G274" s="180" t="s">
        <v>2066</v>
      </c>
      <c r="H274" s="102" t="s">
        <v>1828</v>
      </c>
      <c r="I274" s="100" t="s">
        <v>2065</v>
      </c>
      <c r="J274" s="97" t="str">
        <f t="shared" si="4"/>
        <v>I</v>
      </c>
    </row>
    <row r="275" spans="2:10" ht="27" customHeight="1">
      <c r="B275" s="79" t="str">
        <f>'＠グループ、表示名'!G275</f>
        <v>RTC</v>
      </c>
      <c r="C275" s="79" t="str">
        <f>'＠グループ、表示名'!H275</f>
        <v>RTCOUT</v>
      </c>
      <c r="D275" s="179" t="s">
        <v>2067</v>
      </c>
      <c r="E275" s="174" t="s">
        <v>2069</v>
      </c>
      <c r="F275" s="169" t="s">
        <v>1018</v>
      </c>
      <c r="G275" s="185" t="s">
        <v>2072</v>
      </c>
      <c r="H275" s="79" t="s">
        <v>1608</v>
      </c>
      <c r="I275" s="169" t="s">
        <v>2072</v>
      </c>
      <c r="J275" s="97" t="str">
        <f t="shared" si="4"/>
        <v>O</v>
      </c>
    </row>
    <row r="276" spans="2:10" ht="27" customHeight="1">
      <c r="B276" s="79" t="str">
        <f>'＠グループ、表示名'!G276</f>
        <v>GPWM0</v>
      </c>
      <c r="C276" s="79" t="str">
        <f>'＠グループ、表示名'!H276</f>
        <v>GPWM0_GPWMBCST0</v>
      </c>
      <c r="D276" s="179" t="s">
        <v>2070</v>
      </c>
      <c r="E276" s="106" t="s">
        <v>1880</v>
      </c>
      <c r="F276" s="169" t="s">
        <v>1018</v>
      </c>
      <c r="G276" s="180" t="s">
        <v>2073</v>
      </c>
      <c r="H276" s="79" t="s">
        <v>2071</v>
      </c>
      <c r="I276" s="100" t="s">
        <v>2081</v>
      </c>
      <c r="J276" s="97" t="str">
        <f t="shared" si="4"/>
        <v>O</v>
      </c>
    </row>
    <row r="277" spans="2:10" ht="27" customHeight="1">
      <c r="B277" s="79" t="str">
        <f>'＠グループ、表示名'!G277</f>
        <v>GPWM1</v>
      </c>
      <c r="C277" s="79" t="str">
        <f>'＠グループ、表示名'!H277</f>
        <v>GPWM1_GPWMBCST1</v>
      </c>
      <c r="D277" s="179" t="s">
        <v>2070</v>
      </c>
      <c r="E277" s="106" t="s">
        <v>1880</v>
      </c>
      <c r="F277" s="169" t="s">
        <v>1018</v>
      </c>
      <c r="G277" s="180" t="s">
        <v>2074</v>
      </c>
      <c r="H277" s="79" t="s">
        <v>2071</v>
      </c>
      <c r="I277" s="100" t="s">
        <v>2081</v>
      </c>
      <c r="J277" s="97" t="str">
        <f t="shared" si="4"/>
        <v>O</v>
      </c>
    </row>
    <row r="278" spans="2:10" ht="27" customHeight="1">
      <c r="B278" s="79" t="str">
        <f>'＠グループ、表示名'!G278</f>
        <v>GPWM2</v>
      </c>
      <c r="C278" s="79" t="str">
        <f>'＠グループ、表示名'!H278</f>
        <v>GPWM2_GPWMBCST2</v>
      </c>
      <c r="D278" s="179" t="s">
        <v>2070</v>
      </c>
      <c r="E278" s="106" t="s">
        <v>1880</v>
      </c>
      <c r="F278" s="169" t="s">
        <v>1018</v>
      </c>
      <c r="G278" s="180" t="s">
        <v>2075</v>
      </c>
      <c r="H278" s="79" t="s">
        <v>2071</v>
      </c>
      <c r="I278" s="100" t="s">
        <v>2081</v>
      </c>
      <c r="J278" s="97" t="str">
        <f t="shared" si="4"/>
        <v>O</v>
      </c>
    </row>
    <row r="279" spans="2:10" ht="27" customHeight="1">
      <c r="B279" s="79" t="str">
        <f>'＠グループ、表示名'!G279</f>
        <v>GPWM3</v>
      </c>
      <c r="C279" s="79" t="str">
        <f>'＠グループ、表示名'!H279</f>
        <v>GPWM3_GPWMBCST3</v>
      </c>
      <c r="D279" s="179" t="s">
        <v>2070</v>
      </c>
      <c r="E279" s="106" t="s">
        <v>1880</v>
      </c>
      <c r="F279" s="169" t="s">
        <v>1018</v>
      </c>
      <c r="G279" s="180" t="s">
        <v>2076</v>
      </c>
      <c r="H279" s="79" t="s">
        <v>2071</v>
      </c>
      <c r="I279" s="100" t="s">
        <v>2081</v>
      </c>
      <c r="J279" s="97" t="str">
        <f t="shared" si="4"/>
        <v>O</v>
      </c>
    </row>
    <row r="280" spans="2:10" ht="27" customHeight="1">
      <c r="B280" s="79" t="str">
        <f>'＠グループ、表示名'!G280</f>
        <v>GPWM4</v>
      </c>
      <c r="C280" s="79" t="str">
        <f>'＠グループ、表示名'!H280</f>
        <v>GPWM4_GPWMBCST4</v>
      </c>
      <c r="D280" s="179" t="s">
        <v>2070</v>
      </c>
      <c r="E280" s="106" t="s">
        <v>1880</v>
      </c>
      <c r="F280" s="169" t="s">
        <v>1018</v>
      </c>
      <c r="G280" s="180" t="s">
        <v>2077</v>
      </c>
      <c r="H280" s="79" t="s">
        <v>2071</v>
      </c>
      <c r="I280" s="100" t="s">
        <v>2081</v>
      </c>
      <c r="J280" s="97" t="str">
        <f t="shared" si="4"/>
        <v>O</v>
      </c>
    </row>
    <row r="281" spans="2:10" ht="27" customHeight="1">
      <c r="B281" s="79" t="str">
        <f>'＠グループ、表示名'!G281</f>
        <v>GPWM5</v>
      </c>
      <c r="C281" s="79" t="str">
        <f>'＠グループ、表示名'!H281</f>
        <v>GPWM5_GPWMBCST5</v>
      </c>
      <c r="D281" s="179" t="s">
        <v>2070</v>
      </c>
      <c r="E281" s="106" t="s">
        <v>1880</v>
      </c>
      <c r="F281" s="169" t="s">
        <v>1018</v>
      </c>
      <c r="G281" s="180" t="s">
        <v>2078</v>
      </c>
      <c r="H281" s="79" t="s">
        <v>2071</v>
      </c>
      <c r="I281" s="100" t="s">
        <v>2081</v>
      </c>
      <c r="J281" s="97" t="str">
        <f t="shared" si="4"/>
        <v>O</v>
      </c>
    </row>
    <row r="282" spans="2:10" ht="27" customHeight="1">
      <c r="B282" s="79" t="str">
        <f>'＠グループ、表示名'!G282</f>
        <v>GPWM6</v>
      </c>
      <c r="C282" s="79" t="str">
        <f>'＠グループ、表示名'!H282</f>
        <v>GPWM6_GPWMBCST6</v>
      </c>
      <c r="D282" s="179" t="s">
        <v>2070</v>
      </c>
      <c r="E282" s="106" t="s">
        <v>1880</v>
      </c>
      <c r="F282" s="169" t="s">
        <v>1018</v>
      </c>
      <c r="G282" s="180" t="s">
        <v>2079</v>
      </c>
      <c r="H282" s="79" t="s">
        <v>2071</v>
      </c>
      <c r="I282" s="100" t="s">
        <v>2081</v>
      </c>
      <c r="J282" s="97" t="str">
        <f t="shared" si="4"/>
        <v>O</v>
      </c>
    </row>
    <row r="283" spans="2:10" ht="27" customHeight="1">
      <c r="B283" s="79" t="str">
        <f>'＠グループ、表示名'!G283</f>
        <v>GPWM7</v>
      </c>
      <c r="C283" s="79" t="str">
        <f>'＠グループ、表示名'!H283</f>
        <v>GPWM7_GPWMBCST7</v>
      </c>
      <c r="D283" s="179" t="s">
        <v>2070</v>
      </c>
      <c r="E283" s="106" t="s">
        <v>1880</v>
      </c>
      <c r="F283" s="169" t="s">
        <v>1018</v>
      </c>
      <c r="G283" s="180" t="s">
        <v>2080</v>
      </c>
      <c r="H283" s="79" t="s">
        <v>2071</v>
      </c>
      <c r="I283" s="100" t="s">
        <v>2081</v>
      </c>
      <c r="J283" s="97" t="str">
        <f t="shared" si="4"/>
        <v>O</v>
      </c>
    </row>
    <row r="284" spans="2:10" ht="27" customHeight="1">
      <c r="B284" s="79" t="str">
        <f>'＠グループ、表示名'!G284</f>
        <v>AD</v>
      </c>
      <c r="C284" s="79" t="str">
        <f>'＠グループ、表示名'!H284</f>
        <v>ADSTATE0</v>
      </c>
      <c r="D284" s="179" t="s">
        <v>2082</v>
      </c>
      <c r="E284" s="106" t="s">
        <v>1880</v>
      </c>
      <c r="F284" s="169" t="s">
        <v>1018</v>
      </c>
      <c r="G284" s="182" t="s">
        <v>2085</v>
      </c>
      <c r="H284" s="101" t="s">
        <v>2083</v>
      </c>
      <c r="I284" s="103" t="s">
        <v>2084</v>
      </c>
      <c r="J284" s="97" t="str">
        <f t="shared" si="4"/>
        <v>O</v>
      </c>
    </row>
    <row r="285" spans="2:10" ht="27" customHeight="1">
      <c r="B285" s="79" t="str">
        <f>'＠グループ、表示名'!G285</f>
        <v>AD</v>
      </c>
      <c r="C285" s="79" t="str">
        <f>'＠グループ、表示名'!H285</f>
        <v>ADSTATE1</v>
      </c>
      <c r="D285" s="179" t="s">
        <v>2082</v>
      </c>
      <c r="E285" s="106" t="s">
        <v>1880</v>
      </c>
      <c r="F285" s="169" t="s">
        <v>1018</v>
      </c>
      <c r="G285" s="182" t="s">
        <v>2086</v>
      </c>
      <c r="H285" s="101" t="s">
        <v>2083</v>
      </c>
      <c r="I285" s="103" t="s">
        <v>2084</v>
      </c>
      <c r="J285" s="97" t="str">
        <f t="shared" si="4"/>
        <v>O</v>
      </c>
    </row>
    <row r="286" spans="2:10" ht="27" customHeight="1">
      <c r="B286" s="79" t="str">
        <f>'＠グループ、表示名'!G286</f>
        <v>AD</v>
      </c>
      <c r="C286" s="79" t="str">
        <f>'＠グループ、表示名'!H286</f>
        <v>ADSTATE2</v>
      </c>
      <c r="D286" s="179" t="s">
        <v>2082</v>
      </c>
      <c r="E286" s="106" t="s">
        <v>1880</v>
      </c>
      <c r="F286" s="169" t="s">
        <v>1018</v>
      </c>
      <c r="G286" s="182" t="s">
        <v>2087</v>
      </c>
      <c r="H286" s="101" t="s">
        <v>2083</v>
      </c>
      <c r="I286" s="103" t="s">
        <v>2084</v>
      </c>
      <c r="J286" s="97" t="str">
        <f t="shared" si="4"/>
        <v>O</v>
      </c>
    </row>
    <row r="287" spans="2:10" ht="27" customHeight="1">
      <c r="B287" s="79" t="str">
        <f>'＠グループ、表示名'!G287</f>
        <v>CMP0</v>
      </c>
      <c r="C287" s="79" t="str">
        <f>'＠グループ、表示名'!H287</f>
        <v>CMP0_CMPOT00</v>
      </c>
      <c r="D287" s="179" t="s">
        <v>2088</v>
      </c>
      <c r="E287" s="106" t="s">
        <v>1880</v>
      </c>
      <c r="F287" s="169" t="s">
        <v>1018</v>
      </c>
      <c r="G287" s="182" t="s">
        <v>1105</v>
      </c>
      <c r="H287" s="101" t="s">
        <v>2083</v>
      </c>
      <c r="I287" s="177" t="s">
        <v>2097</v>
      </c>
      <c r="J287" s="97" t="str">
        <f t="shared" si="4"/>
        <v>O</v>
      </c>
    </row>
    <row r="288" spans="2:10" ht="27" customHeight="1">
      <c r="B288" s="79" t="str">
        <f>'＠グループ、表示名'!G288</f>
        <v>CMP0</v>
      </c>
      <c r="C288" s="79" t="str">
        <f>'＠グループ、表示名'!H288</f>
        <v>CMP0_CMPOT01</v>
      </c>
      <c r="D288" s="179" t="s">
        <v>2088</v>
      </c>
      <c r="E288" s="106" t="s">
        <v>1880</v>
      </c>
      <c r="F288" s="169" t="s">
        <v>1018</v>
      </c>
      <c r="G288" s="182" t="s">
        <v>1106</v>
      </c>
      <c r="H288" s="101" t="s">
        <v>2083</v>
      </c>
      <c r="I288" s="103" t="s">
        <v>2084</v>
      </c>
      <c r="J288" s="97" t="str">
        <f t="shared" si="4"/>
        <v>O</v>
      </c>
    </row>
    <row r="289" spans="2:10" ht="15.75" customHeight="1">
      <c r="B289" s="79" t="str">
        <f>'＠グループ、表示名'!G289</f>
        <v>CMP1</v>
      </c>
      <c r="C289" s="79" t="str">
        <f>'＠グループ、表示名'!H289</f>
        <v>CMP1_CMPOT10</v>
      </c>
      <c r="D289" s="179" t="s">
        <v>2088</v>
      </c>
      <c r="E289" s="106" t="s">
        <v>1880</v>
      </c>
      <c r="F289" s="169" t="s">
        <v>1018</v>
      </c>
      <c r="G289" s="182" t="s">
        <v>1107</v>
      </c>
      <c r="H289" s="101" t="s">
        <v>2091</v>
      </c>
      <c r="I289" s="118" t="s">
        <v>2092</v>
      </c>
      <c r="J289" s="97" t="str">
        <f t="shared" si="4"/>
        <v>O</v>
      </c>
    </row>
    <row r="290" spans="2:10" ht="15.75" customHeight="1">
      <c r="B290" s="79" t="str">
        <f>'＠グループ、表示名'!G290</f>
        <v>CMP1</v>
      </c>
      <c r="C290" s="79" t="str">
        <f>'＠グループ、表示名'!H290</f>
        <v>CMP1_CMPOT11</v>
      </c>
      <c r="D290" s="179" t="s">
        <v>2088</v>
      </c>
      <c r="E290" s="106" t="s">
        <v>1880</v>
      </c>
      <c r="F290" s="169" t="s">
        <v>1018</v>
      </c>
      <c r="G290" s="182" t="s">
        <v>1108</v>
      </c>
      <c r="H290" s="101" t="s">
        <v>2093</v>
      </c>
      <c r="I290" s="118" t="s">
        <v>2094</v>
      </c>
      <c r="J290" s="97" t="str">
        <f t="shared" si="4"/>
        <v>O</v>
      </c>
    </row>
    <row r="291" spans="2:10" ht="15.75" customHeight="1">
      <c r="B291" s="79" t="str">
        <f>'＠グループ、表示名'!G291</f>
        <v>CMP2</v>
      </c>
      <c r="C291" s="79" t="str">
        <f>'＠グループ、表示名'!H291</f>
        <v>CMP2_CMPOT20</v>
      </c>
      <c r="D291" s="179" t="s">
        <v>2088</v>
      </c>
      <c r="E291" s="106" t="s">
        <v>1880</v>
      </c>
      <c r="F291" s="176" t="s">
        <v>1018</v>
      </c>
      <c r="G291" s="182" t="s">
        <v>1109</v>
      </c>
      <c r="H291" s="101" t="s">
        <v>2091</v>
      </c>
      <c r="I291" s="118" t="s">
        <v>2092</v>
      </c>
      <c r="J291" s="84" t="str">
        <f t="shared" si="4"/>
        <v>O</v>
      </c>
    </row>
    <row r="292" spans="2:10" ht="15.75" customHeight="1">
      <c r="B292" s="79" t="str">
        <f>'＠グループ、表示名'!G292</f>
        <v>CMP2</v>
      </c>
      <c r="C292" s="79" t="str">
        <f>'＠グループ、表示名'!H292</f>
        <v>CMP2_CMPOT21</v>
      </c>
      <c r="D292" s="179" t="s">
        <v>2088</v>
      </c>
      <c r="E292" s="106" t="s">
        <v>1880</v>
      </c>
      <c r="F292" s="176" t="s">
        <v>1018</v>
      </c>
      <c r="G292" s="182" t="s">
        <v>1110</v>
      </c>
      <c r="H292" s="101" t="s">
        <v>2093</v>
      </c>
      <c r="I292" s="118" t="s">
        <v>2094</v>
      </c>
      <c r="J292" s="84" t="str">
        <f t="shared" si="4"/>
        <v>O</v>
      </c>
    </row>
    <row r="293" spans="2:10" ht="15.75" customHeight="1">
      <c r="B293" s="79" t="str">
        <f>'＠グループ、表示名'!G293</f>
        <v>CMP3</v>
      </c>
      <c r="C293" s="79" t="str">
        <f>'＠グループ、表示名'!H293</f>
        <v>CMP3_CMPOT30</v>
      </c>
      <c r="D293" s="179" t="s">
        <v>2088</v>
      </c>
      <c r="E293" s="106" t="s">
        <v>1880</v>
      </c>
      <c r="F293" s="176" t="s">
        <v>1018</v>
      </c>
      <c r="G293" s="182" t="s">
        <v>1111</v>
      </c>
      <c r="H293" s="101" t="s">
        <v>2091</v>
      </c>
      <c r="I293" s="118" t="s">
        <v>2092</v>
      </c>
      <c r="J293" s="84" t="str">
        <f t="shared" si="4"/>
        <v>O</v>
      </c>
    </row>
    <row r="294" spans="2:10" ht="15.75" customHeight="1">
      <c r="B294" s="79" t="str">
        <f>'＠グループ、表示名'!G294</f>
        <v>CMP3</v>
      </c>
      <c r="C294" s="79" t="str">
        <f>'＠グループ、表示名'!H294</f>
        <v>CMP3_CMPOT31</v>
      </c>
      <c r="D294" s="179" t="s">
        <v>2088</v>
      </c>
      <c r="E294" s="106" t="s">
        <v>1880</v>
      </c>
      <c r="F294" s="176" t="s">
        <v>1018</v>
      </c>
      <c r="G294" s="182" t="s">
        <v>1112</v>
      </c>
      <c r="H294" s="101" t="s">
        <v>2093</v>
      </c>
      <c r="I294" s="118" t="s">
        <v>2094</v>
      </c>
      <c r="J294" s="84" t="str">
        <f t="shared" si="4"/>
        <v>O</v>
      </c>
    </row>
    <row r="295" spans="2:10" ht="15.75" customHeight="1">
      <c r="B295" s="79" t="str">
        <f>'＠グループ、表示名'!G295</f>
        <v>CMP4</v>
      </c>
      <c r="C295" s="79" t="str">
        <f>'＠グループ、表示名'!H295</f>
        <v>CMP4_CMPOT40</v>
      </c>
      <c r="D295" s="179" t="s">
        <v>2088</v>
      </c>
      <c r="E295" s="106" t="s">
        <v>1880</v>
      </c>
      <c r="F295" s="176" t="s">
        <v>1018</v>
      </c>
      <c r="G295" s="182" t="s">
        <v>1113</v>
      </c>
      <c r="H295" s="101" t="s">
        <v>2091</v>
      </c>
      <c r="I295" s="118" t="s">
        <v>2092</v>
      </c>
      <c r="J295" s="84" t="str">
        <f t="shared" si="4"/>
        <v>O</v>
      </c>
    </row>
    <row r="296" spans="2:10" ht="15.75" customHeight="1">
      <c r="B296" s="79" t="str">
        <f>'＠グループ、表示名'!G296</f>
        <v>CMP4</v>
      </c>
      <c r="C296" s="79" t="str">
        <f>'＠グループ、表示名'!H296</f>
        <v>CMP4_CMPOT41</v>
      </c>
      <c r="D296" s="179" t="s">
        <v>2088</v>
      </c>
      <c r="E296" s="106" t="s">
        <v>1880</v>
      </c>
      <c r="F296" s="176" t="s">
        <v>1018</v>
      </c>
      <c r="G296" s="182" t="s">
        <v>1114</v>
      </c>
      <c r="H296" s="101" t="s">
        <v>2093</v>
      </c>
      <c r="I296" s="118" t="s">
        <v>2094</v>
      </c>
      <c r="J296" s="84" t="str">
        <f t="shared" si="4"/>
        <v>O</v>
      </c>
    </row>
    <row r="297" spans="2:10" ht="15.75" customHeight="1">
      <c r="B297" s="79" t="str">
        <f>'＠グループ、表示名'!G297</f>
        <v>CMP5</v>
      </c>
      <c r="C297" s="79" t="str">
        <f>'＠グループ、表示名'!H297</f>
        <v>CMP5_CMPOT50</v>
      </c>
      <c r="D297" s="179" t="s">
        <v>2088</v>
      </c>
      <c r="E297" s="106" t="s">
        <v>1880</v>
      </c>
      <c r="F297" s="176" t="s">
        <v>1018</v>
      </c>
      <c r="G297" s="182" t="s">
        <v>2089</v>
      </c>
      <c r="H297" s="101" t="s">
        <v>2091</v>
      </c>
      <c r="I297" s="118" t="s">
        <v>2092</v>
      </c>
      <c r="J297" s="84" t="str">
        <f t="shared" si="4"/>
        <v>O</v>
      </c>
    </row>
    <row r="298" spans="2:10" ht="15.75" customHeight="1">
      <c r="B298" s="79" t="str">
        <f>'＠グループ、表示名'!G298</f>
        <v>CMP5</v>
      </c>
      <c r="C298" s="79" t="str">
        <f>'＠グループ、表示名'!H298</f>
        <v>CMP5_CMPOT51</v>
      </c>
      <c r="D298" s="179" t="s">
        <v>2088</v>
      </c>
      <c r="E298" s="106" t="s">
        <v>1880</v>
      </c>
      <c r="F298" s="176" t="s">
        <v>1018</v>
      </c>
      <c r="G298" s="182" t="s">
        <v>2090</v>
      </c>
      <c r="H298" s="101" t="s">
        <v>2093</v>
      </c>
      <c r="I298" s="118" t="s">
        <v>2094</v>
      </c>
      <c r="J298" s="84" t="s">
        <v>1878</v>
      </c>
    </row>
    <row r="299" spans="2:10" ht="15.75" customHeight="1" thickBot="1">
      <c r="B299" s="82" t="str">
        <f>'＠グループ、表示名'!G299</f>
        <v>CLK</v>
      </c>
      <c r="C299" s="82" t="str">
        <f>'＠グループ、表示名'!H299</f>
        <v>CLKOUT</v>
      </c>
      <c r="D299" s="183" t="s">
        <v>2096</v>
      </c>
      <c r="E299" s="111" t="s">
        <v>1880</v>
      </c>
      <c r="F299" s="184" t="s">
        <v>1018</v>
      </c>
      <c r="G299" s="186" t="s">
        <v>2096</v>
      </c>
      <c r="H299" s="82" t="s">
        <v>1849</v>
      </c>
      <c r="I299" s="80" t="s">
        <v>2095</v>
      </c>
      <c r="J299" s="81" t="s">
        <v>1878</v>
      </c>
    </row>
  </sheetData>
  <autoFilter ref="B3:J299"/>
  <mergeCells count="3">
    <mergeCell ref="B2:C2"/>
    <mergeCell ref="D2:G2"/>
    <mergeCell ref="H2:J2"/>
  </mergeCells>
  <phoneticPr fontId="56"/>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548"/>
  <sheetViews>
    <sheetView workbookViewId="0"/>
  </sheetViews>
  <sheetFormatPr defaultRowHeight="15.75"/>
  <cols>
    <col min="1" max="1" width="22.5703125" bestFit="1" customWidth="1"/>
    <col min="2" max="2" width="73.42578125" bestFit="1" customWidth="1"/>
    <col min="3" max="3" width="19.140625" bestFit="1" customWidth="1"/>
    <col min="4" max="4" width="9.5703125" bestFit="1" customWidth="1"/>
  </cols>
  <sheetData>
    <row r="2" spans="1:4">
      <c r="A2" t="s">
        <v>1160</v>
      </c>
      <c r="B2" t="str">
        <f t="shared" ref="B2:B64" si="0">IFERROR(IF(D2="","","/*!&lt; "&amp;D2&amp;". \hideinitializer */"),"")</f>
        <v>/*!&lt; General-purpose input/output pin. \hideinitializer */</v>
      </c>
      <c r="C2" t="str">
        <f>SUBSTITUTE(A2," ","")</f>
        <v>GPIO</v>
      </c>
      <c r="D2" t="str">
        <f>IF(C2="GPIO","General-purpose input/output pin",IF(C2="","",INDEX('@Pin Component List記載'!$C$4:$G$299,MATCH(C2,'@Pin Component List記載'!$C$4:$C$299,0),5)))</f>
        <v>General-purpose input/output pin</v>
      </c>
    </row>
    <row r="3" spans="1:4">
      <c r="A3" t="s">
        <v>1161</v>
      </c>
      <c r="B3" t="str">
        <f t="shared" si="0"/>
        <v>/*!&lt; External interrupt 0 input pin. \hideinitializer */</v>
      </c>
      <c r="C3" t="str">
        <f t="shared" ref="C3:C66" si="1">SUBSTITUTE(A3," ","")</f>
        <v>IRQ00</v>
      </c>
      <c r="D3" t="str">
        <f>IF(C3="GPIO","General-purpose input/output pin",IF(C3="","",INDEX('@Pin Component List記載'!$C$4:$G$299,MATCH(C3,'@Pin Component List記載'!$C$4:$C$299,0),5)))</f>
        <v>External interrupt 0 input pin</v>
      </c>
    </row>
    <row r="4" spans="1:4">
      <c r="A4" t="s">
        <v>1162</v>
      </c>
      <c r="B4" t="str">
        <f t="shared" si="0"/>
        <v/>
      </c>
      <c r="C4" t="str">
        <f t="shared" si="1"/>
        <v>TM20A</v>
      </c>
      <c r="D4" t="e">
        <f>IF(C4="GPIO","General-purpose input/output pin",IF(C4="","",INDEX('@Pin Component List記載'!$C$4:$G$299,MATCH(C4,'@Pin Component List記載'!$C$4:$C$299,0),5)))</f>
        <v>#N/A</v>
      </c>
    </row>
    <row r="5" spans="1:4">
      <c r="A5" t="s">
        <v>1333</v>
      </c>
      <c r="B5" t="str">
        <f t="shared" si="0"/>
        <v/>
      </c>
      <c r="C5" t="str">
        <f t="shared" si="1"/>
        <v>DBG_TRCCLK</v>
      </c>
      <c r="D5" t="e">
        <f>IF(C5="GPIO","General-purpose input/output pin",IF(C5="","",INDEX('@Pin Component List記載'!$C$4:$G$299,MATCH(C5,'@Pin Component List記載'!$C$4:$C$299,0),5)))</f>
        <v>#N/A</v>
      </c>
    </row>
    <row r="6" spans="1:4">
      <c r="B6" t="str">
        <f t="shared" si="0"/>
        <v/>
      </c>
      <c r="C6" t="str">
        <f t="shared" si="1"/>
        <v/>
      </c>
      <c r="D6" t="str">
        <f>IF(C6="GPIO","General-purpose input/output pin",IF(C6="","",INDEX('@Pin Component List記載'!$C$4:$G$299,MATCH(C6,'@Pin Component List記載'!$C$4:$C$299,0),5)))</f>
        <v/>
      </c>
    </row>
    <row r="7" spans="1:4">
      <c r="A7" t="s">
        <v>1160</v>
      </c>
      <c r="B7" t="str">
        <f t="shared" si="0"/>
        <v>/*!&lt; General-purpose input/output pin. \hideinitializer */</v>
      </c>
      <c r="C7" t="str">
        <f t="shared" si="1"/>
        <v>GPIO</v>
      </c>
      <c r="D7" t="str">
        <f>IF(C7="GPIO","General-purpose input/output pin",IF(C7="","",INDEX('@Pin Component List記載'!$C$4:$G$299,MATCH(C7,'@Pin Component List記載'!$C$4:$C$299,0),5)))</f>
        <v>General-purpose input/output pin</v>
      </c>
    </row>
    <row r="8" spans="1:4">
      <c r="A8" t="s">
        <v>1163</v>
      </c>
      <c r="B8" t="str">
        <f t="shared" si="0"/>
        <v>/*!&lt; External interrupt 1 input pin. \hideinitializer */</v>
      </c>
      <c r="C8" t="str">
        <f t="shared" si="1"/>
        <v>IRQ01</v>
      </c>
      <c r="D8" t="str">
        <f>IF(C8="GPIO","General-purpose input/output pin",IF(C8="","",INDEX('@Pin Component List記載'!$C$4:$G$299,MATCH(C8,'@Pin Component List記載'!$C$4:$C$299,0),5)))</f>
        <v>External interrupt 1 input pin</v>
      </c>
    </row>
    <row r="9" spans="1:4">
      <c r="A9" t="s">
        <v>1164</v>
      </c>
      <c r="B9" t="str">
        <f t="shared" si="0"/>
        <v/>
      </c>
      <c r="C9" t="str">
        <f t="shared" si="1"/>
        <v>TM20B</v>
      </c>
      <c r="D9" t="e">
        <f>IF(C9="GPIO","General-purpose input/output pin",IF(C9="","",INDEX('@Pin Component List記載'!$C$4:$G$299,MATCH(C9,'@Pin Component List記載'!$C$4:$C$299,0),5)))</f>
        <v>#N/A</v>
      </c>
    </row>
    <row r="10" spans="1:4">
      <c r="A10" t="s">
        <v>1394</v>
      </c>
      <c r="B10" t="str">
        <f t="shared" si="0"/>
        <v>/*!&lt; Serial wire output pin. \hideinitializer */</v>
      </c>
      <c r="C10" t="str">
        <f t="shared" si="1"/>
        <v>DBG_TRCSWO</v>
      </c>
      <c r="D10" t="str">
        <f>IF(C10="GPIO","General-purpose input/output pin",IF(C10="","",INDEX('@Pin Component List記載'!$C$4:$G$299,MATCH(C10,'@Pin Component List記載'!$C$4:$C$299,0),5)))</f>
        <v>Serial wire output pin</v>
      </c>
    </row>
    <row r="11" spans="1:4">
      <c r="B11" t="str">
        <f t="shared" si="0"/>
        <v/>
      </c>
      <c r="C11" t="str">
        <f t="shared" si="1"/>
        <v/>
      </c>
      <c r="D11" t="str">
        <f>IF(C11="GPIO","General-purpose input/output pin",IF(C11="","",INDEX('@Pin Component List記載'!$C$4:$G$299,MATCH(C11,'@Pin Component List記載'!$C$4:$C$299,0),5)))</f>
        <v/>
      </c>
    </row>
    <row r="12" spans="1:4">
      <c r="A12" t="s">
        <v>1160</v>
      </c>
      <c r="B12" t="str">
        <f t="shared" si="0"/>
        <v>/*!&lt; General-purpose input/output pin. \hideinitializer */</v>
      </c>
      <c r="C12" t="str">
        <f t="shared" si="1"/>
        <v>GPIO</v>
      </c>
      <c r="D12" t="str">
        <f>IF(C12="GPIO","General-purpose input/output pin",IF(C12="","",INDEX('@Pin Component List記載'!$C$4:$G$299,MATCH(C12,'@Pin Component List記載'!$C$4:$C$299,0),5)))</f>
        <v>General-purpose input/output pin</v>
      </c>
    </row>
    <row r="13" spans="1:4">
      <c r="A13" t="s">
        <v>1165</v>
      </c>
      <c r="B13" t="str">
        <f t="shared" si="0"/>
        <v>/*!&lt; External interrupt 2 input pin. \hideinitializer */</v>
      </c>
      <c r="C13" t="str">
        <f t="shared" si="1"/>
        <v>IRQ02</v>
      </c>
      <c r="D13" t="str">
        <f>IF(C13="GPIO","General-purpose input/output pin",IF(C13="","",INDEX('@Pin Component List記載'!$C$4:$G$299,MATCH(C13,'@Pin Component List記載'!$C$4:$C$299,0),5)))</f>
        <v>External interrupt 2 input pin</v>
      </c>
    </row>
    <row r="14" spans="1:4">
      <c r="A14" t="s">
        <v>1166</v>
      </c>
      <c r="B14" t="str">
        <f t="shared" si="0"/>
        <v>/*!&lt; Timer 0 input/output pin A. \hideinitializer */</v>
      </c>
      <c r="C14" t="str">
        <f t="shared" si="1"/>
        <v>TM00A</v>
      </c>
      <c r="D14" t="str">
        <f>IF(C14="GPIO","General-purpose input/output pin",IF(C14="","",INDEX('@Pin Component List記載'!$C$4:$G$299,MATCH(C14,'@Pin Component List記載'!$C$4:$C$299,0),5)))</f>
        <v>Timer 0 input/output pin A</v>
      </c>
    </row>
    <row r="15" spans="1:4">
      <c r="A15" t="s">
        <v>1328</v>
      </c>
      <c r="B15" t="str">
        <f t="shared" si="0"/>
        <v/>
      </c>
      <c r="C15" t="str">
        <f t="shared" si="1"/>
        <v>DBG_TRCD0</v>
      </c>
      <c r="D15" t="e">
        <f>IF(C15="GPIO","General-purpose input/output pin",IF(C15="","",INDEX('@Pin Component List記載'!$C$4:$G$299,MATCH(C15,'@Pin Component List記載'!$C$4:$C$299,0),5)))</f>
        <v>#N/A</v>
      </c>
    </row>
    <row r="16" spans="1:4">
      <c r="B16" t="str">
        <f t="shared" si="0"/>
        <v/>
      </c>
      <c r="C16" t="str">
        <f t="shared" si="1"/>
        <v/>
      </c>
      <c r="D16" t="str">
        <f>IF(C16="GPIO","General-purpose input/output pin",IF(C16="","",INDEX('@Pin Component List記載'!$C$4:$G$299,MATCH(C16,'@Pin Component List記載'!$C$4:$C$299,0),5)))</f>
        <v/>
      </c>
    </row>
    <row r="17" spans="1:4">
      <c r="A17" t="s">
        <v>1160</v>
      </c>
      <c r="B17" t="str">
        <f t="shared" si="0"/>
        <v>/*!&lt; General-purpose input/output pin. \hideinitializer */</v>
      </c>
      <c r="C17" t="str">
        <f t="shared" si="1"/>
        <v>GPIO</v>
      </c>
      <c r="D17" t="str">
        <f>IF(C17="GPIO","General-purpose input/output pin",IF(C17="","",INDEX('@Pin Component List記載'!$C$4:$G$299,MATCH(C17,'@Pin Component List記載'!$C$4:$C$299,0),5)))</f>
        <v>General-purpose input/output pin</v>
      </c>
    </row>
    <row r="18" spans="1:4">
      <c r="A18" t="s">
        <v>1167</v>
      </c>
      <c r="B18" t="str">
        <f t="shared" si="0"/>
        <v>/*!&lt; External interrupt 3 input pin. \hideinitializer */</v>
      </c>
      <c r="C18" t="str">
        <f t="shared" si="1"/>
        <v>IRQ03</v>
      </c>
      <c r="D18" t="str">
        <f>IF(C18="GPIO","General-purpose input/output pin",IF(C18="","",INDEX('@Pin Component List記載'!$C$4:$G$299,MATCH(C18,'@Pin Component List記載'!$C$4:$C$299,0),5)))</f>
        <v>External interrupt 3 input pin</v>
      </c>
    </row>
    <row r="19" spans="1:4">
      <c r="A19" t="s">
        <v>1168</v>
      </c>
      <c r="B19" t="str">
        <f t="shared" si="0"/>
        <v>/*!&lt; Timer 0 input/output pin B. \hideinitializer */</v>
      </c>
      <c r="C19" t="str">
        <f t="shared" si="1"/>
        <v>TM00B</v>
      </c>
      <c r="D19" t="str">
        <f>IF(C19="GPIO","General-purpose input/output pin",IF(C19="","",INDEX('@Pin Component List記載'!$C$4:$G$299,MATCH(C19,'@Pin Component List記載'!$C$4:$C$299,0),5)))</f>
        <v>Timer 0 input/output pin B</v>
      </c>
    </row>
    <row r="20" spans="1:4">
      <c r="A20" t="s">
        <v>1329</v>
      </c>
      <c r="B20" t="str">
        <f t="shared" si="0"/>
        <v/>
      </c>
      <c r="C20" t="str">
        <f t="shared" si="1"/>
        <v>DBG_TRCD1</v>
      </c>
      <c r="D20" t="e">
        <f>IF(C20="GPIO","General-purpose input/output pin",IF(C20="","",INDEX('@Pin Component List記載'!$C$4:$G$299,MATCH(C20,'@Pin Component List記載'!$C$4:$C$299,0),5)))</f>
        <v>#N/A</v>
      </c>
    </row>
    <row r="21" spans="1:4">
      <c r="B21" t="str">
        <f t="shared" si="0"/>
        <v/>
      </c>
      <c r="C21" t="str">
        <f t="shared" si="1"/>
        <v/>
      </c>
      <c r="D21" t="str">
        <f>IF(C21="GPIO","General-purpose input/output pin",IF(C21="","",INDEX('@Pin Component List記載'!$C$4:$G$299,MATCH(C21,'@Pin Component List記載'!$C$4:$C$299,0),5)))</f>
        <v/>
      </c>
    </row>
    <row r="22" spans="1:4">
      <c r="A22" t="s">
        <v>1160</v>
      </c>
      <c r="B22" t="str">
        <f t="shared" si="0"/>
        <v>/*!&lt; General-purpose input/output pin. \hideinitializer */</v>
      </c>
      <c r="C22" t="str">
        <f t="shared" si="1"/>
        <v>GPIO</v>
      </c>
      <c r="D22" t="str">
        <f>IF(C22="GPIO","General-purpose input/output pin",IF(C22="","",INDEX('@Pin Component List記載'!$C$4:$G$299,MATCH(C22,'@Pin Component List記載'!$C$4:$C$299,0),5)))</f>
        <v>General-purpose input/output pin</v>
      </c>
    </row>
    <row r="23" spans="1:4">
      <c r="A23" t="s">
        <v>1169</v>
      </c>
      <c r="B23" t="str">
        <f t="shared" si="0"/>
        <v>/*!&lt; External interrupt 4 input pin. \hideinitializer */</v>
      </c>
      <c r="C23" t="str">
        <f t="shared" si="1"/>
        <v>IRQ04</v>
      </c>
      <c r="D23" t="str">
        <f>IF(C23="GPIO","General-purpose input/output pin",IF(C23="","",INDEX('@Pin Component List記載'!$C$4:$G$299,MATCH(C23,'@Pin Component List記載'!$C$4:$C$299,0),5)))</f>
        <v>External interrupt 4 input pin</v>
      </c>
    </row>
    <row r="24" spans="1:4">
      <c r="A24" t="s">
        <v>1170</v>
      </c>
      <c r="B24" t="str">
        <f t="shared" si="0"/>
        <v>/*!&lt; Timer 1 input/output pin A. \hideinitializer */</v>
      </c>
      <c r="C24" t="str">
        <f t="shared" si="1"/>
        <v>TM01A</v>
      </c>
      <c r="D24" t="str">
        <f>IF(C24="GPIO","General-purpose input/output pin",IF(C24="","",INDEX('@Pin Component List記載'!$C$4:$G$299,MATCH(C24,'@Pin Component List記載'!$C$4:$C$299,0),5)))</f>
        <v>Timer 1 input/output pin A</v>
      </c>
    </row>
    <row r="25" spans="1:4">
      <c r="A25" t="s">
        <v>1330</v>
      </c>
      <c r="B25" t="str">
        <f t="shared" si="0"/>
        <v/>
      </c>
      <c r="C25" t="str">
        <f t="shared" si="1"/>
        <v>DBG_TRCD2</v>
      </c>
      <c r="D25" t="e">
        <f>IF(C25="GPIO","General-purpose input/output pin",IF(C25="","",INDEX('@Pin Component List記載'!$C$4:$G$299,MATCH(C25,'@Pin Component List記載'!$C$4:$C$299,0),5)))</f>
        <v>#N/A</v>
      </c>
    </row>
    <row r="26" spans="1:4">
      <c r="B26" t="str">
        <f t="shared" si="0"/>
        <v/>
      </c>
      <c r="C26" t="str">
        <f t="shared" si="1"/>
        <v/>
      </c>
      <c r="D26" t="str">
        <f>IF(C26="GPIO","General-purpose input/output pin",IF(C26="","",INDEX('@Pin Component List記載'!$C$4:$G$299,MATCH(C26,'@Pin Component List記載'!$C$4:$C$299,0),5)))</f>
        <v/>
      </c>
    </row>
    <row r="27" spans="1:4">
      <c r="A27" t="s">
        <v>1160</v>
      </c>
      <c r="B27" t="str">
        <f t="shared" si="0"/>
        <v>/*!&lt; General-purpose input/output pin. \hideinitializer */</v>
      </c>
      <c r="C27" t="str">
        <f t="shared" si="1"/>
        <v>GPIO</v>
      </c>
      <c r="D27" t="str">
        <f>IF(C27="GPIO","General-purpose input/output pin",IF(C27="","",INDEX('@Pin Component List記載'!$C$4:$G$299,MATCH(C27,'@Pin Component List記載'!$C$4:$C$299,0),5)))</f>
        <v>General-purpose input/output pin</v>
      </c>
    </row>
    <row r="28" spans="1:4">
      <c r="A28" t="s">
        <v>1171</v>
      </c>
      <c r="B28" t="str">
        <f t="shared" si="0"/>
        <v>/*!&lt; External interrupt 5 input pin. \hideinitializer */</v>
      </c>
      <c r="C28" t="str">
        <f t="shared" si="1"/>
        <v>IRQ05</v>
      </c>
      <c r="D28" t="str">
        <f>IF(C28="GPIO","General-purpose input/output pin",IF(C28="","",INDEX('@Pin Component List記載'!$C$4:$G$299,MATCH(C28,'@Pin Component List記載'!$C$4:$C$299,0),5)))</f>
        <v>External interrupt 5 input pin</v>
      </c>
    </row>
    <row r="29" spans="1:4">
      <c r="A29" t="s">
        <v>1172</v>
      </c>
      <c r="B29" t="str">
        <f t="shared" si="0"/>
        <v>/*!&lt; Timer 1 input/output pin B. \hideinitializer */</v>
      </c>
      <c r="C29" t="str">
        <f t="shared" si="1"/>
        <v>TM01B</v>
      </c>
      <c r="D29" t="str">
        <f>IF(C29="GPIO","General-purpose input/output pin",IF(C29="","",INDEX('@Pin Component List記載'!$C$4:$G$299,MATCH(C29,'@Pin Component List記載'!$C$4:$C$299,0),5)))</f>
        <v>Timer 1 input/output pin B</v>
      </c>
    </row>
    <row r="30" spans="1:4">
      <c r="A30" t="s">
        <v>1331</v>
      </c>
      <c r="B30" t="str">
        <f t="shared" si="0"/>
        <v/>
      </c>
      <c r="C30" t="str">
        <f t="shared" si="1"/>
        <v>DBG_TRCD3</v>
      </c>
      <c r="D30" t="e">
        <f>IF(C30="GPIO","General-purpose input/output pin",IF(C30="","",INDEX('@Pin Component List記載'!$C$4:$G$299,MATCH(C30,'@Pin Component List記載'!$C$4:$C$299,0),5)))</f>
        <v>#N/A</v>
      </c>
    </row>
    <row r="31" spans="1:4">
      <c r="B31" t="str">
        <f t="shared" si="0"/>
        <v/>
      </c>
      <c r="C31" t="str">
        <f t="shared" si="1"/>
        <v/>
      </c>
      <c r="D31" t="str">
        <f>IF(C31="GPIO","General-purpose input/output pin",IF(C31="","",INDEX('@Pin Component List記載'!$C$4:$G$299,MATCH(C31,'@Pin Component List記載'!$C$4:$C$299,0),5)))</f>
        <v/>
      </c>
    </row>
    <row r="32" spans="1:4">
      <c r="A32" t="s">
        <v>1160</v>
      </c>
      <c r="B32" t="str">
        <f t="shared" si="0"/>
        <v>/*!&lt; General-purpose input/output pin. \hideinitializer */</v>
      </c>
      <c r="C32" t="str">
        <f t="shared" si="1"/>
        <v>GPIO</v>
      </c>
      <c r="D32" t="str">
        <f>IF(C32="GPIO","General-purpose input/output pin",IF(C32="","",INDEX('@Pin Component List記載'!$C$4:$G$299,MATCH(C32,'@Pin Component List記載'!$C$4:$C$299,0),5)))</f>
        <v>General-purpose input/output pin</v>
      </c>
    </row>
    <row r="33" spans="1:4">
      <c r="A33" t="s">
        <v>1173</v>
      </c>
      <c r="B33" t="str">
        <f t="shared" si="0"/>
        <v>/*!&lt; External interrupt 6 input pin. \hideinitializer */</v>
      </c>
      <c r="C33" t="str">
        <f t="shared" si="1"/>
        <v>IRQ06</v>
      </c>
      <c r="D33" t="str">
        <f>IF(C33="GPIO","General-purpose input/output pin",IF(C33="","",INDEX('@Pin Component List記載'!$C$4:$G$299,MATCH(C33,'@Pin Component List記載'!$C$4:$C$299,0),5)))</f>
        <v>External interrupt 6 input pin</v>
      </c>
    </row>
    <row r="34" spans="1:4">
      <c r="A34" t="s">
        <v>1174</v>
      </c>
      <c r="B34" t="str">
        <f t="shared" si="0"/>
        <v>/*!&lt; Timer 2 input/output pin A. \hideinitializer */</v>
      </c>
      <c r="C34" t="str">
        <f t="shared" si="1"/>
        <v>TM02A</v>
      </c>
      <c r="D34" t="str">
        <f>IF(C34="GPIO","General-purpose input/output pin",IF(C34="","",INDEX('@Pin Component List記載'!$C$4:$G$299,MATCH(C34,'@Pin Component List記載'!$C$4:$C$299,0),5)))</f>
        <v>Timer 2 input/output pin A</v>
      </c>
    </row>
    <row r="35" spans="1:4">
      <c r="A35" t="s">
        <v>1332</v>
      </c>
      <c r="B35" t="str">
        <f t="shared" si="0"/>
        <v>/*!&lt; SMBUS data input/output pin. \hideinitializer */</v>
      </c>
      <c r="C35" t="str">
        <f t="shared" si="1"/>
        <v>SMBUS_SMCL</v>
      </c>
      <c r="D35" t="str">
        <f>IF(C35="GPIO","General-purpose input/output pin",IF(C35="","",INDEX('@Pin Component List記載'!$C$4:$G$299,MATCH(C35,'@Pin Component List記載'!$C$4:$C$299,0),5)))</f>
        <v>SMBUS data input/output pin</v>
      </c>
    </row>
    <row r="36" spans="1:4">
      <c r="A36" t="s">
        <v>1343</v>
      </c>
      <c r="B36" t="str">
        <f t="shared" si="0"/>
        <v/>
      </c>
      <c r="C36" t="str">
        <f t="shared" si="1"/>
        <v>CAN1_CRX</v>
      </c>
      <c r="D36" t="e">
        <f>IF(C36="GPIO","General-purpose input/output pin",IF(C36="","",INDEX('@Pin Component List記載'!$C$4:$G$299,MATCH(C36,'@Pin Component List記載'!$C$4:$C$299,0),5)))</f>
        <v>#N/A</v>
      </c>
    </row>
    <row r="37" spans="1:4">
      <c r="B37" t="str">
        <f t="shared" si="0"/>
        <v/>
      </c>
      <c r="C37" t="str">
        <f t="shared" si="1"/>
        <v/>
      </c>
      <c r="D37" t="str">
        <f>IF(C37="GPIO","General-purpose input/output pin",IF(C37="","",INDEX('@Pin Component List記載'!$C$4:$G$299,MATCH(C37,'@Pin Component List記載'!$C$4:$C$299,0),5)))</f>
        <v/>
      </c>
    </row>
    <row r="38" spans="1:4">
      <c r="A38" t="s">
        <v>1160</v>
      </c>
      <c r="B38" t="str">
        <f t="shared" si="0"/>
        <v>/*!&lt; General-purpose input/output pin. \hideinitializer */</v>
      </c>
      <c r="C38" t="str">
        <f t="shared" si="1"/>
        <v>GPIO</v>
      </c>
      <c r="D38" t="str">
        <f>IF(C38="GPIO","General-purpose input/output pin",IF(C38="","",INDEX('@Pin Component List記載'!$C$4:$G$299,MATCH(C38,'@Pin Component List記載'!$C$4:$C$299,0),5)))</f>
        <v>General-purpose input/output pin</v>
      </c>
    </row>
    <row r="39" spans="1:4">
      <c r="A39" t="s">
        <v>1175</v>
      </c>
      <c r="B39" t="str">
        <f t="shared" si="0"/>
        <v>/*!&lt; External interrupt 7 input pin. \hideinitializer */</v>
      </c>
      <c r="C39" t="str">
        <f t="shared" si="1"/>
        <v>IRQ07</v>
      </c>
      <c r="D39" t="str">
        <f>IF(C39="GPIO","General-purpose input/output pin",IF(C39="","",INDEX('@Pin Component List記載'!$C$4:$G$299,MATCH(C39,'@Pin Component List記載'!$C$4:$C$299,0),5)))</f>
        <v>External interrupt 7 input pin</v>
      </c>
    </row>
    <row r="40" spans="1:4">
      <c r="A40" t="s">
        <v>1176</v>
      </c>
      <c r="B40" t="str">
        <f t="shared" si="0"/>
        <v>/*!&lt; Timer 2 input/output pin B. \hideinitializer */</v>
      </c>
      <c r="C40" t="str">
        <f t="shared" si="1"/>
        <v>TM02B</v>
      </c>
      <c r="D40" t="str">
        <f>IF(C40="GPIO","General-purpose input/output pin",IF(C40="","",INDEX('@Pin Component List記載'!$C$4:$G$299,MATCH(C40,'@Pin Component List記載'!$C$4:$C$299,0),5)))</f>
        <v>Timer 2 input/output pin B</v>
      </c>
    </row>
    <row r="41" spans="1:4">
      <c r="A41" t="s">
        <v>1352</v>
      </c>
      <c r="B41" t="str">
        <f t="shared" si="0"/>
        <v>/*!&lt; SMBUS clock input/output pin. \hideinitializer */</v>
      </c>
      <c r="C41" t="str">
        <f t="shared" si="1"/>
        <v>SMBUS_SMDA</v>
      </c>
      <c r="D41" t="str">
        <f>IF(C41="GPIO","General-purpose input/output pin",IF(C41="","",INDEX('@Pin Component List記載'!$C$4:$G$299,MATCH(C41,'@Pin Component List記載'!$C$4:$C$299,0),5)))</f>
        <v>SMBUS clock input/output pin</v>
      </c>
    </row>
    <row r="42" spans="1:4">
      <c r="A42" t="s">
        <v>1334</v>
      </c>
      <c r="B42" t="str">
        <f t="shared" si="0"/>
        <v/>
      </c>
      <c r="C42" t="str">
        <f t="shared" si="1"/>
        <v>CAN1_CTX</v>
      </c>
      <c r="D42" t="e">
        <f>IF(C42="GPIO","General-purpose input/output pin",IF(C42="","",INDEX('@Pin Component List記載'!$C$4:$G$299,MATCH(C42,'@Pin Component List記載'!$C$4:$C$299,0),5)))</f>
        <v>#N/A</v>
      </c>
    </row>
    <row r="43" spans="1:4">
      <c r="B43" t="str">
        <f t="shared" si="0"/>
        <v/>
      </c>
      <c r="C43" t="str">
        <f t="shared" si="1"/>
        <v/>
      </c>
      <c r="D43" t="str">
        <f>IF(C43="GPIO","General-purpose input/output pin",IF(C43="","",INDEX('@Pin Component List記載'!$C$4:$G$299,MATCH(C43,'@Pin Component List記載'!$C$4:$C$299,0),5)))</f>
        <v/>
      </c>
    </row>
    <row r="44" spans="1:4">
      <c r="A44" t="s">
        <v>1177</v>
      </c>
      <c r="B44" t="str">
        <f t="shared" si="0"/>
        <v/>
      </c>
      <c r="C44" t="str">
        <f t="shared" si="1"/>
        <v>definitionof</v>
      </c>
      <c r="D44" t="e">
        <f>IF(C44="GPIO","General-purpose input/output pin",IF(C44="","",INDEX('@Pin Component List記載'!$C$4:$G$299,MATCH(C44,'@Pin Component List記載'!$C$4:$C$299,0),5)))</f>
        <v>#N/A</v>
      </c>
    </row>
    <row r="45" spans="1:4">
      <c r="A45" t="s">
        <v>1160</v>
      </c>
      <c r="B45" t="str">
        <f t="shared" si="0"/>
        <v>/*!&lt; General-purpose input/output pin. \hideinitializer */</v>
      </c>
      <c r="C45" t="str">
        <f t="shared" si="1"/>
        <v>GPIO</v>
      </c>
      <c r="D45" t="str">
        <f>IF(C45="GPIO","General-purpose input/output pin",IF(C45="","",INDEX('@Pin Component List記載'!$C$4:$G$299,MATCH(C45,'@Pin Component List記載'!$C$4:$C$299,0),5)))</f>
        <v>General-purpose input/output pin</v>
      </c>
    </row>
    <row r="46" spans="1:4">
      <c r="A46" t="s">
        <v>1178</v>
      </c>
      <c r="B46" t="str">
        <f t="shared" si="0"/>
        <v>/*!&lt; External interrupt 8 input pin. \hideinitializer */</v>
      </c>
      <c r="C46" t="str">
        <f t="shared" si="1"/>
        <v>IRQ08</v>
      </c>
      <c r="D46" t="str">
        <f>IF(C46="GPIO","General-purpose input/output pin",IF(C46="","",INDEX('@Pin Component List記載'!$C$4:$G$299,MATCH(C46,'@Pin Component List記載'!$C$4:$C$299,0),5)))</f>
        <v>External interrupt 8 input pin</v>
      </c>
    </row>
    <row r="47" spans="1:4">
      <c r="A47" t="s">
        <v>1179</v>
      </c>
      <c r="B47" t="str">
        <f t="shared" si="0"/>
        <v/>
      </c>
      <c r="C47" t="str">
        <f t="shared" si="1"/>
        <v>TM21A</v>
      </c>
      <c r="D47" t="e">
        <f>IF(C47="GPIO","General-purpose input/output pin",IF(C47="","",INDEX('@Pin Component List記載'!$C$4:$G$299,MATCH(C47,'@Pin Component List記載'!$C$4:$C$299,0),5)))</f>
        <v>#N/A</v>
      </c>
    </row>
    <row r="48" spans="1:4">
      <c r="A48" t="s">
        <v>1180</v>
      </c>
      <c r="B48" t="str">
        <f t="shared" si="0"/>
        <v>/*!&lt; Comparator 00 output pin. \hideinitializer */</v>
      </c>
      <c r="C48" t="str">
        <f t="shared" si="1"/>
        <v>CMP0_CMPOT00</v>
      </c>
      <c r="D48" t="str">
        <f>IF(C48="GPIO","General-purpose input/output pin",IF(C48="","",INDEX('@Pin Component List記載'!$C$4:$G$299,MATCH(C48,'@Pin Component List記載'!$C$4:$C$299,0),5)))</f>
        <v>Comparator 00 output pin</v>
      </c>
    </row>
    <row r="49" spans="1:4">
      <c r="A49" t="s">
        <v>1334</v>
      </c>
      <c r="B49" t="str">
        <f t="shared" si="0"/>
        <v/>
      </c>
      <c r="C49" t="str">
        <f t="shared" si="1"/>
        <v>CAN1_CTX</v>
      </c>
      <c r="D49" t="e">
        <f>IF(C49="GPIO","General-purpose input/output pin",IF(C49="","",INDEX('@Pin Component List記載'!$C$4:$G$299,MATCH(C49,'@Pin Component List記載'!$C$4:$C$299,0),5)))</f>
        <v>#N/A</v>
      </c>
    </row>
    <row r="50" spans="1:4">
      <c r="B50" t="str">
        <f t="shared" si="0"/>
        <v/>
      </c>
      <c r="C50" t="str">
        <f t="shared" si="1"/>
        <v/>
      </c>
      <c r="D50" t="str">
        <f>IF(C50="GPIO","General-purpose input/output pin",IF(C50="","",INDEX('@Pin Component List記載'!$C$4:$G$299,MATCH(C50,'@Pin Component List記載'!$C$4:$C$299,0),5)))</f>
        <v/>
      </c>
    </row>
    <row r="51" spans="1:4">
      <c r="A51" t="s">
        <v>1160</v>
      </c>
      <c r="B51" t="str">
        <f t="shared" si="0"/>
        <v>/*!&lt; General-purpose input/output pin. \hideinitializer */</v>
      </c>
      <c r="C51" t="str">
        <f t="shared" si="1"/>
        <v>GPIO</v>
      </c>
      <c r="D51" t="str">
        <f>IF(C51="GPIO","General-purpose input/output pin",IF(C51="","",INDEX('@Pin Component List記載'!$C$4:$G$299,MATCH(C51,'@Pin Component List記載'!$C$4:$C$299,0),5)))</f>
        <v>General-purpose input/output pin</v>
      </c>
    </row>
    <row r="52" spans="1:4">
      <c r="A52" t="s">
        <v>1181</v>
      </c>
      <c r="B52" t="str">
        <f t="shared" si="0"/>
        <v>/*!&lt; External interrupt 9 input pin. \hideinitializer */</v>
      </c>
      <c r="C52" t="str">
        <f t="shared" si="1"/>
        <v>IRQ09</v>
      </c>
      <c r="D52" t="str">
        <f>IF(C52="GPIO","General-purpose input/output pin",IF(C52="","",INDEX('@Pin Component List記載'!$C$4:$G$299,MATCH(C52,'@Pin Component List記載'!$C$4:$C$299,0),5)))</f>
        <v>External interrupt 9 input pin</v>
      </c>
    </row>
    <row r="53" spans="1:4">
      <c r="A53" t="s">
        <v>1182</v>
      </c>
      <c r="B53" t="str">
        <f t="shared" si="0"/>
        <v/>
      </c>
      <c r="C53" t="str">
        <f t="shared" si="1"/>
        <v>TM21B</v>
      </c>
      <c r="D53" t="e">
        <f>IF(C53="GPIO","General-purpose input/output pin",IF(C53="","",INDEX('@Pin Component List記載'!$C$4:$G$299,MATCH(C53,'@Pin Component List記載'!$C$4:$C$299,0),5)))</f>
        <v>#N/A</v>
      </c>
    </row>
    <row r="54" spans="1:4">
      <c r="A54" t="s">
        <v>1183</v>
      </c>
      <c r="B54" t="str">
        <f t="shared" si="0"/>
        <v>/*!&lt; Comparator 10 output pin. \hideinitializer */</v>
      </c>
      <c r="C54" t="str">
        <f t="shared" si="1"/>
        <v>CMP1_CMPOT10</v>
      </c>
      <c r="D54" t="str">
        <f>IF(C54="GPIO","General-purpose input/output pin",IF(C54="","",INDEX('@Pin Component List記載'!$C$4:$G$299,MATCH(C54,'@Pin Component List記載'!$C$4:$C$299,0),5)))</f>
        <v>Comparator 10 output pin</v>
      </c>
    </row>
    <row r="55" spans="1:4">
      <c r="A55" t="s">
        <v>1343</v>
      </c>
      <c r="B55" t="str">
        <f t="shared" si="0"/>
        <v/>
      </c>
      <c r="C55" t="str">
        <f t="shared" si="1"/>
        <v>CAN1_CRX</v>
      </c>
      <c r="D55" t="e">
        <f>IF(C55="GPIO","General-purpose input/output pin",IF(C55="","",INDEX('@Pin Component List記載'!$C$4:$G$299,MATCH(C55,'@Pin Component List記載'!$C$4:$C$299,0),5)))</f>
        <v>#N/A</v>
      </c>
    </row>
    <row r="56" spans="1:4">
      <c r="B56" t="str">
        <f t="shared" si="0"/>
        <v/>
      </c>
      <c r="C56" t="str">
        <f t="shared" si="1"/>
        <v/>
      </c>
      <c r="D56" t="str">
        <f>IF(C56="GPIO","General-purpose input/output pin",IF(C56="","",INDEX('@Pin Component List記載'!$C$4:$G$299,MATCH(C56,'@Pin Component List記載'!$C$4:$C$299,0),5)))</f>
        <v/>
      </c>
    </row>
    <row r="57" spans="1:4">
      <c r="A57" t="s">
        <v>1160</v>
      </c>
      <c r="B57" t="str">
        <f t="shared" si="0"/>
        <v>/*!&lt; General-purpose input/output pin. \hideinitializer */</v>
      </c>
      <c r="C57" t="str">
        <f t="shared" si="1"/>
        <v>GPIO</v>
      </c>
      <c r="D57" t="str">
        <f>IF(C57="GPIO","General-purpose input/output pin",IF(C57="","",INDEX('@Pin Component List記載'!$C$4:$G$299,MATCH(C57,'@Pin Component List記載'!$C$4:$C$299,0),5)))</f>
        <v>General-purpose input/output pin</v>
      </c>
    </row>
    <row r="58" spans="1:4">
      <c r="A58" t="s">
        <v>1184</v>
      </c>
      <c r="B58" t="str">
        <f t="shared" si="0"/>
        <v>/*!&lt; External interrupt 10 input pin. \hideinitializer */</v>
      </c>
      <c r="C58" t="str">
        <f t="shared" si="1"/>
        <v>IRQ10</v>
      </c>
      <c r="D58" t="str">
        <f>IF(C58="GPIO","General-purpose input/output pin",IF(C58="","",INDEX('@Pin Component List記載'!$C$4:$G$299,MATCH(C58,'@Pin Component List記載'!$C$4:$C$299,0),5)))</f>
        <v>External interrupt 10 input pin</v>
      </c>
    </row>
    <row r="59" spans="1:4">
      <c r="A59" t="s">
        <v>1185</v>
      </c>
      <c r="B59" t="str">
        <f t="shared" si="0"/>
        <v>/*!&lt; Timer 7 input/output pin A. \hideinitializer */</v>
      </c>
      <c r="C59" t="str">
        <f t="shared" si="1"/>
        <v>TM07A</v>
      </c>
      <c r="D59" t="str">
        <f>IF(C59="GPIO","General-purpose input/output pin",IF(C59="","",INDEX('@Pin Component List記載'!$C$4:$G$299,MATCH(C59,'@Pin Component List記載'!$C$4:$C$299,0),5)))</f>
        <v>Timer 7 input/output pin A</v>
      </c>
    </row>
    <row r="60" spans="1:4">
      <c r="B60" t="str">
        <f t="shared" si="0"/>
        <v/>
      </c>
      <c r="C60" t="str">
        <f t="shared" si="1"/>
        <v/>
      </c>
      <c r="D60" t="str">
        <f>IF(C60="GPIO","General-purpose input/output pin",IF(C60="","",INDEX('@Pin Component List記載'!$C$4:$G$299,MATCH(C60,'@Pin Component List記載'!$C$4:$C$299,0),5)))</f>
        <v/>
      </c>
    </row>
    <row r="61" spans="1:4">
      <c r="A61" t="s">
        <v>1160</v>
      </c>
      <c r="B61" t="str">
        <f t="shared" si="0"/>
        <v>/*!&lt; General-purpose input/output pin. \hideinitializer */</v>
      </c>
      <c r="C61" t="str">
        <f t="shared" si="1"/>
        <v>GPIO</v>
      </c>
      <c r="D61" t="str">
        <f>IF(C61="GPIO","General-purpose input/output pin",IF(C61="","",INDEX('@Pin Component List記載'!$C$4:$G$299,MATCH(C61,'@Pin Component List記載'!$C$4:$C$299,0),5)))</f>
        <v>General-purpose input/output pin</v>
      </c>
    </row>
    <row r="62" spans="1:4">
      <c r="A62" t="s">
        <v>1186</v>
      </c>
      <c r="B62" t="str">
        <f t="shared" si="0"/>
        <v>/*!&lt; External interrupt 11 input pin. \hideinitializer */</v>
      </c>
      <c r="C62" t="str">
        <f t="shared" si="1"/>
        <v>IRQ11</v>
      </c>
      <c r="D62" t="str">
        <f>IF(C62="GPIO","General-purpose input/output pin",IF(C62="","",INDEX('@Pin Component List記載'!$C$4:$G$299,MATCH(C62,'@Pin Component List記載'!$C$4:$C$299,0),5)))</f>
        <v>External interrupt 11 input pin</v>
      </c>
    </row>
    <row r="63" spans="1:4">
      <c r="A63" t="s">
        <v>1187</v>
      </c>
      <c r="B63" t="str">
        <f t="shared" si="0"/>
        <v>/*!&lt; Timer 7 input/output pin B. \hideinitializer */</v>
      </c>
      <c r="C63" t="str">
        <f t="shared" si="1"/>
        <v>TM07B</v>
      </c>
      <c r="D63" t="str">
        <f>IF(C63="GPIO","General-purpose input/output pin",IF(C63="","",INDEX('@Pin Component List記載'!$C$4:$G$299,MATCH(C63,'@Pin Component List記載'!$C$4:$C$299,0),5)))</f>
        <v>Timer 7 input/output pin B</v>
      </c>
    </row>
    <row r="64" spans="1:4">
      <c r="A64" t="s">
        <v>1188</v>
      </c>
      <c r="B64" t="str">
        <f t="shared" si="0"/>
        <v/>
      </c>
      <c r="C64" t="str">
        <f t="shared" si="1"/>
        <v>GPWM0_GPWMST0</v>
      </c>
      <c r="D64" t="e">
        <f>IF(C64="GPIO","General-purpose input/output pin",IF(C64="","",INDEX('@Pin Component List記載'!$C$4:$G$299,MATCH(C64,'@Pin Component List記載'!$C$4:$C$299,0),5)))</f>
        <v>#N/A</v>
      </c>
    </row>
    <row r="65" spans="1:4">
      <c r="A65" t="s">
        <v>1189</v>
      </c>
      <c r="B65" t="str">
        <f t="shared" ref="B65:B128" si="2">IFERROR(IF(D65="","","/*!&lt; "&amp;D65&amp;". \hideinitializer */"),"")</f>
        <v/>
      </c>
      <c r="C65" t="str">
        <f t="shared" si="1"/>
        <v>GPWM9_GPWMST9</v>
      </c>
      <c r="D65" t="e">
        <f>IF(C65="GPIO","General-purpose input/output pin",IF(C65="","",INDEX('@Pin Component List記載'!$C$4:$G$299,MATCH(C65,'@Pin Component List記載'!$C$4:$C$299,0),5)))</f>
        <v>#N/A</v>
      </c>
    </row>
    <row r="66" spans="1:4">
      <c r="B66" t="str">
        <f t="shared" si="2"/>
        <v/>
      </c>
      <c r="C66" t="str">
        <f t="shared" si="1"/>
        <v/>
      </c>
      <c r="D66" t="str">
        <f>IF(C66="GPIO","General-purpose input/output pin",IF(C66="","",INDEX('@Pin Component List記載'!$C$4:$G$299,MATCH(C66,'@Pin Component List記載'!$C$4:$C$299,0),5)))</f>
        <v/>
      </c>
    </row>
    <row r="67" spans="1:4">
      <c r="A67" t="s">
        <v>1160</v>
      </c>
      <c r="B67" t="str">
        <f t="shared" si="2"/>
        <v>/*!&lt; General-purpose input/output pin. \hideinitializer */</v>
      </c>
      <c r="C67" t="str">
        <f t="shared" ref="C67:C130" si="3">SUBSTITUTE(A67," ","")</f>
        <v>GPIO</v>
      </c>
      <c r="D67" t="str">
        <f>IF(C67="GPIO","General-purpose input/output pin",IF(C67="","",INDEX('@Pin Component List記載'!$C$4:$G$299,MATCH(C67,'@Pin Component List記載'!$C$4:$C$299,0),5)))</f>
        <v>General-purpose input/output pin</v>
      </c>
    </row>
    <row r="68" spans="1:4">
      <c r="A68" t="s">
        <v>1190</v>
      </c>
      <c r="B68" t="str">
        <f t="shared" si="2"/>
        <v>/*!&lt; External interrupt 12 input pin. \hideinitializer */</v>
      </c>
      <c r="C68" t="str">
        <f t="shared" si="3"/>
        <v>IRQ12</v>
      </c>
      <c r="D68" t="str">
        <f>IF(C68="GPIO","General-purpose input/output pin",IF(C68="","",INDEX('@Pin Component List記載'!$C$4:$G$299,MATCH(C68,'@Pin Component List記載'!$C$4:$C$299,0),5)))</f>
        <v>External interrupt 12 input pin</v>
      </c>
    </row>
    <row r="69" spans="1:4">
      <c r="A69" t="s">
        <v>1191</v>
      </c>
      <c r="B69" t="str">
        <f t="shared" si="2"/>
        <v>/*!&lt; Timer 8 input/output pin A. \hideinitializer */</v>
      </c>
      <c r="C69" t="str">
        <f t="shared" si="3"/>
        <v>TM08A</v>
      </c>
      <c r="D69" t="str">
        <f>IF(C69="GPIO","General-purpose input/output pin",IF(C69="","",INDEX('@Pin Component List記載'!$C$4:$G$299,MATCH(C69,'@Pin Component List記載'!$C$4:$C$299,0),5)))</f>
        <v>Timer 8 input/output pin A</v>
      </c>
    </row>
    <row r="70" spans="1:4">
      <c r="A70" t="s">
        <v>1192</v>
      </c>
      <c r="B70" t="str">
        <f t="shared" si="2"/>
        <v/>
      </c>
      <c r="C70" t="str">
        <f t="shared" si="3"/>
        <v>GPWM1_GPWMST1</v>
      </c>
      <c r="D70" t="e">
        <f>IF(C70="GPIO","General-purpose input/output pin",IF(C70="","",INDEX('@Pin Component List記載'!$C$4:$G$299,MATCH(C70,'@Pin Component List記載'!$C$4:$C$299,0),5)))</f>
        <v>#N/A</v>
      </c>
    </row>
    <row r="71" spans="1:4">
      <c r="A71" t="s">
        <v>1193</v>
      </c>
      <c r="B71" t="str">
        <f t="shared" si="2"/>
        <v/>
      </c>
      <c r="C71" t="str">
        <f t="shared" si="3"/>
        <v>GPWMA_GPWMSTA</v>
      </c>
      <c r="D71" t="e">
        <f>IF(C71="GPIO","General-purpose input/output pin",IF(C71="","",INDEX('@Pin Component List記載'!$C$4:$G$299,MATCH(C71,'@Pin Component List記載'!$C$4:$C$299,0),5)))</f>
        <v>#N/A</v>
      </c>
    </row>
    <row r="72" spans="1:4">
      <c r="A72" t="s">
        <v>1194</v>
      </c>
      <c r="B72" t="str">
        <f t="shared" si="2"/>
        <v/>
      </c>
      <c r="C72" t="str">
        <f t="shared" si="3"/>
        <v>DAC_DAOT0</v>
      </c>
      <c r="D72" t="e">
        <f>IF(C72="GPIO","General-purpose input/output pin",IF(C72="","",INDEX('@Pin Component List記載'!$C$4:$G$299,MATCH(C72,'@Pin Component List記載'!$C$4:$C$299,0),5)))</f>
        <v>#N/A</v>
      </c>
    </row>
    <row r="73" spans="1:4">
      <c r="B73" t="str">
        <f t="shared" si="2"/>
        <v/>
      </c>
      <c r="C73" t="str">
        <f t="shared" si="3"/>
        <v/>
      </c>
      <c r="D73" t="str">
        <f>IF(C73="GPIO","General-purpose input/output pin",IF(C73="","",INDEX('@Pin Component List記載'!$C$4:$G$299,MATCH(C73,'@Pin Component List記載'!$C$4:$C$299,0),5)))</f>
        <v/>
      </c>
    </row>
    <row r="74" spans="1:4">
      <c r="A74" t="s">
        <v>1160</v>
      </c>
      <c r="B74" t="str">
        <f t="shared" si="2"/>
        <v>/*!&lt; General-purpose input/output pin. \hideinitializer */</v>
      </c>
      <c r="C74" t="str">
        <f t="shared" si="3"/>
        <v>GPIO</v>
      </c>
      <c r="D74" t="str">
        <f>IF(C74="GPIO","General-purpose input/output pin",IF(C74="","",INDEX('@Pin Component List記載'!$C$4:$G$299,MATCH(C74,'@Pin Component List記載'!$C$4:$C$299,0),5)))</f>
        <v>General-purpose input/output pin</v>
      </c>
    </row>
    <row r="75" spans="1:4">
      <c r="A75" t="s">
        <v>1195</v>
      </c>
      <c r="B75" t="str">
        <f t="shared" si="2"/>
        <v>/*!&lt; External interrupt 13 input pin. \hideinitializer */</v>
      </c>
      <c r="C75" t="str">
        <f t="shared" si="3"/>
        <v>IRQ13</v>
      </c>
      <c r="D75" t="str">
        <f>IF(C75="GPIO","General-purpose input/output pin",IF(C75="","",INDEX('@Pin Component List記載'!$C$4:$G$299,MATCH(C75,'@Pin Component List記載'!$C$4:$C$299,0),5)))</f>
        <v>External interrupt 13 input pin</v>
      </c>
    </row>
    <row r="76" spans="1:4">
      <c r="A76" t="s">
        <v>1196</v>
      </c>
      <c r="B76" t="str">
        <f t="shared" si="2"/>
        <v>/*!&lt; Timer 8 input/output pin B. \hideinitializer */</v>
      </c>
      <c r="C76" t="str">
        <f t="shared" si="3"/>
        <v>TM08B</v>
      </c>
      <c r="D76" t="str">
        <f>IF(C76="GPIO","General-purpose input/output pin",IF(C76="","",INDEX('@Pin Component List記載'!$C$4:$G$299,MATCH(C76,'@Pin Component List記載'!$C$4:$C$299,0),5)))</f>
        <v>Timer 8 input/output pin B</v>
      </c>
    </row>
    <row r="77" spans="1:4">
      <c r="A77" t="s">
        <v>1197</v>
      </c>
      <c r="B77" t="str">
        <f t="shared" si="2"/>
        <v/>
      </c>
      <c r="C77" t="str">
        <f t="shared" si="3"/>
        <v>GPWM2_GPWMST2</v>
      </c>
      <c r="D77" t="e">
        <f>IF(C77="GPIO","General-purpose input/output pin",IF(C77="","",INDEX('@Pin Component List記載'!$C$4:$G$299,MATCH(C77,'@Pin Component List記載'!$C$4:$C$299,0),5)))</f>
        <v>#N/A</v>
      </c>
    </row>
    <row r="78" spans="1:4">
      <c r="A78" t="s">
        <v>1198</v>
      </c>
      <c r="B78" t="str">
        <f t="shared" si="2"/>
        <v/>
      </c>
      <c r="C78" t="str">
        <f t="shared" si="3"/>
        <v>GPWMB_GPWMSTB</v>
      </c>
      <c r="D78" t="e">
        <f>IF(C78="GPIO","General-purpose input/output pin",IF(C78="","",INDEX('@Pin Component List記載'!$C$4:$G$299,MATCH(C78,'@Pin Component List記載'!$C$4:$C$299,0),5)))</f>
        <v>#N/A</v>
      </c>
    </row>
    <row r="79" spans="1:4">
      <c r="A79" t="s">
        <v>1199</v>
      </c>
      <c r="B79" t="str">
        <f t="shared" si="2"/>
        <v/>
      </c>
      <c r="C79" t="str">
        <f t="shared" si="3"/>
        <v>DAC_DAOT1</v>
      </c>
      <c r="D79" t="e">
        <f>IF(C79="GPIO","General-purpose input/output pin",IF(C79="","",INDEX('@Pin Component List記載'!$C$4:$G$299,MATCH(C79,'@Pin Component List記載'!$C$4:$C$299,0),5)))</f>
        <v>#N/A</v>
      </c>
    </row>
    <row r="80" spans="1:4">
      <c r="B80" t="str">
        <f t="shared" si="2"/>
        <v/>
      </c>
      <c r="C80" t="str">
        <f t="shared" si="3"/>
        <v/>
      </c>
      <c r="D80" t="str">
        <f>IF(C80="GPIO","General-purpose input/output pin",IF(C80="","",INDEX('@Pin Component List記載'!$C$4:$G$299,MATCH(C80,'@Pin Component List記載'!$C$4:$C$299,0),5)))</f>
        <v/>
      </c>
    </row>
    <row r="81" spans="1:4">
      <c r="A81" t="s">
        <v>1160</v>
      </c>
      <c r="B81" t="str">
        <f t="shared" si="2"/>
        <v>/*!&lt; General-purpose input/output pin. \hideinitializer */</v>
      </c>
      <c r="C81" t="str">
        <f t="shared" si="3"/>
        <v>GPIO</v>
      </c>
      <c r="D81" t="str">
        <f>IF(C81="GPIO","General-purpose input/output pin",IF(C81="","",INDEX('@Pin Component List記載'!$C$4:$G$299,MATCH(C81,'@Pin Component List記載'!$C$4:$C$299,0),5)))</f>
        <v>General-purpose input/output pin</v>
      </c>
    </row>
    <row r="82" spans="1:4">
      <c r="B82" t="str">
        <f t="shared" si="2"/>
        <v/>
      </c>
      <c r="C82" t="str">
        <f t="shared" si="3"/>
        <v/>
      </c>
      <c r="D82" t="str">
        <f>IF(C82="GPIO","General-purpose input/output pin",IF(C82="","",INDEX('@Pin Component List記載'!$C$4:$G$299,MATCH(C82,'@Pin Component List記載'!$C$4:$C$299,0),5)))</f>
        <v/>
      </c>
    </row>
    <row r="83" spans="1:4">
      <c r="A83" t="s">
        <v>1160</v>
      </c>
      <c r="B83" t="str">
        <f t="shared" si="2"/>
        <v>/*!&lt; General-purpose input/output pin. \hideinitializer */</v>
      </c>
      <c r="C83" t="str">
        <f t="shared" si="3"/>
        <v>GPIO</v>
      </c>
      <c r="D83" t="str">
        <f>IF(C83="GPIO","General-purpose input/output pin",IF(C83="","",INDEX('@Pin Component List記載'!$C$4:$G$299,MATCH(C83,'@Pin Component List記載'!$C$4:$C$299,0),5)))</f>
        <v>General-purpose input/output pin</v>
      </c>
    </row>
    <row r="84" spans="1:4">
      <c r="B84" t="str">
        <f t="shared" si="2"/>
        <v/>
      </c>
      <c r="C84" t="str">
        <f t="shared" si="3"/>
        <v/>
      </c>
      <c r="D84" t="str">
        <f>IF(C84="GPIO","General-purpose input/output pin",IF(C84="","",INDEX('@Pin Component List記載'!$C$4:$G$299,MATCH(C84,'@Pin Component List記載'!$C$4:$C$299,0),5)))</f>
        <v/>
      </c>
    </row>
    <row r="85" spans="1:4">
      <c r="A85" t="s">
        <v>1177</v>
      </c>
      <c r="B85" t="str">
        <f t="shared" si="2"/>
        <v/>
      </c>
      <c r="C85" t="str">
        <f t="shared" si="3"/>
        <v>definitionof</v>
      </c>
      <c r="D85" t="e">
        <f>IF(C85="GPIO","General-purpose input/output pin",IF(C85="","",INDEX('@Pin Component List記載'!$C$4:$G$299,MATCH(C85,'@Pin Component List記載'!$C$4:$C$299,0),5)))</f>
        <v>#N/A</v>
      </c>
    </row>
    <row r="86" spans="1:4">
      <c r="A86" t="s">
        <v>1160</v>
      </c>
      <c r="B86" t="str">
        <f t="shared" si="2"/>
        <v>/*!&lt; General-purpose input/output pin. \hideinitializer */</v>
      </c>
      <c r="C86" t="str">
        <f t="shared" si="3"/>
        <v>GPIO</v>
      </c>
      <c r="D86" t="str">
        <f>IF(C86="GPIO","General-purpose input/output pin",IF(C86="","",INDEX('@Pin Component List記載'!$C$4:$G$299,MATCH(C86,'@Pin Component List記載'!$C$4:$C$299,0),5)))</f>
        <v>General-purpose input/output pin</v>
      </c>
    </row>
    <row r="87" spans="1:4">
      <c r="A87" t="s">
        <v>1200</v>
      </c>
      <c r="B87" t="str">
        <f t="shared" si="2"/>
        <v>/*!&lt; External interrupt 14 input pin. \hideinitializer */</v>
      </c>
      <c r="C87" t="str">
        <f t="shared" si="3"/>
        <v>IRQ14</v>
      </c>
      <c r="D87" t="str">
        <f>IF(C87="GPIO","General-purpose input/output pin",IF(C87="","",INDEX('@Pin Component List記載'!$C$4:$G$299,MATCH(C87,'@Pin Component List記載'!$C$4:$C$299,0),5)))</f>
        <v>External interrupt 14 input pin</v>
      </c>
    </row>
    <row r="88" spans="1:4">
      <c r="A88" t="s">
        <v>1201</v>
      </c>
      <c r="B88" t="str">
        <f t="shared" si="2"/>
        <v>/*!&lt; Timer 12 input/output pin A. \hideinitializer */</v>
      </c>
      <c r="C88" t="str">
        <f t="shared" si="3"/>
        <v>TM12A</v>
      </c>
      <c r="D88" t="str">
        <f>IF(C88="GPIO","General-purpose input/output pin",IF(C88="","",INDEX('@Pin Component List記載'!$C$4:$G$299,MATCH(C88,'@Pin Component List記載'!$C$4:$C$299,0),5)))</f>
        <v>Timer 12 input/output pin A</v>
      </c>
    </row>
    <row r="89" spans="1:4">
      <c r="B89" t="str">
        <f t="shared" si="2"/>
        <v/>
      </c>
      <c r="C89" t="str">
        <f t="shared" si="3"/>
        <v/>
      </c>
      <c r="D89" t="str">
        <f>IF(C89="GPIO","General-purpose input/output pin",IF(C89="","",INDEX('@Pin Component List記載'!$C$4:$G$299,MATCH(C89,'@Pin Component List記載'!$C$4:$C$299,0),5)))</f>
        <v/>
      </c>
    </row>
    <row r="90" spans="1:4">
      <c r="A90" t="s">
        <v>1160</v>
      </c>
      <c r="B90" t="str">
        <f t="shared" si="2"/>
        <v>/*!&lt; General-purpose input/output pin. \hideinitializer */</v>
      </c>
      <c r="C90" t="str">
        <f t="shared" si="3"/>
        <v>GPIO</v>
      </c>
      <c r="D90" t="str">
        <f>IF(C90="GPIO","General-purpose input/output pin",IF(C90="","",INDEX('@Pin Component List記載'!$C$4:$G$299,MATCH(C90,'@Pin Component List記載'!$C$4:$C$299,0),5)))</f>
        <v>General-purpose input/output pin</v>
      </c>
    </row>
    <row r="91" spans="1:4">
      <c r="A91" t="s">
        <v>1202</v>
      </c>
      <c r="B91" t="str">
        <f t="shared" si="2"/>
        <v>/*!&lt; External interrupt 15 input pin. \hideinitializer */</v>
      </c>
      <c r="C91" t="str">
        <f t="shared" si="3"/>
        <v>IRQ15</v>
      </c>
      <c r="D91" t="str">
        <f>IF(C91="GPIO","General-purpose input/output pin",IF(C91="","",INDEX('@Pin Component List記載'!$C$4:$G$299,MATCH(C91,'@Pin Component List記載'!$C$4:$C$299,0),5)))</f>
        <v>External interrupt 15 input pin</v>
      </c>
    </row>
    <row r="92" spans="1:4">
      <c r="A92" t="s">
        <v>1203</v>
      </c>
      <c r="B92" t="str">
        <f t="shared" si="2"/>
        <v>/*!&lt; Timer 12 input/output pin B. \hideinitializer */</v>
      </c>
      <c r="C92" t="str">
        <f t="shared" si="3"/>
        <v>TM12B</v>
      </c>
      <c r="D92" t="str">
        <f>IF(C92="GPIO","General-purpose input/output pin",IF(C92="","",INDEX('@Pin Component List記載'!$C$4:$G$299,MATCH(C92,'@Pin Component List記載'!$C$4:$C$299,0),5)))</f>
        <v>Timer 12 input/output pin B</v>
      </c>
    </row>
    <row r="93" spans="1:4">
      <c r="B93" t="str">
        <f t="shared" si="2"/>
        <v/>
      </c>
      <c r="C93" t="str">
        <f t="shared" si="3"/>
        <v/>
      </c>
      <c r="D93" t="str">
        <f>IF(C93="GPIO","General-purpose input/output pin",IF(C93="","",INDEX('@Pin Component List記載'!$C$4:$G$299,MATCH(C93,'@Pin Component List記載'!$C$4:$C$299,0),5)))</f>
        <v/>
      </c>
    </row>
    <row r="94" spans="1:4">
      <c r="A94" t="s">
        <v>1160</v>
      </c>
      <c r="B94" t="str">
        <f t="shared" si="2"/>
        <v>/*!&lt; General-purpose input/output pin. \hideinitializer */</v>
      </c>
      <c r="C94" t="str">
        <f t="shared" si="3"/>
        <v>GPIO</v>
      </c>
      <c r="D94" t="str">
        <f>IF(C94="GPIO","General-purpose input/output pin",IF(C94="","",INDEX('@Pin Component List記載'!$C$4:$G$299,MATCH(C94,'@Pin Component List記載'!$C$4:$C$299,0),5)))</f>
        <v>General-purpose input/output pin</v>
      </c>
    </row>
    <row r="95" spans="1:4">
      <c r="A95" t="s">
        <v>1204</v>
      </c>
      <c r="B95" t="str">
        <f t="shared" si="2"/>
        <v/>
      </c>
      <c r="C95" t="str">
        <f t="shared" si="3"/>
        <v>IRQ16</v>
      </c>
      <c r="D95" t="e">
        <f>IF(C95="GPIO","General-purpose input/output pin",IF(C95="","",INDEX('@Pin Component List記載'!$C$4:$G$299,MATCH(C95,'@Pin Component List記載'!$C$4:$C$299,0),5)))</f>
        <v>#N/A</v>
      </c>
    </row>
    <row r="96" spans="1:4">
      <c r="B96" t="str">
        <f t="shared" si="2"/>
        <v/>
      </c>
      <c r="C96" t="str">
        <f t="shared" si="3"/>
        <v/>
      </c>
      <c r="D96" t="str">
        <f>IF(C96="GPIO","General-purpose input/output pin",IF(C96="","",INDEX('@Pin Component List記載'!$C$4:$G$299,MATCH(C96,'@Pin Component List記載'!$C$4:$C$299,0),5)))</f>
        <v/>
      </c>
    </row>
    <row r="97" spans="1:4">
      <c r="A97" t="s">
        <v>1160</v>
      </c>
      <c r="B97" t="str">
        <f t="shared" si="2"/>
        <v>/*!&lt; General-purpose input/output pin. \hideinitializer */</v>
      </c>
      <c r="C97" t="str">
        <f t="shared" si="3"/>
        <v>GPIO</v>
      </c>
      <c r="D97" t="str">
        <f>IF(C97="GPIO","General-purpose input/output pin",IF(C97="","",INDEX('@Pin Component List記載'!$C$4:$G$299,MATCH(C97,'@Pin Component List記載'!$C$4:$C$299,0),5)))</f>
        <v>General-purpose input/output pin</v>
      </c>
    </row>
    <row r="98" spans="1:4">
      <c r="A98" t="s">
        <v>1205</v>
      </c>
      <c r="B98" t="str">
        <f t="shared" si="2"/>
        <v/>
      </c>
      <c r="C98" t="str">
        <f t="shared" si="3"/>
        <v>IRQ17</v>
      </c>
      <c r="D98" t="e">
        <f>IF(C98="GPIO","General-purpose input/output pin",IF(C98="","",INDEX('@Pin Component List記載'!$C$4:$G$299,MATCH(C98,'@Pin Component List記載'!$C$4:$C$299,0),5)))</f>
        <v>#N/A</v>
      </c>
    </row>
    <row r="99" spans="1:4">
      <c r="A99" t="s">
        <v>1353</v>
      </c>
      <c r="B99" t="str">
        <f t="shared" si="2"/>
        <v/>
      </c>
      <c r="C99" t="str">
        <f t="shared" si="3"/>
        <v>SPI4_SBI</v>
      </c>
      <c r="D99" t="e">
        <f>IF(C99="GPIO","General-purpose input/output pin",IF(C99="","",INDEX('@Pin Component List記載'!$C$4:$G$299,MATCH(C99,'@Pin Component List記載'!$C$4:$C$299,0),5)))</f>
        <v>#N/A</v>
      </c>
    </row>
    <row r="100" spans="1:4">
      <c r="A100" t="s">
        <v>1344</v>
      </c>
      <c r="B100" t="str">
        <f t="shared" si="2"/>
        <v/>
      </c>
      <c r="C100" t="str">
        <f t="shared" si="3"/>
        <v>UART4_RX</v>
      </c>
      <c r="D100" t="e">
        <f>IF(C100="GPIO","General-purpose input/output pin",IF(C100="","",INDEX('@Pin Component List記載'!$C$4:$G$299,MATCH(C100,'@Pin Component List記載'!$C$4:$C$299,0),5)))</f>
        <v>#N/A</v>
      </c>
    </row>
    <row r="101" spans="1:4">
      <c r="A101" t="s">
        <v>1354</v>
      </c>
      <c r="B101" t="str">
        <f t="shared" si="2"/>
        <v/>
      </c>
      <c r="C101" t="str">
        <f t="shared" si="3"/>
        <v>SPI7_SBI</v>
      </c>
      <c r="D101" t="e">
        <f>IF(C101="GPIO","General-purpose input/output pin",IF(C101="","",INDEX('@Pin Component List記載'!$C$4:$G$299,MATCH(C101,'@Pin Component List記載'!$C$4:$C$299,0),5)))</f>
        <v>#N/A</v>
      </c>
    </row>
    <row r="102" spans="1:4">
      <c r="A102" t="s">
        <v>1345</v>
      </c>
      <c r="B102" t="str">
        <f t="shared" si="2"/>
        <v/>
      </c>
      <c r="C102" t="str">
        <f t="shared" si="3"/>
        <v>UART7_RX</v>
      </c>
      <c r="D102" t="e">
        <f>IF(C102="GPIO","General-purpose input/output pin",IF(C102="","",INDEX('@Pin Component List記載'!$C$4:$G$299,MATCH(C102,'@Pin Component List記載'!$C$4:$C$299,0),5)))</f>
        <v>#N/A</v>
      </c>
    </row>
    <row r="103" spans="1:4">
      <c r="A103" t="s">
        <v>1346</v>
      </c>
      <c r="B103" t="str">
        <f t="shared" si="2"/>
        <v/>
      </c>
      <c r="C103" t="str">
        <f t="shared" si="3"/>
        <v>CAN0_CRX</v>
      </c>
      <c r="D103" t="e">
        <f>IF(C103="GPIO","General-purpose input/output pin",IF(C103="","",INDEX('@Pin Component List記載'!$C$4:$G$299,MATCH(C103,'@Pin Component List記載'!$C$4:$C$299,0),5)))</f>
        <v>#N/A</v>
      </c>
    </row>
    <row r="104" spans="1:4">
      <c r="A104" t="s">
        <v>1206</v>
      </c>
      <c r="B104" t="str">
        <f t="shared" si="2"/>
        <v/>
      </c>
      <c r="C104" t="str">
        <f t="shared" si="3"/>
        <v>ADTRG0</v>
      </c>
      <c r="D104" t="e">
        <f>IF(C104="GPIO","General-purpose input/output pin",IF(C104="","",INDEX('@Pin Component List記載'!$C$4:$G$299,MATCH(C104,'@Pin Component List記載'!$C$4:$C$299,0),5)))</f>
        <v>#N/A</v>
      </c>
    </row>
    <row r="105" spans="1:4">
      <c r="B105" t="str">
        <f t="shared" si="2"/>
        <v/>
      </c>
      <c r="C105" t="str">
        <f t="shared" si="3"/>
        <v/>
      </c>
      <c r="D105" t="str">
        <f>IF(C105="GPIO","General-purpose input/output pin",IF(C105="","",INDEX('@Pin Component List記載'!$C$4:$G$299,MATCH(C105,'@Pin Component List記載'!$C$4:$C$299,0),5)))</f>
        <v/>
      </c>
    </row>
    <row r="106" spans="1:4">
      <c r="A106" t="s">
        <v>1160</v>
      </c>
      <c r="B106" t="str">
        <f t="shared" si="2"/>
        <v>/*!&lt; General-purpose input/output pin. \hideinitializer */</v>
      </c>
      <c r="C106" t="str">
        <f t="shared" si="3"/>
        <v>GPIO</v>
      </c>
      <c r="D106" t="str">
        <f>IF(C106="GPIO","General-purpose input/output pin",IF(C106="","",INDEX('@Pin Component List記載'!$C$4:$G$299,MATCH(C106,'@Pin Component List記載'!$C$4:$C$299,0),5)))</f>
        <v>General-purpose input/output pin</v>
      </c>
    </row>
    <row r="107" spans="1:4">
      <c r="A107" t="s">
        <v>1207</v>
      </c>
      <c r="B107" t="str">
        <f t="shared" si="2"/>
        <v/>
      </c>
      <c r="C107" t="str">
        <f t="shared" si="3"/>
        <v>IRQ18</v>
      </c>
      <c r="D107" t="e">
        <f>IF(C107="GPIO","General-purpose input/output pin",IF(C107="","",INDEX('@Pin Component List記載'!$C$4:$G$299,MATCH(C107,'@Pin Component List記載'!$C$4:$C$299,0),5)))</f>
        <v>#N/A</v>
      </c>
    </row>
    <row r="108" spans="1:4">
      <c r="A108" t="s">
        <v>1369</v>
      </c>
      <c r="B108" t="str">
        <f t="shared" si="2"/>
        <v/>
      </c>
      <c r="C108" t="str">
        <f t="shared" si="3"/>
        <v>SPI4_SBO</v>
      </c>
      <c r="D108" t="e">
        <f>IF(C108="GPIO","General-purpose input/output pin",IF(C108="","",INDEX('@Pin Component List記載'!$C$4:$G$299,MATCH(C108,'@Pin Component List記載'!$C$4:$C$299,0),5)))</f>
        <v>#N/A</v>
      </c>
    </row>
    <row r="109" spans="1:4">
      <c r="A109" t="s">
        <v>1335</v>
      </c>
      <c r="B109" t="str">
        <f t="shared" si="2"/>
        <v/>
      </c>
      <c r="C109" t="str">
        <f t="shared" si="3"/>
        <v>UART4_TX</v>
      </c>
      <c r="D109" t="e">
        <f>IF(C109="GPIO","General-purpose input/output pin",IF(C109="","",INDEX('@Pin Component List記載'!$C$4:$G$299,MATCH(C109,'@Pin Component List記載'!$C$4:$C$299,0),5)))</f>
        <v>#N/A</v>
      </c>
    </row>
    <row r="110" spans="1:4">
      <c r="A110" t="s">
        <v>1361</v>
      </c>
      <c r="B110" t="str">
        <f t="shared" si="2"/>
        <v/>
      </c>
      <c r="C110" t="str">
        <f t="shared" si="3"/>
        <v>SPI4_SBT</v>
      </c>
      <c r="D110" t="e">
        <f>IF(C110="GPIO","General-purpose input/output pin",IF(C110="","",INDEX('@Pin Component List記載'!$C$4:$G$299,MATCH(C110,'@Pin Component List記載'!$C$4:$C$299,0),5)))</f>
        <v>#N/A</v>
      </c>
    </row>
    <row r="111" spans="1:4">
      <c r="A111" t="s">
        <v>1370</v>
      </c>
      <c r="B111" t="str">
        <f t="shared" si="2"/>
        <v/>
      </c>
      <c r="C111" t="str">
        <f t="shared" si="3"/>
        <v>SPI7_SBO</v>
      </c>
      <c r="D111" t="e">
        <f>IF(C111="GPIO","General-purpose input/output pin",IF(C111="","",INDEX('@Pin Component List記載'!$C$4:$G$299,MATCH(C111,'@Pin Component List記載'!$C$4:$C$299,0),5)))</f>
        <v>#N/A</v>
      </c>
    </row>
    <row r="112" spans="1:4">
      <c r="A112" t="s">
        <v>1336</v>
      </c>
      <c r="B112" t="str">
        <f t="shared" si="2"/>
        <v/>
      </c>
      <c r="C112" t="str">
        <f t="shared" si="3"/>
        <v>UART7_TX</v>
      </c>
      <c r="D112" t="e">
        <f>IF(C112="GPIO","General-purpose input/output pin",IF(C112="","",INDEX('@Pin Component List記載'!$C$4:$G$299,MATCH(C112,'@Pin Component List記載'!$C$4:$C$299,0),5)))</f>
        <v>#N/A</v>
      </c>
    </row>
    <row r="113" spans="1:4">
      <c r="A113" t="s">
        <v>1377</v>
      </c>
      <c r="B113" t="str">
        <f t="shared" si="2"/>
        <v/>
      </c>
      <c r="C113" t="str">
        <f t="shared" si="3"/>
        <v>IIC7_SDA</v>
      </c>
      <c r="D113" t="e">
        <f>IF(C113="GPIO","General-purpose input/output pin",IF(C113="","",INDEX('@Pin Component List記載'!$C$4:$G$299,MATCH(C113,'@Pin Component List記載'!$C$4:$C$299,0),5)))</f>
        <v>#N/A</v>
      </c>
    </row>
    <row r="114" spans="1:4">
      <c r="A114" t="s">
        <v>1362</v>
      </c>
      <c r="B114" t="str">
        <f t="shared" si="2"/>
        <v/>
      </c>
      <c r="C114" t="str">
        <f t="shared" si="3"/>
        <v>SPI7_SBT</v>
      </c>
      <c r="D114" t="e">
        <f>IF(C114="GPIO","General-purpose input/output pin",IF(C114="","",INDEX('@Pin Component List記載'!$C$4:$G$299,MATCH(C114,'@Pin Component List記載'!$C$4:$C$299,0),5)))</f>
        <v>#N/A</v>
      </c>
    </row>
    <row r="115" spans="1:4">
      <c r="A115" t="s">
        <v>1379</v>
      </c>
      <c r="B115" t="str">
        <f t="shared" si="2"/>
        <v/>
      </c>
      <c r="C115" t="str">
        <f t="shared" si="3"/>
        <v>IIC7_SCL</v>
      </c>
      <c r="D115" t="e">
        <f>IF(C115="GPIO","General-purpose input/output pin",IF(C115="","",INDEX('@Pin Component List記載'!$C$4:$G$299,MATCH(C115,'@Pin Component List記載'!$C$4:$C$299,0),5)))</f>
        <v>#N/A</v>
      </c>
    </row>
    <row r="116" spans="1:4">
      <c r="A116" t="s">
        <v>1337</v>
      </c>
      <c r="B116" t="str">
        <f t="shared" si="2"/>
        <v/>
      </c>
      <c r="C116" t="str">
        <f t="shared" si="3"/>
        <v>CAN0_CTX</v>
      </c>
      <c r="D116" t="e">
        <f>IF(C116="GPIO","General-purpose input/output pin",IF(C116="","",INDEX('@Pin Component List記載'!$C$4:$G$299,MATCH(C116,'@Pin Component List記載'!$C$4:$C$299,0),5)))</f>
        <v>#N/A</v>
      </c>
    </row>
    <row r="117" spans="1:4">
      <c r="A117" t="s">
        <v>1208</v>
      </c>
      <c r="B117" t="str">
        <f t="shared" si="2"/>
        <v/>
      </c>
      <c r="C117" t="str">
        <f t="shared" si="3"/>
        <v>ADTRG1</v>
      </c>
      <c r="D117" t="e">
        <f>IF(C117="GPIO","General-purpose input/output pin",IF(C117="","",INDEX('@Pin Component List記載'!$C$4:$G$299,MATCH(C117,'@Pin Component List記載'!$C$4:$C$299,0),5)))</f>
        <v>#N/A</v>
      </c>
    </row>
    <row r="118" spans="1:4">
      <c r="B118" t="str">
        <f t="shared" si="2"/>
        <v/>
      </c>
      <c r="C118" t="str">
        <f t="shared" si="3"/>
        <v/>
      </c>
      <c r="D118" t="str">
        <f>IF(C118="GPIO","General-purpose input/output pin",IF(C118="","",INDEX('@Pin Component List記載'!$C$4:$G$299,MATCH(C118,'@Pin Component List記載'!$C$4:$C$299,0),5)))</f>
        <v/>
      </c>
    </row>
    <row r="119" spans="1:4">
      <c r="A119" t="s">
        <v>1160</v>
      </c>
      <c r="B119" t="str">
        <f t="shared" si="2"/>
        <v>/*!&lt; General-purpose input/output pin. \hideinitializer */</v>
      </c>
      <c r="C119" t="str">
        <f t="shared" si="3"/>
        <v>GPIO</v>
      </c>
      <c r="D119" t="str">
        <f>IF(C119="GPIO","General-purpose input/output pin",IF(C119="","",INDEX('@Pin Component List記載'!$C$4:$G$299,MATCH(C119,'@Pin Component List記載'!$C$4:$C$299,0),5)))</f>
        <v>General-purpose input/output pin</v>
      </c>
    </row>
    <row r="120" spans="1:4">
      <c r="A120" t="s">
        <v>1209</v>
      </c>
      <c r="B120" t="str">
        <f t="shared" si="2"/>
        <v/>
      </c>
      <c r="C120" t="str">
        <f t="shared" si="3"/>
        <v>IRQ19</v>
      </c>
      <c r="D120" t="e">
        <f>IF(C120="GPIO","General-purpose input/output pin",IF(C120="","",INDEX('@Pin Component List記載'!$C$4:$G$299,MATCH(C120,'@Pin Component List記載'!$C$4:$C$299,0),5)))</f>
        <v>#N/A</v>
      </c>
    </row>
    <row r="121" spans="1:4">
      <c r="A121" t="s">
        <v>1361</v>
      </c>
      <c r="B121" t="str">
        <f t="shared" si="2"/>
        <v/>
      </c>
      <c r="C121" t="str">
        <f t="shared" si="3"/>
        <v>SPI4_SBT</v>
      </c>
      <c r="D121" t="e">
        <f>IF(C121="GPIO","General-purpose input/output pin",IF(C121="","",INDEX('@Pin Component List記載'!$C$4:$G$299,MATCH(C121,'@Pin Component List記載'!$C$4:$C$299,0),5)))</f>
        <v>#N/A</v>
      </c>
    </row>
    <row r="122" spans="1:4">
      <c r="A122" t="s">
        <v>1369</v>
      </c>
      <c r="B122" t="str">
        <f t="shared" si="2"/>
        <v/>
      </c>
      <c r="C122" t="str">
        <f t="shared" si="3"/>
        <v>SPI4_SBO</v>
      </c>
      <c r="D122" t="e">
        <f>IF(C122="GPIO","General-purpose input/output pin",IF(C122="","",INDEX('@Pin Component List記載'!$C$4:$G$299,MATCH(C122,'@Pin Component List記載'!$C$4:$C$299,0),5)))</f>
        <v>#N/A</v>
      </c>
    </row>
    <row r="123" spans="1:4">
      <c r="A123" t="s">
        <v>1335</v>
      </c>
      <c r="B123" t="str">
        <f t="shared" si="2"/>
        <v/>
      </c>
      <c r="C123" t="str">
        <f t="shared" si="3"/>
        <v>UART4_TX</v>
      </c>
      <c r="D123" t="e">
        <f>IF(C123="GPIO","General-purpose input/output pin",IF(C123="","",INDEX('@Pin Component List記載'!$C$4:$G$299,MATCH(C123,'@Pin Component List記載'!$C$4:$C$299,0),5)))</f>
        <v>#N/A</v>
      </c>
    </row>
    <row r="124" spans="1:4">
      <c r="A124" t="s">
        <v>1362</v>
      </c>
      <c r="B124" t="str">
        <f t="shared" si="2"/>
        <v/>
      </c>
      <c r="C124" t="str">
        <f t="shared" si="3"/>
        <v>SPI7_SBT</v>
      </c>
      <c r="D124" t="e">
        <f>IF(C124="GPIO","General-purpose input/output pin",IF(C124="","",INDEX('@Pin Component List記載'!$C$4:$G$299,MATCH(C124,'@Pin Component List記載'!$C$4:$C$299,0),5)))</f>
        <v>#N/A</v>
      </c>
    </row>
    <row r="125" spans="1:4">
      <c r="A125" t="s">
        <v>1379</v>
      </c>
      <c r="B125" t="str">
        <f t="shared" si="2"/>
        <v/>
      </c>
      <c r="C125" t="str">
        <f t="shared" si="3"/>
        <v>IIC7_SCL</v>
      </c>
      <c r="D125" t="e">
        <f>IF(C125="GPIO","General-purpose input/output pin",IF(C125="","",INDEX('@Pin Component List記載'!$C$4:$G$299,MATCH(C125,'@Pin Component List記載'!$C$4:$C$299,0),5)))</f>
        <v>#N/A</v>
      </c>
    </row>
    <row r="126" spans="1:4">
      <c r="A126" t="s">
        <v>1370</v>
      </c>
      <c r="B126" t="str">
        <f t="shared" si="2"/>
        <v/>
      </c>
      <c r="C126" t="str">
        <f t="shared" si="3"/>
        <v>SPI7_SBO</v>
      </c>
      <c r="D126" t="e">
        <f>IF(C126="GPIO","General-purpose input/output pin",IF(C126="","",INDEX('@Pin Component List記載'!$C$4:$G$299,MATCH(C126,'@Pin Component List記載'!$C$4:$C$299,0),5)))</f>
        <v>#N/A</v>
      </c>
    </row>
    <row r="127" spans="1:4">
      <c r="A127" t="s">
        <v>1336</v>
      </c>
      <c r="B127" t="str">
        <f t="shared" si="2"/>
        <v/>
      </c>
      <c r="C127" t="str">
        <f t="shared" si="3"/>
        <v>UART7_TX</v>
      </c>
      <c r="D127" t="e">
        <f>IF(C127="GPIO","General-purpose input/output pin",IF(C127="","",INDEX('@Pin Component List記載'!$C$4:$G$299,MATCH(C127,'@Pin Component List記載'!$C$4:$C$299,0),5)))</f>
        <v>#N/A</v>
      </c>
    </row>
    <row r="128" spans="1:4">
      <c r="A128" t="s">
        <v>1377</v>
      </c>
      <c r="B128" t="str">
        <f t="shared" si="2"/>
        <v/>
      </c>
      <c r="C128" t="str">
        <f t="shared" si="3"/>
        <v>IIC7_SDA</v>
      </c>
      <c r="D128" t="e">
        <f>IF(C128="GPIO","General-purpose input/output pin",IF(C128="","",INDEX('@Pin Component List記載'!$C$4:$G$299,MATCH(C128,'@Pin Component List記載'!$C$4:$C$299,0),5)))</f>
        <v>#N/A</v>
      </c>
    </row>
    <row r="129" spans="1:4">
      <c r="A129" t="s">
        <v>1210</v>
      </c>
      <c r="B129" t="str">
        <f t="shared" ref="B129:B192" si="4">IFERROR(IF(D129="","","/*!&lt; "&amp;D129&amp;". \hideinitializer */"),"")</f>
        <v>/*!&lt; Timer 13 input/output pin A. \hideinitializer */</v>
      </c>
      <c r="C129" t="str">
        <f t="shared" si="3"/>
        <v>TM13A</v>
      </c>
      <c r="D129" t="str">
        <f>IF(C129="GPIO","General-purpose input/output pin",IF(C129="","",INDEX('@Pin Component List記載'!$C$4:$G$299,MATCH(C129,'@Pin Component List記載'!$C$4:$C$299,0),5)))</f>
        <v>Timer 13 input/output pin A</v>
      </c>
    </row>
    <row r="130" spans="1:4">
      <c r="A130" t="s">
        <v>1211</v>
      </c>
      <c r="B130" t="str">
        <f t="shared" si="4"/>
        <v/>
      </c>
      <c r="C130" t="str">
        <f t="shared" si="3"/>
        <v>ADTRG2</v>
      </c>
      <c r="D130" t="e">
        <f>IF(C130="GPIO","General-purpose input/output pin",IF(C130="","",INDEX('@Pin Component List記載'!$C$4:$G$299,MATCH(C130,'@Pin Component List記載'!$C$4:$C$299,0),5)))</f>
        <v>#N/A</v>
      </c>
    </row>
    <row r="131" spans="1:4">
      <c r="B131" t="str">
        <f t="shared" si="4"/>
        <v/>
      </c>
      <c r="C131" t="str">
        <f t="shared" ref="C131:C194" si="5">SUBSTITUTE(A131," ","")</f>
        <v/>
      </c>
      <c r="D131" t="str">
        <f>IF(C131="GPIO","General-purpose input/output pin",IF(C131="","",INDEX('@Pin Component List記載'!$C$4:$G$299,MATCH(C131,'@Pin Component List記載'!$C$4:$C$299,0),5)))</f>
        <v/>
      </c>
    </row>
    <row r="132" spans="1:4">
      <c r="A132" t="s">
        <v>1160</v>
      </c>
      <c r="B132" t="str">
        <f t="shared" si="4"/>
        <v>/*!&lt; General-purpose input/output pin. \hideinitializer */</v>
      </c>
      <c r="C132" t="str">
        <f t="shared" si="5"/>
        <v>GPIO</v>
      </c>
      <c r="D132" t="str">
        <f>IF(C132="GPIO","General-purpose input/output pin",IF(C132="","",INDEX('@Pin Component List記載'!$C$4:$G$299,MATCH(C132,'@Pin Component List記載'!$C$4:$C$299,0),5)))</f>
        <v>General-purpose input/output pin</v>
      </c>
    </row>
    <row r="133" spans="1:4">
      <c r="A133" t="s">
        <v>1381</v>
      </c>
      <c r="B133" t="str">
        <f t="shared" si="4"/>
        <v/>
      </c>
      <c r="C133" t="str">
        <f t="shared" si="5"/>
        <v>SPI4_SBCS</v>
      </c>
      <c r="D133" t="e">
        <f>IF(C133="GPIO","General-purpose input/output pin",IF(C133="","",INDEX('@Pin Component List記載'!$C$4:$G$299,MATCH(C133,'@Pin Component List記載'!$C$4:$C$299,0),5)))</f>
        <v>#N/A</v>
      </c>
    </row>
    <row r="134" spans="1:4">
      <c r="A134" t="s">
        <v>1382</v>
      </c>
      <c r="B134" t="str">
        <f t="shared" si="4"/>
        <v/>
      </c>
      <c r="C134" t="str">
        <f t="shared" si="5"/>
        <v>SPI7_SBCS</v>
      </c>
      <c r="D134" t="e">
        <f>IF(C134="GPIO","General-purpose input/output pin",IF(C134="","",INDEX('@Pin Component List記載'!$C$4:$G$299,MATCH(C134,'@Pin Component List記載'!$C$4:$C$299,0),5)))</f>
        <v>#N/A</v>
      </c>
    </row>
    <row r="135" spans="1:4">
      <c r="A135" t="s">
        <v>1212</v>
      </c>
      <c r="B135" t="str">
        <f t="shared" si="4"/>
        <v>/*!&lt; Timer 13 input/output pin B. \hideinitializer */</v>
      </c>
      <c r="C135" t="str">
        <f t="shared" si="5"/>
        <v>TM13B</v>
      </c>
      <c r="D135" t="str">
        <f>IF(C135="GPIO","General-purpose input/output pin",IF(C135="","",INDEX('@Pin Component List記載'!$C$4:$G$299,MATCH(C135,'@Pin Component List記載'!$C$4:$C$299,0),5)))</f>
        <v>Timer 13 input/output pin B</v>
      </c>
    </row>
    <row r="136" spans="1:4">
      <c r="B136" t="str">
        <f t="shared" si="4"/>
        <v/>
      </c>
      <c r="C136" t="str">
        <f t="shared" si="5"/>
        <v/>
      </c>
      <c r="D136" t="str">
        <f>IF(C136="GPIO","General-purpose input/output pin",IF(C136="","",INDEX('@Pin Component List記載'!$C$4:$G$299,MATCH(C136,'@Pin Component List記載'!$C$4:$C$299,0),5)))</f>
        <v/>
      </c>
    </row>
    <row r="137" spans="1:4">
      <c r="A137" t="s">
        <v>1177</v>
      </c>
      <c r="B137" t="str">
        <f t="shared" si="4"/>
        <v/>
      </c>
      <c r="C137" t="str">
        <f t="shared" si="5"/>
        <v>definitionof</v>
      </c>
      <c r="D137" t="e">
        <f>IF(C137="GPIO","General-purpose input/output pin",IF(C137="","",INDEX('@Pin Component List記載'!$C$4:$G$299,MATCH(C137,'@Pin Component List記載'!$C$4:$C$299,0),5)))</f>
        <v>#N/A</v>
      </c>
    </row>
    <row r="138" spans="1:4">
      <c r="A138" t="s">
        <v>1160</v>
      </c>
      <c r="B138" t="str">
        <f t="shared" si="4"/>
        <v>/*!&lt; General-purpose input/output pin. \hideinitializer */</v>
      </c>
      <c r="C138" t="str">
        <f t="shared" si="5"/>
        <v>GPIO</v>
      </c>
      <c r="D138" t="str">
        <f>IF(C138="GPIO","General-purpose input/output pin",IF(C138="","",INDEX('@Pin Component List記載'!$C$4:$G$299,MATCH(C138,'@Pin Component List記載'!$C$4:$C$299,0),5)))</f>
        <v>General-purpose input/output pin</v>
      </c>
    </row>
    <row r="139" spans="1:4">
      <c r="A139" t="s">
        <v>1371</v>
      </c>
      <c r="B139" t="str">
        <f t="shared" si="4"/>
        <v/>
      </c>
      <c r="C139" t="str">
        <f t="shared" si="5"/>
        <v>SPI0_SBO</v>
      </c>
      <c r="D139" t="e">
        <f>IF(C139="GPIO","General-purpose input/output pin",IF(C139="","",INDEX('@Pin Component List記載'!$C$4:$G$299,MATCH(C139,'@Pin Component List記載'!$C$4:$C$299,0),5)))</f>
        <v>#N/A</v>
      </c>
    </row>
    <row r="140" spans="1:4">
      <c r="A140" t="s">
        <v>1378</v>
      </c>
      <c r="B140" t="str">
        <f t="shared" si="4"/>
        <v/>
      </c>
      <c r="C140" t="str">
        <f t="shared" si="5"/>
        <v>IIC0_SDA</v>
      </c>
      <c r="D140" t="e">
        <f>IF(C140="GPIO","General-purpose input/output pin",IF(C140="","",INDEX('@Pin Component List記載'!$C$4:$G$299,MATCH(C140,'@Pin Component List記載'!$C$4:$C$299,0),5)))</f>
        <v>#N/A</v>
      </c>
    </row>
    <row r="141" spans="1:4">
      <c r="A141" t="s">
        <v>1363</v>
      </c>
      <c r="B141" t="str">
        <f t="shared" si="4"/>
        <v/>
      </c>
      <c r="C141" t="str">
        <f t="shared" si="5"/>
        <v>SPI0_SBT</v>
      </c>
      <c r="D141" t="e">
        <f>IF(C141="GPIO","General-purpose input/output pin",IF(C141="","",INDEX('@Pin Component List記載'!$C$4:$G$299,MATCH(C141,'@Pin Component List記載'!$C$4:$C$299,0),5)))</f>
        <v>#N/A</v>
      </c>
    </row>
    <row r="142" spans="1:4">
      <c r="A142" t="s">
        <v>1380</v>
      </c>
      <c r="B142" t="str">
        <f t="shared" si="4"/>
        <v/>
      </c>
      <c r="C142" t="str">
        <f t="shared" si="5"/>
        <v>IIC0_SCL</v>
      </c>
      <c r="D142" t="e">
        <f>IF(C142="GPIO","General-purpose input/output pin",IF(C142="","",INDEX('@Pin Component List記載'!$C$4:$G$299,MATCH(C142,'@Pin Component List記載'!$C$4:$C$299,0),5)))</f>
        <v>#N/A</v>
      </c>
    </row>
    <row r="143" spans="1:4">
      <c r="A143" t="s">
        <v>1213</v>
      </c>
      <c r="B143" t="str">
        <f t="shared" si="4"/>
        <v>/*!&lt; Comparator 20 output pin. \hideinitializer */</v>
      </c>
      <c r="C143" t="str">
        <f t="shared" si="5"/>
        <v>CMP2_CMPOT20</v>
      </c>
      <c r="D143" t="str">
        <f>IF(C143="GPIO","General-purpose input/output pin",IF(C143="","",INDEX('@Pin Component List記載'!$C$4:$G$299,MATCH(C143,'@Pin Component List記載'!$C$4:$C$299,0),5)))</f>
        <v>Comparator 20 output pin</v>
      </c>
    </row>
    <row r="144" spans="1:4">
      <c r="B144" t="str">
        <f t="shared" si="4"/>
        <v/>
      </c>
      <c r="C144" t="str">
        <f t="shared" si="5"/>
        <v/>
      </c>
      <c r="D144" t="str">
        <f>IF(C144="GPIO","General-purpose input/output pin",IF(C144="","",INDEX('@Pin Component List記載'!$C$4:$G$299,MATCH(C144,'@Pin Component List記載'!$C$4:$C$299,0),5)))</f>
        <v/>
      </c>
    </row>
    <row r="145" spans="1:4">
      <c r="A145" t="s">
        <v>1160</v>
      </c>
      <c r="B145" t="str">
        <f t="shared" si="4"/>
        <v>/*!&lt; General-purpose input/output pin. \hideinitializer */</v>
      </c>
      <c r="C145" t="str">
        <f t="shared" si="5"/>
        <v>GPIO</v>
      </c>
      <c r="D145" t="str">
        <f>IF(C145="GPIO","General-purpose input/output pin",IF(C145="","",INDEX('@Pin Component List記載'!$C$4:$G$299,MATCH(C145,'@Pin Component List記載'!$C$4:$C$299,0),5)))</f>
        <v>General-purpose input/output pin</v>
      </c>
    </row>
    <row r="146" spans="1:4">
      <c r="A146" t="s">
        <v>1363</v>
      </c>
      <c r="B146" t="str">
        <f t="shared" si="4"/>
        <v/>
      </c>
      <c r="C146" t="str">
        <f t="shared" si="5"/>
        <v>SPI0_SBT</v>
      </c>
      <c r="D146" t="e">
        <f>IF(C146="GPIO","General-purpose input/output pin",IF(C146="","",INDEX('@Pin Component List記載'!$C$4:$G$299,MATCH(C146,'@Pin Component List記載'!$C$4:$C$299,0),5)))</f>
        <v>#N/A</v>
      </c>
    </row>
    <row r="147" spans="1:4">
      <c r="A147" t="s">
        <v>1380</v>
      </c>
      <c r="B147" t="str">
        <f t="shared" si="4"/>
        <v/>
      </c>
      <c r="C147" t="str">
        <f t="shared" si="5"/>
        <v>IIC0_SCL</v>
      </c>
      <c r="D147" t="e">
        <f>IF(C147="GPIO","General-purpose input/output pin",IF(C147="","",INDEX('@Pin Component List記載'!$C$4:$G$299,MATCH(C147,'@Pin Component List記載'!$C$4:$C$299,0),5)))</f>
        <v>#N/A</v>
      </c>
    </row>
    <row r="148" spans="1:4">
      <c r="A148" t="s">
        <v>1371</v>
      </c>
      <c r="B148" t="str">
        <f t="shared" si="4"/>
        <v/>
      </c>
      <c r="C148" t="str">
        <f t="shared" si="5"/>
        <v>SPI0_SBO</v>
      </c>
      <c r="D148" t="e">
        <f>IF(C148="GPIO","General-purpose input/output pin",IF(C148="","",INDEX('@Pin Component List記載'!$C$4:$G$299,MATCH(C148,'@Pin Component List記載'!$C$4:$C$299,0),5)))</f>
        <v>#N/A</v>
      </c>
    </row>
    <row r="149" spans="1:4">
      <c r="A149" t="s">
        <v>1378</v>
      </c>
      <c r="B149" t="str">
        <f t="shared" si="4"/>
        <v/>
      </c>
      <c r="C149" t="str">
        <f t="shared" si="5"/>
        <v>IIC0_SDA</v>
      </c>
      <c r="D149" t="e">
        <f>IF(C149="GPIO","General-purpose input/output pin",IF(C149="","",INDEX('@Pin Component List記載'!$C$4:$G$299,MATCH(C149,'@Pin Component List記載'!$C$4:$C$299,0),5)))</f>
        <v>#N/A</v>
      </c>
    </row>
    <row r="150" spans="1:4">
      <c r="A150" t="s">
        <v>1214</v>
      </c>
      <c r="B150" t="str">
        <f t="shared" si="4"/>
        <v>/*!&lt; Comparator 30 output pin. \hideinitializer */</v>
      </c>
      <c r="C150" t="str">
        <f t="shared" si="5"/>
        <v>CMP3_CMPOT30</v>
      </c>
      <c r="D150" t="str">
        <f>IF(C150="GPIO","General-purpose input/output pin",IF(C150="","",INDEX('@Pin Component List記載'!$C$4:$G$299,MATCH(C150,'@Pin Component List記載'!$C$4:$C$299,0),5)))</f>
        <v>Comparator 30 output pin</v>
      </c>
    </row>
    <row r="151" spans="1:4">
      <c r="B151" t="str">
        <f t="shared" si="4"/>
        <v/>
      </c>
      <c r="C151" t="str">
        <f t="shared" si="5"/>
        <v/>
      </c>
      <c r="D151" t="str">
        <f>IF(C151="GPIO","General-purpose input/output pin",IF(C151="","",INDEX('@Pin Component List記載'!$C$4:$G$299,MATCH(C151,'@Pin Component List記載'!$C$4:$C$299,0),5)))</f>
        <v/>
      </c>
    </row>
    <row r="152" spans="1:4">
      <c r="A152" t="s">
        <v>1160</v>
      </c>
      <c r="B152" t="str">
        <f t="shared" si="4"/>
        <v>/*!&lt; General-purpose input/output pin. \hideinitializer */</v>
      </c>
      <c r="C152" t="str">
        <f t="shared" si="5"/>
        <v>GPIO</v>
      </c>
      <c r="D152" t="str">
        <f>IF(C152="GPIO","General-purpose input/output pin",IF(C152="","",INDEX('@Pin Component List記載'!$C$4:$G$299,MATCH(C152,'@Pin Component List記載'!$C$4:$C$299,0),5)))</f>
        <v>General-purpose input/output pin</v>
      </c>
    </row>
    <row r="153" spans="1:4">
      <c r="A153" t="s">
        <v>1355</v>
      </c>
      <c r="B153" t="str">
        <f t="shared" si="4"/>
        <v/>
      </c>
      <c r="C153" t="str">
        <f t="shared" si="5"/>
        <v>SPI0_SBI</v>
      </c>
      <c r="D153" t="e">
        <f>IF(C153="GPIO","General-purpose input/output pin",IF(C153="","",INDEX('@Pin Component List記載'!$C$4:$G$299,MATCH(C153,'@Pin Component List記載'!$C$4:$C$299,0),5)))</f>
        <v>#N/A</v>
      </c>
    </row>
    <row r="154" spans="1:4">
      <c r="A154" t="s">
        <v>1215</v>
      </c>
      <c r="B154" t="str">
        <f t="shared" si="4"/>
        <v>/*!&lt; Comparator 40 output pin. \hideinitializer */</v>
      </c>
      <c r="C154" t="str">
        <f t="shared" si="5"/>
        <v>CMP4_CMPOT40</v>
      </c>
      <c r="D154" t="str">
        <f>IF(C154="GPIO","General-purpose input/output pin",IF(C154="","",INDEX('@Pin Component List記載'!$C$4:$G$299,MATCH(C154,'@Pin Component List記載'!$C$4:$C$299,0),5)))</f>
        <v>Comparator 40 output pin</v>
      </c>
    </row>
    <row r="155" spans="1:4">
      <c r="B155" t="str">
        <f t="shared" si="4"/>
        <v/>
      </c>
      <c r="C155" t="str">
        <f t="shared" si="5"/>
        <v/>
      </c>
      <c r="D155" t="str">
        <f>IF(C155="GPIO","General-purpose input/output pin",IF(C155="","",INDEX('@Pin Component List記載'!$C$4:$G$299,MATCH(C155,'@Pin Component List記載'!$C$4:$C$299,0),5)))</f>
        <v/>
      </c>
    </row>
    <row r="156" spans="1:4">
      <c r="A156" t="s">
        <v>1160</v>
      </c>
      <c r="B156" t="str">
        <f t="shared" si="4"/>
        <v>/*!&lt; General-purpose input/output pin. \hideinitializer */</v>
      </c>
      <c r="C156" t="str">
        <f t="shared" si="5"/>
        <v>GPIO</v>
      </c>
      <c r="D156" t="str">
        <f>IF(C156="GPIO","General-purpose input/output pin",IF(C156="","",INDEX('@Pin Component List記載'!$C$4:$G$299,MATCH(C156,'@Pin Component List記載'!$C$4:$C$299,0),5)))</f>
        <v>General-purpose input/output pin</v>
      </c>
    </row>
    <row r="157" spans="1:4">
      <c r="A157" t="s">
        <v>1372</v>
      </c>
      <c r="B157" t="str">
        <f t="shared" si="4"/>
        <v/>
      </c>
      <c r="C157" t="str">
        <f t="shared" si="5"/>
        <v>SPI1_SBO</v>
      </c>
      <c r="D157" t="e">
        <f>IF(C157="GPIO","General-purpose input/output pin",IF(C157="","",INDEX('@Pin Component List記載'!$C$4:$G$299,MATCH(C157,'@Pin Component List記載'!$C$4:$C$299,0),5)))</f>
        <v>#N/A</v>
      </c>
    </row>
    <row r="158" spans="1:4">
      <c r="A158" t="s">
        <v>1338</v>
      </c>
      <c r="B158" t="str">
        <f t="shared" si="4"/>
        <v/>
      </c>
      <c r="C158" t="str">
        <f t="shared" si="5"/>
        <v>UART1_TX</v>
      </c>
      <c r="D158" t="e">
        <f>IF(C158="GPIO","General-purpose input/output pin",IF(C158="","",INDEX('@Pin Component List記載'!$C$4:$G$299,MATCH(C158,'@Pin Component List記載'!$C$4:$C$299,0),5)))</f>
        <v>#N/A</v>
      </c>
    </row>
    <row r="159" spans="1:4">
      <c r="A159" t="s">
        <v>1384</v>
      </c>
      <c r="B159" t="str">
        <f t="shared" si="4"/>
        <v>/*!&lt; LIN transmission output pin. \hideinitializer */</v>
      </c>
      <c r="C159" t="str">
        <f t="shared" si="5"/>
        <v>LIN_LTX</v>
      </c>
      <c r="D159" t="str">
        <f>IF(C159="GPIO","General-purpose input/output pin",IF(C159="","",INDEX('@Pin Component List記載'!$C$4:$G$299,MATCH(C159,'@Pin Component List記載'!$C$4:$C$299,0),5)))</f>
        <v>LIN transmission output pin</v>
      </c>
    </row>
    <row r="160" spans="1:4">
      <c r="A160" t="s">
        <v>1364</v>
      </c>
      <c r="B160" t="str">
        <f t="shared" si="4"/>
        <v/>
      </c>
      <c r="C160" t="str">
        <f t="shared" si="5"/>
        <v>SPI1_SBT</v>
      </c>
      <c r="D160" t="e">
        <f>IF(C160="GPIO","General-purpose input/output pin",IF(C160="","",INDEX('@Pin Component List記載'!$C$4:$G$299,MATCH(C160,'@Pin Component List記載'!$C$4:$C$299,0),5)))</f>
        <v>#N/A</v>
      </c>
    </row>
    <row r="161" spans="1:4">
      <c r="B161" t="str">
        <f t="shared" si="4"/>
        <v/>
      </c>
      <c r="C161" t="str">
        <f t="shared" si="5"/>
        <v/>
      </c>
      <c r="D161" t="str">
        <f>IF(C161="GPIO","General-purpose input/output pin",IF(C161="","",INDEX('@Pin Component List記載'!$C$4:$G$299,MATCH(C161,'@Pin Component List記載'!$C$4:$C$299,0),5)))</f>
        <v/>
      </c>
    </row>
    <row r="162" spans="1:4">
      <c r="A162" t="s">
        <v>1160</v>
      </c>
      <c r="B162" t="str">
        <f t="shared" si="4"/>
        <v>/*!&lt; General-purpose input/output pin. \hideinitializer */</v>
      </c>
      <c r="C162" t="str">
        <f t="shared" si="5"/>
        <v>GPIO</v>
      </c>
      <c r="D162" t="str">
        <f>IF(C162="GPIO","General-purpose input/output pin",IF(C162="","",INDEX('@Pin Component List記載'!$C$4:$G$299,MATCH(C162,'@Pin Component List記載'!$C$4:$C$299,0),5)))</f>
        <v>General-purpose input/output pin</v>
      </c>
    </row>
    <row r="163" spans="1:4">
      <c r="A163" t="s">
        <v>1364</v>
      </c>
      <c r="B163" t="str">
        <f t="shared" si="4"/>
        <v/>
      </c>
      <c r="C163" t="str">
        <f t="shared" si="5"/>
        <v>SPI1_SBT</v>
      </c>
      <c r="D163" t="e">
        <f>IF(C163="GPIO","General-purpose input/output pin",IF(C163="","",INDEX('@Pin Component List記載'!$C$4:$G$299,MATCH(C163,'@Pin Component List記載'!$C$4:$C$299,0),5)))</f>
        <v>#N/A</v>
      </c>
    </row>
    <row r="164" spans="1:4">
      <c r="A164" t="s">
        <v>1372</v>
      </c>
      <c r="B164" t="str">
        <f t="shared" si="4"/>
        <v/>
      </c>
      <c r="C164" t="str">
        <f t="shared" si="5"/>
        <v>SPI1_SBO</v>
      </c>
      <c r="D164" t="e">
        <f>IF(C164="GPIO","General-purpose input/output pin",IF(C164="","",INDEX('@Pin Component List記載'!$C$4:$G$299,MATCH(C164,'@Pin Component List記載'!$C$4:$C$299,0),5)))</f>
        <v>#N/A</v>
      </c>
    </row>
    <row r="165" spans="1:4">
      <c r="A165" t="s">
        <v>1338</v>
      </c>
      <c r="B165" t="str">
        <f t="shared" si="4"/>
        <v/>
      </c>
      <c r="C165" t="str">
        <f t="shared" si="5"/>
        <v>UART1_TX</v>
      </c>
      <c r="D165" t="e">
        <f>IF(C165="GPIO","General-purpose input/output pin",IF(C165="","",INDEX('@Pin Component List記載'!$C$4:$G$299,MATCH(C165,'@Pin Component List記載'!$C$4:$C$299,0),5)))</f>
        <v>#N/A</v>
      </c>
    </row>
    <row r="166" spans="1:4">
      <c r="A166" t="s">
        <v>1384</v>
      </c>
      <c r="B166" t="str">
        <f t="shared" si="4"/>
        <v>/*!&lt; LIN transmission output pin. \hideinitializer */</v>
      </c>
      <c r="C166" t="str">
        <f t="shared" si="5"/>
        <v>LIN_LTX</v>
      </c>
      <c r="D166" t="str">
        <f>IF(C166="GPIO","General-purpose input/output pin",IF(C166="","",INDEX('@Pin Component List記載'!$C$4:$G$299,MATCH(C166,'@Pin Component List記載'!$C$4:$C$299,0),5)))</f>
        <v>LIN transmission output pin</v>
      </c>
    </row>
    <row r="167" spans="1:4">
      <c r="B167" t="str">
        <f t="shared" si="4"/>
        <v/>
      </c>
      <c r="C167" t="str">
        <f t="shared" si="5"/>
        <v/>
      </c>
      <c r="D167" t="str">
        <f>IF(C167="GPIO","General-purpose input/output pin",IF(C167="","",INDEX('@Pin Component List記載'!$C$4:$G$299,MATCH(C167,'@Pin Component List記載'!$C$4:$C$299,0),5)))</f>
        <v/>
      </c>
    </row>
    <row r="168" spans="1:4">
      <c r="A168" t="s">
        <v>1160</v>
      </c>
      <c r="B168" t="str">
        <f t="shared" si="4"/>
        <v>/*!&lt; General-purpose input/output pin. \hideinitializer */</v>
      </c>
      <c r="C168" t="str">
        <f t="shared" si="5"/>
        <v>GPIO</v>
      </c>
      <c r="D168" t="str">
        <f>IF(C168="GPIO","General-purpose input/output pin",IF(C168="","",INDEX('@Pin Component List記載'!$C$4:$G$299,MATCH(C168,'@Pin Component List記載'!$C$4:$C$299,0),5)))</f>
        <v>General-purpose input/output pin</v>
      </c>
    </row>
    <row r="169" spans="1:4">
      <c r="A169" t="s">
        <v>1356</v>
      </c>
      <c r="B169" t="str">
        <f t="shared" si="4"/>
        <v/>
      </c>
      <c r="C169" t="str">
        <f t="shared" si="5"/>
        <v>SPI1_SBI</v>
      </c>
      <c r="D169" t="e">
        <f>IF(C169="GPIO","General-purpose input/output pin",IF(C169="","",INDEX('@Pin Component List記載'!$C$4:$G$299,MATCH(C169,'@Pin Component List記載'!$C$4:$C$299,0),5)))</f>
        <v>#N/A</v>
      </c>
    </row>
    <row r="170" spans="1:4">
      <c r="A170" t="s">
        <v>1347</v>
      </c>
      <c r="B170" t="str">
        <f t="shared" si="4"/>
        <v/>
      </c>
      <c r="C170" t="str">
        <f t="shared" si="5"/>
        <v>UART1_RX</v>
      </c>
      <c r="D170" t="e">
        <f>IF(C170="GPIO","General-purpose input/output pin",IF(C170="","",INDEX('@Pin Component List記載'!$C$4:$G$299,MATCH(C170,'@Pin Component List記載'!$C$4:$C$299,0),5)))</f>
        <v>#N/A</v>
      </c>
    </row>
    <row r="171" spans="1:4">
      <c r="A171" t="s">
        <v>1385</v>
      </c>
      <c r="B171" t="str">
        <f t="shared" si="4"/>
        <v>/*!&lt; LIN reception input pin. \hideinitializer */</v>
      </c>
      <c r="C171" t="str">
        <f t="shared" si="5"/>
        <v>LIN_LRX</v>
      </c>
      <c r="D171" t="str">
        <f>IF(C171="GPIO","General-purpose input/output pin",IF(C171="","",INDEX('@Pin Component List記載'!$C$4:$G$299,MATCH(C171,'@Pin Component List記載'!$C$4:$C$299,0),5)))</f>
        <v>LIN reception input pin</v>
      </c>
    </row>
    <row r="172" spans="1:4">
      <c r="B172" t="str">
        <f t="shared" si="4"/>
        <v/>
      </c>
      <c r="C172" t="str">
        <f t="shared" si="5"/>
        <v/>
      </c>
      <c r="D172" t="str">
        <f>IF(C172="GPIO","General-purpose input/output pin",IF(C172="","",INDEX('@Pin Component List記載'!$C$4:$G$299,MATCH(C172,'@Pin Component List記載'!$C$4:$C$299,0),5)))</f>
        <v/>
      </c>
    </row>
    <row r="173" spans="1:4">
      <c r="A173" t="s">
        <v>1177</v>
      </c>
      <c r="B173" t="str">
        <f t="shared" si="4"/>
        <v/>
      </c>
      <c r="C173" t="str">
        <f t="shared" si="5"/>
        <v>definitionof</v>
      </c>
      <c r="D173" t="e">
        <f>IF(C173="GPIO","General-purpose input/output pin",IF(C173="","",INDEX('@Pin Component List記載'!$C$4:$G$299,MATCH(C173,'@Pin Component List記載'!$C$4:$C$299,0),5)))</f>
        <v>#N/A</v>
      </c>
    </row>
    <row r="174" spans="1:4">
      <c r="A174" t="s">
        <v>1160</v>
      </c>
      <c r="B174" t="str">
        <f t="shared" si="4"/>
        <v>/*!&lt; General-purpose input/output pin. \hideinitializer */</v>
      </c>
      <c r="C174" t="str">
        <f t="shared" si="5"/>
        <v>GPIO</v>
      </c>
      <c r="D174" t="str">
        <f>IF(C174="GPIO","General-purpose input/output pin",IF(C174="","",INDEX('@Pin Component List記載'!$C$4:$G$299,MATCH(C174,'@Pin Component List記載'!$C$4:$C$299,0),5)))</f>
        <v>General-purpose input/output pin</v>
      </c>
    </row>
    <row r="175" spans="1:4">
      <c r="A175" t="s">
        <v>1373</v>
      </c>
      <c r="B175" t="str">
        <f t="shared" si="4"/>
        <v/>
      </c>
      <c r="C175" t="str">
        <f t="shared" si="5"/>
        <v>SPI2_SBO</v>
      </c>
      <c r="D175" t="e">
        <f>IF(C175="GPIO","General-purpose input/output pin",IF(C175="","",INDEX('@Pin Component List記載'!$C$4:$G$299,MATCH(C175,'@Pin Component List記載'!$C$4:$C$299,0),5)))</f>
        <v>#N/A</v>
      </c>
    </row>
    <row r="176" spans="1:4">
      <c r="A176" t="s">
        <v>1339</v>
      </c>
      <c r="B176" t="str">
        <f t="shared" si="4"/>
        <v/>
      </c>
      <c r="C176" t="str">
        <f t="shared" si="5"/>
        <v>UART2_TX</v>
      </c>
      <c r="D176" t="e">
        <f>IF(C176="GPIO","General-purpose input/output pin",IF(C176="","",INDEX('@Pin Component List記載'!$C$4:$G$299,MATCH(C176,'@Pin Component List記載'!$C$4:$C$299,0),5)))</f>
        <v>#N/A</v>
      </c>
    </row>
    <row r="177" spans="1:4">
      <c r="A177" t="s">
        <v>1365</v>
      </c>
      <c r="B177" t="str">
        <f t="shared" si="4"/>
        <v/>
      </c>
      <c r="C177" t="str">
        <f t="shared" si="5"/>
        <v>SPI2_SBT</v>
      </c>
      <c r="D177" t="e">
        <f>IF(C177="GPIO","General-purpose input/output pin",IF(C177="","",INDEX('@Pin Component List記載'!$C$4:$G$299,MATCH(C177,'@Pin Component List記載'!$C$4:$C$299,0),5)))</f>
        <v>#N/A</v>
      </c>
    </row>
    <row r="178" spans="1:4">
      <c r="B178" t="str">
        <f t="shared" si="4"/>
        <v/>
      </c>
      <c r="C178" t="str">
        <f t="shared" si="5"/>
        <v/>
      </c>
      <c r="D178" t="str">
        <f>IF(C178="GPIO","General-purpose input/output pin",IF(C178="","",INDEX('@Pin Component List記載'!$C$4:$G$299,MATCH(C178,'@Pin Component List記載'!$C$4:$C$299,0),5)))</f>
        <v/>
      </c>
    </row>
    <row r="179" spans="1:4">
      <c r="A179" t="s">
        <v>1160</v>
      </c>
      <c r="B179" t="str">
        <f t="shared" si="4"/>
        <v>/*!&lt; General-purpose input/output pin. \hideinitializer */</v>
      </c>
      <c r="C179" t="str">
        <f t="shared" si="5"/>
        <v>GPIO</v>
      </c>
      <c r="D179" t="str">
        <f>IF(C179="GPIO","General-purpose input/output pin",IF(C179="","",INDEX('@Pin Component List記載'!$C$4:$G$299,MATCH(C179,'@Pin Component List記載'!$C$4:$C$299,0),5)))</f>
        <v>General-purpose input/output pin</v>
      </c>
    </row>
    <row r="180" spans="1:4">
      <c r="A180" t="s">
        <v>1365</v>
      </c>
      <c r="B180" t="str">
        <f t="shared" si="4"/>
        <v/>
      </c>
      <c r="C180" t="str">
        <f t="shared" si="5"/>
        <v>SPI2_SBT</v>
      </c>
      <c r="D180" t="e">
        <f>IF(C180="GPIO","General-purpose input/output pin",IF(C180="","",INDEX('@Pin Component List記載'!$C$4:$G$299,MATCH(C180,'@Pin Component List記載'!$C$4:$C$299,0),5)))</f>
        <v>#N/A</v>
      </c>
    </row>
    <row r="181" spans="1:4">
      <c r="A181" t="s">
        <v>1373</v>
      </c>
      <c r="B181" t="str">
        <f t="shared" si="4"/>
        <v/>
      </c>
      <c r="C181" t="str">
        <f t="shared" si="5"/>
        <v>SPI2_SBO</v>
      </c>
      <c r="D181" t="e">
        <f>IF(C181="GPIO","General-purpose input/output pin",IF(C181="","",INDEX('@Pin Component List記載'!$C$4:$G$299,MATCH(C181,'@Pin Component List記載'!$C$4:$C$299,0),5)))</f>
        <v>#N/A</v>
      </c>
    </row>
    <row r="182" spans="1:4">
      <c r="A182" t="s">
        <v>1339</v>
      </c>
      <c r="B182" t="str">
        <f t="shared" si="4"/>
        <v/>
      </c>
      <c r="C182" t="str">
        <f t="shared" si="5"/>
        <v>UART2_TX</v>
      </c>
      <c r="D182" t="e">
        <f>IF(C182="GPIO","General-purpose input/output pin",IF(C182="","",INDEX('@Pin Component List記載'!$C$4:$G$299,MATCH(C182,'@Pin Component List記載'!$C$4:$C$299,0),5)))</f>
        <v>#N/A</v>
      </c>
    </row>
    <row r="183" spans="1:4">
      <c r="B183" t="str">
        <f t="shared" si="4"/>
        <v/>
      </c>
      <c r="C183" t="str">
        <f t="shared" si="5"/>
        <v/>
      </c>
      <c r="D183" t="str">
        <f>IF(C183="GPIO","General-purpose input/output pin",IF(C183="","",INDEX('@Pin Component List記載'!$C$4:$G$299,MATCH(C183,'@Pin Component List記載'!$C$4:$C$299,0),5)))</f>
        <v/>
      </c>
    </row>
    <row r="184" spans="1:4">
      <c r="A184" t="s">
        <v>1160</v>
      </c>
      <c r="B184" t="str">
        <f t="shared" si="4"/>
        <v>/*!&lt; General-purpose input/output pin. \hideinitializer */</v>
      </c>
      <c r="C184" t="str">
        <f t="shared" si="5"/>
        <v>GPIO</v>
      </c>
      <c r="D184" t="str">
        <f>IF(C184="GPIO","General-purpose input/output pin",IF(C184="","",INDEX('@Pin Component List記載'!$C$4:$G$299,MATCH(C184,'@Pin Component List記載'!$C$4:$C$299,0),5)))</f>
        <v>General-purpose input/output pin</v>
      </c>
    </row>
    <row r="185" spans="1:4">
      <c r="A185" t="s">
        <v>1357</v>
      </c>
      <c r="B185" t="str">
        <f t="shared" si="4"/>
        <v/>
      </c>
      <c r="C185" t="str">
        <f t="shared" si="5"/>
        <v>SPI2_SBI</v>
      </c>
      <c r="D185" t="e">
        <f>IF(C185="GPIO","General-purpose input/output pin",IF(C185="","",INDEX('@Pin Component List記載'!$C$4:$G$299,MATCH(C185,'@Pin Component List記載'!$C$4:$C$299,0),5)))</f>
        <v>#N/A</v>
      </c>
    </row>
    <row r="186" spans="1:4">
      <c r="A186" t="s">
        <v>1348</v>
      </c>
      <c r="B186" t="str">
        <f t="shared" si="4"/>
        <v/>
      </c>
      <c r="C186" t="str">
        <f t="shared" si="5"/>
        <v>UART2_RX</v>
      </c>
      <c r="D186" t="e">
        <f>IF(C186="GPIO","General-purpose input/output pin",IF(C186="","",INDEX('@Pin Component List記載'!$C$4:$G$299,MATCH(C186,'@Pin Component List記載'!$C$4:$C$299,0),5)))</f>
        <v>#N/A</v>
      </c>
    </row>
    <row r="187" spans="1:4">
      <c r="B187" t="str">
        <f t="shared" si="4"/>
        <v/>
      </c>
      <c r="C187" t="str">
        <f t="shared" si="5"/>
        <v/>
      </c>
      <c r="D187" t="str">
        <f>IF(C187="GPIO","General-purpose input/output pin",IF(C187="","",INDEX('@Pin Component List記載'!$C$4:$G$299,MATCH(C187,'@Pin Component List記載'!$C$4:$C$299,0),5)))</f>
        <v/>
      </c>
    </row>
    <row r="188" spans="1:4">
      <c r="A188" t="s">
        <v>1160</v>
      </c>
      <c r="B188" t="str">
        <f t="shared" si="4"/>
        <v>/*!&lt; General-purpose input/output pin. \hideinitializer */</v>
      </c>
      <c r="C188" t="str">
        <f t="shared" si="5"/>
        <v>GPIO</v>
      </c>
      <c r="D188" t="str">
        <f>IF(C188="GPIO","General-purpose input/output pin",IF(C188="","",INDEX('@Pin Component List記載'!$C$4:$G$299,MATCH(C188,'@Pin Component List記載'!$C$4:$C$299,0),5)))</f>
        <v>General-purpose input/output pin</v>
      </c>
    </row>
    <row r="189" spans="1:4">
      <c r="A189" t="s">
        <v>1374</v>
      </c>
      <c r="B189" t="str">
        <f t="shared" si="4"/>
        <v/>
      </c>
      <c r="C189" t="str">
        <f t="shared" si="5"/>
        <v>SPI3_SBO</v>
      </c>
      <c r="D189" t="e">
        <f>IF(C189="GPIO","General-purpose input/output pin",IF(C189="","",INDEX('@Pin Component List記載'!$C$4:$G$299,MATCH(C189,'@Pin Component List記載'!$C$4:$C$299,0),5)))</f>
        <v>#N/A</v>
      </c>
    </row>
    <row r="190" spans="1:4">
      <c r="A190" t="s">
        <v>1340</v>
      </c>
      <c r="B190" t="str">
        <f t="shared" si="4"/>
        <v/>
      </c>
      <c r="C190" t="str">
        <f t="shared" si="5"/>
        <v>UART3_TX</v>
      </c>
      <c r="D190" t="e">
        <f>IF(C190="GPIO","General-purpose input/output pin",IF(C190="","",INDEX('@Pin Component List記載'!$C$4:$G$299,MATCH(C190,'@Pin Component List記載'!$C$4:$C$299,0),5)))</f>
        <v>#N/A</v>
      </c>
    </row>
    <row r="191" spans="1:4">
      <c r="A191" t="s">
        <v>1366</v>
      </c>
      <c r="B191" t="str">
        <f t="shared" si="4"/>
        <v/>
      </c>
      <c r="C191" t="str">
        <f t="shared" si="5"/>
        <v>SPI3_SBT</v>
      </c>
      <c r="D191" t="e">
        <f>IF(C191="GPIO","General-purpose input/output pin",IF(C191="","",INDEX('@Pin Component List記載'!$C$4:$G$299,MATCH(C191,'@Pin Component List記載'!$C$4:$C$299,0),5)))</f>
        <v>#N/A</v>
      </c>
    </row>
    <row r="192" spans="1:4">
      <c r="B192" t="str">
        <f t="shared" si="4"/>
        <v/>
      </c>
      <c r="C192" t="str">
        <f t="shared" si="5"/>
        <v/>
      </c>
      <c r="D192" t="str">
        <f>IF(C192="GPIO","General-purpose input/output pin",IF(C192="","",INDEX('@Pin Component List記載'!$C$4:$G$299,MATCH(C192,'@Pin Component List記載'!$C$4:$C$299,0),5)))</f>
        <v/>
      </c>
    </row>
    <row r="193" spans="1:4">
      <c r="A193" t="s">
        <v>1160</v>
      </c>
      <c r="B193" t="str">
        <f t="shared" ref="B193:B256" si="6">IFERROR(IF(D193="","","/*!&lt; "&amp;D193&amp;". \hideinitializer */"),"")</f>
        <v>/*!&lt; General-purpose input/output pin. \hideinitializer */</v>
      </c>
      <c r="C193" t="str">
        <f t="shared" si="5"/>
        <v>GPIO</v>
      </c>
      <c r="D193" t="str">
        <f>IF(C193="GPIO","General-purpose input/output pin",IF(C193="","",INDEX('@Pin Component List記載'!$C$4:$G$299,MATCH(C193,'@Pin Component List記載'!$C$4:$C$299,0),5)))</f>
        <v>General-purpose input/output pin</v>
      </c>
    </row>
    <row r="194" spans="1:4">
      <c r="A194" t="s">
        <v>1366</v>
      </c>
      <c r="B194" t="str">
        <f t="shared" si="6"/>
        <v/>
      </c>
      <c r="C194" t="str">
        <f t="shared" si="5"/>
        <v>SPI3_SBT</v>
      </c>
      <c r="D194" t="e">
        <f>IF(C194="GPIO","General-purpose input/output pin",IF(C194="","",INDEX('@Pin Component List記載'!$C$4:$G$299,MATCH(C194,'@Pin Component List記載'!$C$4:$C$299,0),5)))</f>
        <v>#N/A</v>
      </c>
    </row>
    <row r="195" spans="1:4">
      <c r="A195" t="s">
        <v>1374</v>
      </c>
      <c r="B195" t="str">
        <f t="shared" si="6"/>
        <v/>
      </c>
      <c r="C195" t="str">
        <f t="shared" ref="C195:C258" si="7">SUBSTITUTE(A195," ","")</f>
        <v>SPI3_SBO</v>
      </c>
      <c r="D195" t="e">
        <f>IF(C195="GPIO","General-purpose input/output pin",IF(C195="","",INDEX('@Pin Component List記載'!$C$4:$G$299,MATCH(C195,'@Pin Component List記載'!$C$4:$C$299,0),5)))</f>
        <v>#N/A</v>
      </c>
    </row>
    <row r="196" spans="1:4">
      <c r="A196" t="s">
        <v>1340</v>
      </c>
      <c r="B196" t="str">
        <f t="shared" si="6"/>
        <v/>
      </c>
      <c r="C196" t="str">
        <f t="shared" si="7"/>
        <v>UART3_TX</v>
      </c>
      <c r="D196" t="e">
        <f>IF(C196="GPIO","General-purpose input/output pin",IF(C196="","",INDEX('@Pin Component List記載'!$C$4:$G$299,MATCH(C196,'@Pin Component List記載'!$C$4:$C$299,0),5)))</f>
        <v>#N/A</v>
      </c>
    </row>
    <row r="197" spans="1:4">
      <c r="B197" t="str">
        <f t="shared" si="6"/>
        <v/>
      </c>
      <c r="C197" t="str">
        <f t="shared" si="7"/>
        <v/>
      </c>
      <c r="D197" t="str">
        <f>IF(C197="GPIO","General-purpose input/output pin",IF(C197="","",INDEX('@Pin Component List記載'!$C$4:$G$299,MATCH(C197,'@Pin Component List記載'!$C$4:$C$299,0),5)))</f>
        <v/>
      </c>
    </row>
    <row r="198" spans="1:4">
      <c r="A198" t="s">
        <v>1160</v>
      </c>
      <c r="B198" t="str">
        <f t="shared" si="6"/>
        <v>/*!&lt; General-purpose input/output pin. \hideinitializer */</v>
      </c>
      <c r="C198" t="str">
        <f t="shared" si="7"/>
        <v>GPIO</v>
      </c>
      <c r="D198" t="str">
        <f>IF(C198="GPIO","General-purpose input/output pin",IF(C198="","",INDEX('@Pin Component List記載'!$C$4:$G$299,MATCH(C198,'@Pin Component List記載'!$C$4:$C$299,0),5)))</f>
        <v>General-purpose input/output pin</v>
      </c>
    </row>
    <row r="199" spans="1:4">
      <c r="A199" t="s">
        <v>1358</v>
      </c>
      <c r="B199" t="str">
        <f t="shared" si="6"/>
        <v/>
      </c>
      <c r="C199" t="str">
        <f t="shared" si="7"/>
        <v>SPI3_SBI</v>
      </c>
      <c r="D199" t="e">
        <f>IF(C199="GPIO","General-purpose input/output pin",IF(C199="","",INDEX('@Pin Component List記載'!$C$4:$G$299,MATCH(C199,'@Pin Component List記載'!$C$4:$C$299,0),5)))</f>
        <v>#N/A</v>
      </c>
    </row>
    <row r="200" spans="1:4">
      <c r="A200" t="s">
        <v>1349</v>
      </c>
      <c r="B200" t="str">
        <f t="shared" si="6"/>
        <v/>
      </c>
      <c r="C200" t="str">
        <f t="shared" si="7"/>
        <v>UART3_RX</v>
      </c>
      <c r="D200" t="e">
        <f>IF(C200="GPIO","General-purpose input/output pin",IF(C200="","",INDEX('@Pin Component List記載'!$C$4:$G$299,MATCH(C200,'@Pin Component List記載'!$C$4:$C$299,0),5)))</f>
        <v>#N/A</v>
      </c>
    </row>
    <row r="201" spans="1:4">
      <c r="B201" t="str">
        <f t="shared" si="6"/>
        <v/>
      </c>
      <c r="C201" t="str">
        <f t="shared" si="7"/>
        <v/>
      </c>
      <c r="D201" t="str">
        <f>IF(C201="GPIO","General-purpose input/output pin",IF(C201="","",INDEX('@Pin Component List記載'!$C$4:$G$299,MATCH(C201,'@Pin Component List記載'!$C$4:$C$299,0),5)))</f>
        <v/>
      </c>
    </row>
    <row r="202" spans="1:4">
      <c r="A202" t="s">
        <v>1160</v>
      </c>
      <c r="B202" t="str">
        <f t="shared" si="6"/>
        <v>/*!&lt; General-purpose input/output pin. \hideinitializer */</v>
      </c>
      <c r="C202" t="str">
        <f t="shared" si="7"/>
        <v>GPIO</v>
      </c>
      <c r="D202" t="str">
        <f>IF(C202="GPIO","General-purpose input/output pin",IF(C202="","",INDEX('@Pin Component List記載'!$C$4:$G$299,MATCH(C202,'@Pin Component List記載'!$C$4:$C$299,0),5)))</f>
        <v>General-purpose input/output pin</v>
      </c>
    </row>
    <row r="203" spans="1:4">
      <c r="A203" t="s">
        <v>1383</v>
      </c>
      <c r="B203" t="str">
        <f t="shared" si="6"/>
        <v/>
      </c>
      <c r="C203" t="str">
        <f t="shared" si="7"/>
        <v>SPI3_SBCS</v>
      </c>
      <c r="D203" t="e">
        <f>IF(C203="GPIO","General-purpose input/output pin",IF(C203="","",INDEX('@Pin Component List記載'!$C$4:$G$299,MATCH(C203,'@Pin Component List記載'!$C$4:$C$299,0),5)))</f>
        <v>#N/A</v>
      </c>
    </row>
    <row r="204" spans="1:4">
      <c r="B204" t="str">
        <f t="shared" si="6"/>
        <v/>
      </c>
      <c r="C204" t="str">
        <f t="shared" si="7"/>
        <v/>
      </c>
      <c r="D204" t="str">
        <f>IF(C204="GPIO","General-purpose input/output pin",IF(C204="","",INDEX('@Pin Component List記載'!$C$4:$G$299,MATCH(C204,'@Pin Component List記載'!$C$4:$C$299,0),5)))</f>
        <v/>
      </c>
    </row>
    <row r="205" spans="1:4">
      <c r="A205" t="s">
        <v>1177</v>
      </c>
      <c r="B205" t="str">
        <f t="shared" si="6"/>
        <v/>
      </c>
      <c r="C205" t="str">
        <f t="shared" si="7"/>
        <v>definitionof</v>
      </c>
      <c r="D205" t="e">
        <f>IF(C205="GPIO","General-purpose input/output pin",IF(C205="","",INDEX('@Pin Component List記載'!$C$4:$G$299,MATCH(C205,'@Pin Component List記載'!$C$4:$C$299,0),5)))</f>
        <v>#N/A</v>
      </c>
    </row>
    <row r="206" spans="1:4">
      <c r="A206" t="s">
        <v>1160</v>
      </c>
      <c r="B206" t="str">
        <f t="shared" si="6"/>
        <v>/*!&lt; General-purpose input/output pin. \hideinitializer */</v>
      </c>
      <c r="C206" t="str">
        <f t="shared" si="7"/>
        <v>GPIO</v>
      </c>
      <c r="D206" t="str">
        <f>IF(C206="GPIO","General-purpose input/output pin",IF(C206="","",INDEX('@Pin Component List記載'!$C$4:$G$299,MATCH(C206,'@Pin Component List記載'!$C$4:$C$299,0),5)))</f>
        <v>General-purpose input/output pin</v>
      </c>
    </row>
    <row r="207" spans="1:4">
      <c r="A207" t="s">
        <v>1216</v>
      </c>
      <c r="B207" t="str">
        <f t="shared" si="6"/>
        <v/>
      </c>
      <c r="C207" t="str">
        <f t="shared" si="7"/>
        <v>TM22A</v>
      </c>
      <c r="D207" t="e">
        <f>IF(C207="GPIO","General-purpose input/output pin",IF(C207="","",INDEX('@Pin Component List記載'!$C$4:$G$299,MATCH(C207,'@Pin Component List記載'!$C$4:$C$299,0),5)))</f>
        <v>#N/A</v>
      </c>
    </row>
    <row r="208" spans="1:4">
      <c r="A208" t="s">
        <v>1337</v>
      </c>
      <c r="B208" t="str">
        <f t="shared" si="6"/>
        <v/>
      </c>
      <c r="C208" t="str">
        <f t="shared" si="7"/>
        <v>CAN0_CTX</v>
      </c>
      <c r="D208" t="e">
        <f>IF(C208="GPIO","General-purpose input/output pin",IF(C208="","",INDEX('@Pin Component List記載'!$C$4:$G$299,MATCH(C208,'@Pin Component List記載'!$C$4:$C$299,0),5)))</f>
        <v>#N/A</v>
      </c>
    </row>
    <row r="209" spans="1:4">
      <c r="B209" t="str">
        <f t="shared" si="6"/>
        <v/>
      </c>
      <c r="C209" t="str">
        <f t="shared" si="7"/>
        <v/>
      </c>
      <c r="D209" t="str">
        <f>IF(C209="GPIO","General-purpose input/output pin",IF(C209="","",INDEX('@Pin Component List記載'!$C$4:$G$299,MATCH(C209,'@Pin Component List記載'!$C$4:$C$299,0),5)))</f>
        <v/>
      </c>
    </row>
    <row r="210" spans="1:4">
      <c r="A210" t="s">
        <v>1160</v>
      </c>
      <c r="B210" t="str">
        <f t="shared" si="6"/>
        <v>/*!&lt; General-purpose input/output pin. \hideinitializer */</v>
      </c>
      <c r="C210" t="str">
        <f t="shared" si="7"/>
        <v>GPIO</v>
      </c>
      <c r="D210" t="str">
        <f>IF(C210="GPIO","General-purpose input/output pin",IF(C210="","",INDEX('@Pin Component List記載'!$C$4:$G$299,MATCH(C210,'@Pin Component List記載'!$C$4:$C$299,0),5)))</f>
        <v>General-purpose input/output pin</v>
      </c>
    </row>
    <row r="211" spans="1:4">
      <c r="A211" t="s">
        <v>1217</v>
      </c>
      <c r="B211" t="str">
        <f t="shared" si="6"/>
        <v/>
      </c>
      <c r="C211" t="str">
        <f t="shared" si="7"/>
        <v>TM22B</v>
      </c>
      <c r="D211" t="e">
        <f>IF(C211="GPIO","General-purpose input/output pin",IF(C211="","",INDEX('@Pin Component List記載'!$C$4:$G$299,MATCH(C211,'@Pin Component List記載'!$C$4:$C$299,0),5)))</f>
        <v>#N/A</v>
      </c>
    </row>
    <row r="212" spans="1:4">
      <c r="A212" t="s">
        <v>1346</v>
      </c>
      <c r="B212" t="str">
        <f t="shared" si="6"/>
        <v/>
      </c>
      <c r="C212" t="str">
        <f t="shared" si="7"/>
        <v>CAN0_CRX</v>
      </c>
      <c r="D212" t="e">
        <f>IF(C212="GPIO","General-purpose input/output pin",IF(C212="","",INDEX('@Pin Component List記載'!$C$4:$G$299,MATCH(C212,'@Pin Component List記載'!$C$4:$C$299,0),5)))</f>
        <v>#N/A</v>
      </c>
    </row>
    <row r="213" spans="1:4">
      <c r="B213" t="str">
        <f t="shared" si="6"/>
        <v/>
      </c>
      <c r="C213" t="str">
        <f t="shared" si="7"/>
        <v/>
      </c>
      <c r="D213" t="str">
        <f>IF(C213="GPIO","General-purpose input/output pin",IF(C213="","",INDEX('@Pin Component List記載'!$C$4:$G$299,MATCH(C213,'@Pin Component List記載'!$C$4:$C$299,0),5)))</f>
        <v/>
      </c>
    </row>
    <row r="214" spans="1:4">
      <c r="A214" t="s">
        <v>1160</v>
      </c>
      <c r="B214" t="str">
        <f t="shared" si="6"/>
        <v>/*!&lt; General-purpose input/output pin. \hideinitializer */</v>
      </c>
      <c r="C214" t="str">
        <f t="shared" si="7"/>
        <v>GPIO</v>
      </c>
      <c r="D214" t="str">
        <f>IF(C214="GPIO","General-purpose input/output pin",IF(C214="","",INDEX('@Pin Component List記載'!$C$4:$G$299,MATCH(C214,'@Pin Component List記載'!$C$4:$C$299,0),5)))</f>
        <v>General-purpose input/output pin</v>
      </c>
    </row>
    <row r="215" spans="1:4">
      <c r="A215" t="s">
        <v>1218</v>
      </c>
      <c r="B215" t="str">
        <f t="shared" si="6"/>
        <v/>
      </c>
      <c r="C215" t="str">
        <f t="shared" si="7"/>
        <v>TM23A</v>
      </c>
      <c r="D215" t="e">
        <f>IF(C215="GPIO","General-purpose input/output pin",IF(C215="","",INDEX('@Pin Component List記載'!$C$4:$G$299,MATCH(C215,'@Pin Component List記載'!$C$4:$C$299,0),5)))</f>
        <v>#N/A</v>
      </c>
    </row>
    <row r="216" spans="1:4">
      <c r="A216" t="s">
        <v>1219</v>
      </c>
      <c r="B216" t="str">
        <f t="shared" si="6"/>
        <v>/*!&lt; Comparator 01 output pin. \hideinitializer */</v>
      </c>
      <c r="C216" t="str">
        <f t="shared" si="7"/>
        <v>CMP0_CMPOT01</v>
      </c>
      <c r="D216" t="str">
        <f>IF(C216="GPIO","General-purpose input/output pin",IF(C216="","",INDEX('@Pin Component List記載'!$C$4:$G$299,MATCH(C216,'@Pin Component List記載'!$C$4:$C$299,0),5)))</f>
        <v>Comparator 01 output pin</v>
      </c>
    </row>
    <row r="217" spans="1:4">
      <c r="A217" t="s">
        <v>1375</v>
      </c>
      <c r="B217" t="str">
        <f t="shared" si="6"/>
        <v/>
      </c>
      <c r="C217" t="str">
        <f t="shared" si="7"/>
        <v>SPI5_SBO</v>
      </c>
      <c r="D217" t="e">
        <f>IF(C217="GPIO","General-purpose input/output pin",IF(C217="","",INDEX('@Pin Component List記載'!$C$4:$G$299,MATCH(C217,'@Pin Component List記載'!$C$4:$C$299,0),5)))</f>
        <v>#N/A</v>
      </c>
    </row>
    <row r="218" spans="1:4">
      <c r="A218" t="s">
        <v>1341</v>
      </c>
      <c r="B218" t="str">
        <f t="shared" si="6"/>
        <v/>
      </c>
      <c r="C218" t="str">
        <f t="shared" si="7"/>
        <v>UART5_TX</v>
      </c>
      <c r="D218" t="e">
        <f>IF(C218="GPIO","General-purpose input/output pin",IF(C218="","",INDEX('@Pin Component List記載'!$C$4:$G$299,MATCH(C218,'@Pin Component List記載'!$C$4:$C$299,0),5)))</f>
        <v>#N/A</v>
      </c>
    </row>
    <row r="219" spans="1:4">
      <c r="A219" t="s">
        <v>1367</v>
      </c>
      <c r="B219" t="str">
        <f t="shared" si="6"/>
        <v/>
      </c>
      <c r="C219" t="str">
        <f t="shared" si="7"/>
        <v>SPI5_SBT</v>
      </c>
      <c r="D219" t="e">
        <f>IF(C219="GPIO","General-purpose input/output pin",IF(C219="","",INDEX('@Pin Component List記載'!$C$4:$G$299,MATCH(C219,'@Pin Component List記載'!$C$4:$C$299,0),5)))</f>
        <v>#N/A</v>
      </c>
    </row>
    <row r="220" spans="1:4">
      <c r="B220" t="str">
        <f t="shared" si="6"/>
        <v/>
      </c>
      <c r="C220" t="str">
        <f t="shared" si="7"/>
        <v/>
      </c>
      <c r="D220" t="str">
        <f>IF(C220="GPIO","General-purpose input/output pin",IF(C220="","",INDEX('@Pin Component List記載'!$C$4:$G$299,MATCH(C220,'@Pin Component List記載'!$C$4:$C$299,0),5)))</f>
        <v/>
      </c>
    </row>
    <row r="221" spans="1:4">
      <c r="A221" t="s">
        <v>1160</v>
      </c>
      <c r="B221" t="str">
        <f t="shared" si="6"/>
        <v>/*!&lt; General-purpose input/output pin. \hideinitializer */</v>
      </c>
      <c r="C221" t="str">
        <f t="shared" si="7"/>
        <v>GPIO</v>
      </c>
      <c r="D221" t="str">
        <f>IF(C221="GPIO","General-purpose input/output pin",IF(C221="","",INDEX('@Pin Component List記載'!$C$4:$G$299,MATCH(C221,'@Pin Component List記載'!$C$4:$C$299,0),5)))</f>
        <v>General-purpose input/output pin</v>
      </c>
    </row>
    <row r="222" spans="1:4">
      <c r="A222" t="s">
        <v>1220</v>
      </c>
      <c r="B222" t="str">
        <f t="shared" si="6"/>
        <v/>
      </c>
      <c r="C222" t="str">
        <f t="shared" si="7"/>
        <v>TM23B</v>
      </c>
      <c r="D222" t="e">
        <f>IF(C222="GPIO","General-purpose input/output pin",IF(C222="","",INDEX('@Pin Component List記載'!$C$4:$G$299,MATCH(C222,'@Pin Component List記載'!$C$4:$C$299,0),5)))</f>
        <v>#N/A</v>
      </c>
    </row>
    <row r="223" spans="1:4">
      <c r="A223" t="s">
        <v>1221</v>
      </c>
      <c r="B223" t="str">
        <f t="shared" si="6"/>
        <v>/*!&lt; Comparator 11 output pin. \hideinitializer */</v>
      </c>
      <c r="C223" t="str">
        <f t="shared" si="7"/>
        <v>CMP1_CMPOT11</v>
      </c>
      <c r="D223" t="str">
        <f>IF(C223="GPIO","General-purpose input/output pin",IF(C223="","",INDEX('@Pin Component List記載'!$C$4:$G$299,MATCH(C223,'@Pin Component List記載'!$C$4:$C$299,0),5)))</f>
        <v>Comparator 11 output pin</v>
      </c>
    </row>
    <row r="224" spans="1:4">
      <c r="A224" t="s">
        <v>1367</v>
      </c>
      <c r="B224" t="str">
        <f t="shared" si="6"/>
        <v/>
      </c>
      <c r="C224" t="str">
        <f t="shared" si="7"/>
        <v>SPI5_SBT</v>
      </c>
      <c r="D224" t="e">
        <f>IF(C224="GPIO","General-purpose input/output pin",IF(C224="","",INDEX('@Pin Component List記載'!$C$4:$G$299,MATCH(C224,'@Pin Component List記載'!$C$4:$C$299,0),5)))</f>
        <v>#N/A</v>
      </c>
    </row>
    <row r="225" spans="1:4">
      <c r="A225" t="s">
        <v>1375</v>
      </c>
      <c r="B225" t="str">
        <f t="shared" si="6"/>
        <v/>
      </c>
      <c r="C225" t="str">
        <f t="shared" si="7"/>
        <v>SPI5_SBO</v>
      </c>
      <c r="D225" t="e">
        <f>IF(C225="GPIO","General-purpose input/output pin",IF(C225="","",INDEX('@Pin Component List記載'!$C$4:$G$299,MATCH(C225,'@Pin Component List記載'!$C$4:$C$299,0),5)))</f>
        <v>#N/A</v>
      </c>
    </row>
    <row r="226" spans="1:4">
      <c r="A226" t="s">
        <v>1341</v>
      </c>
      <c r="B226" t="str">
        <f t="shared" si="6"/>
        <v/>
      </c>
      <c r="C226" t="str">
        <f t="shared" si="7"/>
        <v>UART5_TX</v>
      </c>
      <c r="D226" t="e">
        <f>IF(C226="GPIO","General-purpose input/output pin",IF(C226="","",INDEX('@Pin Component List記載'!$C$4:$G$299,MATCH(C226,'@Pin Component List記載'!$C$4:$C$299,0),5)))</f>
        <v>#N/A</v>
      </c>
    </row>
    <row r="227" spans="1:4">
      <c r="B227" t="str">
        <f t="shared" si="6"/>
        <v/>
      </c>
      <c r="C227" t="str">
        <f t="shared" si="7"/>
        <v/>
      </c>
      <c r="D227" t="str">
        <f>IF(C227="GPIO","General-purpose input/output pin",IF(C227="","",INDEX('@Pin Component List記載'!$C$4:$G$299,MATCH(C227,'@Pin Component List記載'!$C$4:$C$299,0),5)))</f>
        <v/>
      </c>
    </row>
    <row r="228" spans="1:4">
      <c r="A228" t="s">
        <v>1160</v>
      </c>
      <c r="B228" t="str">
        <f t="shared" si="6"/>
        <v>/*!&lt; General-purpose input/output pin. \hideinitializer */</v>
      </c>
      <c r="C228" t="str">
        <f t="shared" si="7"/>
        <v>GPIO</v>
      </c>
      <c r="D228" t="str">
        <f>IF(C228="GPIO","General-purpose input/output pin",IF(C228="","",INDEX('@Pin Component List記載'!$C$4:$G$299,MATCH(C228,'@Pin Component List記載'!$C$4:$C$299,0),5)))</f>
        <v>General-purpose input/output pin</v>
      </c>
    </row>
    <row r="229" spans="1:4">
      <c r="A229" t="s">
        <v>1222</v>
      </c>
      <c r="B229" t="str">
        <f t="shared" si="6"/>
        <v/>
      </c>
      <c r="C229" t="str">
        <f t="shared" si="7"/>
        <v>TM24A</v>
      </c>
      <c r="D229" t="e">
        <f>IF(C229="GPIO","General-purpose input/output pin",IF(C229="","",INDEX('@Pin Component List記載'!$C$4:$G$299,MATCH(C229,'@Pin Component List記載'!$C$4:$C$299,0),5)))</f>
        <v>#N/A</v>
      </c>
    </row>
    <row r="230" spans="1:4">
      <c r="A230" t="s">
        <v>1223</v>
      </c>
      <c r="B230" t="str">
        <f t="shared" si="6"/>
        <v>/*!&lt; Comparator 21 output pin. \hideinitializer */</v>
      </c>
      <c r="C230" t="str">
        <f t="shared" si="7"/>
        <v>CMP2_CMPOT21</v>
      </c>
      <c r="D230" t="str">
        <f>IF(C230="GPIO","General-purpose input/output pin",IF(C230="","",INDEX('@Pin Component List記載'!$C$4:$G$299,MATCH(C230,'@Pin Component List記載'!$C$4:$C$299,0),5)))</f>
        <v>Comparator 21 output pin</v>
      </c>
    </row>
    <row r="231" spans="1:4">
      <c r="A231" t="s">
        <v>1359</v>
      </c>
      <c r="B231" t="str">
        <f t="shared" si="6"/>
        <v/>
      </c>
      <c r="C231" t="str">
        <f t="shared" si="7"/>
        <v>SPI5_SBI</v>
      </c>
      <c r="D231" t="e">
        <f>IF(C231="GPIO","General-purpose input/output pin",IF(C231="","",INDEX('@Pin Component List記載'!$C$4:$G$299,MATCH(C231,'@Pin Component List記載'!$C$4:$C$299,0),5)))</f>
        <v>#N/A</v>
      </c>
    </row>
    <row r="232" spans="1:4">
      <c r="A232" t="s">
        <v>1350</v>
      </c>
      <c r="B232" t="str">
        <f t="shared" si="6"/>
        <v/>
      </c>
      <c r="C232" t="str">
        <f t="shared" si="7"/>
        <v>UART5_RX</v>
      </c>
      <c r="D232" t="e">
        <f>IF(C232="GPIO","General-purpose input/output pin",IF(C232="","",INDEX('@Pin Component List記載'!$C$4:$G$299,MATCH(C232,'@Pin Component List記載'!$C$4:$C$299,0),5)))</f>
        <v>#N/A</v>
      </c>
    </row>
    <row r="233" spans="1:4">
      <c r="B233" t="str">
        <f t="shared" si="6"/>
        <v/>
      </c>
      <c r="C233" t="str">
        <f t="shared" si="7"/>
        <v/>
      </c>
      <c r="D233" t="str">
        <f>IF(C233="GPIO","General-purpose input/output pin",IF(C233="","",INDEX('@Pin Component List記載'!$C$4:$G$299,MATCH(C233,'@Pin Component List記載'!$C$4:$C$299,0),5)))</f>
        <v/>
      </c>
    </row>
    <row r="234" spans="1:4">
      <c r="A234" t="s">
        <v>1160</v>
      </c>
      <c r="B234" t="str">
        <f t="shared" si="6"/>
        <v>/*!&lt; General-purpose input/output pin. \hideinitializer */</v>
      </c>
      <c r="C234" t="str">
        <f t="shared" si="7"/>
        <v>GPIO</v>
      </c>
      <c r="D234" t="str">
        <f>IF(C234="GPIO","General-purpose input/output pin",IF(C234="","",INDEX('@Pin Component List記載'!$C$4:$G$299,MATCH(C234,'@Pin Component List記載'!$C$4:$C$299,0),5)))</f>
        <v>General-purpose input/output pin</v>
      </c>
    </row>
    <row r="235" spans="1:4">
      <c r="A235" t="s">
        <v>1224</v>
      </c>
      <c r="B235" t="str">
        <f t="shared" si="6"/>
        <v/>
      </c>
      <c r="C235" t="str">
        <f t="shared" si="7"/>
        <v>TM24B</v>
      </c>
      <c r="D235" t="e">
        <f>IF(C235="GPIO","General-purpose input/output pin",IF(C235="","",INDEX('@Pin Component List記載'!$C$4:$G$299,MATCH(C235,'@Pin Component List記載'!$C$4:$C$299,0),5)))</f>
        <v>#N/A</v>
      </c>
    </row>
    <row r="236" spans="1:4">
      <c r="A236" t="s">
        <v>1225</v>
      </c>
      <c r="B236" t="str">
        <f t="shared" si="6"/>
        <v>/*!&lt; Comparator 31 output pin. \hideinitializer */</v>
      </c>
      <c r="C236" t="str">
        <f t="shared" si="7"/>
        <v>CMP3_CMPOT31</v>
      </c>
      <c r="D236" t="str">
        <f>IF(C236="GPIO","General-purpose input/output pin",IF(C236="","",INDEX('@Pin Component List記載'!$C$4:$G$299,MATCH(C236,'@Pin Component List記載'!$C$4:$C$299,0),5)))</f>
        <v>Comparator 31 output pin</v>
      </c>
    </row>
    <row r="237" spans="1:4">
      <c r="A237" t="s">
        <v>1376</v>
      </c>
      <c r="B237" t="str">
        <f t="shared" si="6"/>
        <v/>
      </c>
      <c r="C237" t="str">
        <f t="shared" si="7"/>
        <v>SPI6_SBO</v>
      </c>
      <c r="D237" t="e">
        <f>IF(C237="GPIO","General-purpose input/output pin",IF(C237="","",INDEX('@Pin Component List記載'!$C$4:$G$299,MATCH(C237,'@Pin Component List記載'!$C$4:$C$299,0),5)))</f>
        <v>#N/A</v>
      </c>
    </row>
    <row r="238" spans="1:4">
      <c r="A238" t="s">
        <v>1342</v>
      </c>
      <c r="B238" t="str">
        <f t="shared" si="6"/>
        <v/>
      </c>
      <c r="C238" t="str">
        <f t="shared" si="7"/>
        <v>UART6_TX</v>
      </c>
      <c r="D238" t="e">
        <f>IF(C238="GPIO","General-purpose input/output pin",IF(C238="","",INDEX('@Pin Component List記載'!$C$4:$G$299,MATCH(C238,'@Pin Component List記載'!$C$4:$C$299,0),5)))</f>
        <v>#N/A</v>
      </c>
    </row>
    <row r="239" spans="1:4">
      <c r="A239" t="s">
        <v>1368</v>
      </c>
      <c r="B239" t="str">
        <f t="shared" si="6"/>
        <v/>
      </c>
      <c r="C239" t="str">
        <f t="shared" si="7"/>
        <v>SPI6_SBT</v>
      </c>
      <c r="D239" t="e">
        <f>IF(C239="GPIO","General-purpose input/output pin",IF(C239="","",INDEX('@Pin Component List記載'!$C$4:$G$299,MATCH(C239,'@Pin Component List記載'!$C$4:$C$299,0),5)))</f>
        <v>#N/A</v>
      </c>
    </row>
    <row r="240" spans="1:4">
      <c r="B240" t="str">
        <f t="shared" si="6"/>
        <v/>
      </c>
      <c r="C240" t="str">
        <f t="shared" si="7"/>
        <v/>
      </c>
      <c r="D240" t="str">
        <f>IF(C240="GPIO","General-purpose input/output pin",IF(C240="","",INDEX('@Pin Component List記載'!$C$4:$G$299,MATCH(C240,'@Pin Component List記載'!$C$4:$C$299,0),5)))</f>
        <v/>
      </c>
    </row>
    <row r="241" spans="1:4">
      <c r="A241" t="s">
        <v>1160</v>
      </c>
      <c r="B241" t="str">
        <f t="shared" si="6"/>
        <v>/*!&lt; General-purpose input/output pin. \hideinitializer */</v>
      </c>
      <c r="C241" t="str">
        <f t="shared" si="7"/>
        <v>GPIO</v>
      </c>
      <c r="D241" t="str">
        <f>IF(C241="GPIO","General-purpose input/output pin",IF(C241="","",INDEX('@Pin Component List記載'!$C$4:$G$299,MATCH(C241,'@Pin Component List記載'!$C$4:$C$299,0),5)))</f>
        <v>General-purpose input/output pin</v>
      </c>
    </row>
    <row r="242" spans="1:4">
      <c r="A242" t="s">
        <v>1226</v>
      </c>
      <c r="B242" t="str">
        <f t="shared" si="6"/>
        <v/>
      </c>
      <c r="C242" t="str">
        <f t="shared" si="7"/>
        <v>TM25A</v>
      </c>
      <c r="D242" t="e">
        <f>IF(C242="GPIO","General-purpose input/output pin",IF(C242="","",INDEX('@Pin Component List記載'!$C$4:$G$299,MATCH(C242,'@Pin Component List記載'!$C$4:$C$299,0),5)))</f>
        <v>#N/A</v>
      </c>
    </row>
    <row r="243" spans="1:4">
      <c r="A243" t="s">
        <v>1227</v>
      </c>
      <c r="B243" t="str">
        <f t="shared" si="6"/>
        <v>/*!&lt; Comparator 41 output pin. \hideinitializer */</v>
      </c>
      <c r="C243" t="str">
        <f t="shared" si="7"/>
        <v>CMP4_CMPOT41</v>
      </c>
      <c r="D243" t="str">
        <f>IF(C243="GPIO","General-purpose input/output pin",IF(C243="","",INDEX('@Pin Component List記載'!$C$4:$G$299,MATCH(C243,'@Pin Component List記載'!$C$4:$C$299,0),5)))</f>
        <v>Comparator 41 output pin</v>
      </c>
    </row>
    <row r="244" spans="1:4">
      <c r="A244" t="s">
        <v>1368</v>
      </c>
      <c r="B244" t="str">
        <f t="shared" si="6"/>
        <v/>
      </c>
      <c r="C244" t="str">
        <f t="shared" si="7"/>
        <v>SPI6_SBT</v>
      </c>
      <c r="D244" t="e">
        <f>IF(C244="GPIO","General-purpose input/output pin",IF(C244="","",INDEX('@Pin Component List記載'!$C$4:$G$299,MATCH(C244,'@Pin Component List記載'!$C$4:$C$299,0),5)))</f>
        <v>#N/A</v>
      </c>
    </row>
    <row r="245" spans="1:4">
      <c r="A245" t="s">
        <v>1376</v>
      </c>
      <c r="B245" t="str">
        <f t="shared" si="6"/>
        <v/>
      </c>
      <c r="C245" t="str">
        <f t="shared" si="7"/>
        <v>SPI6_SBO</v>
      </c>
      <c r="D245" t="e">
        <f>IF(C245="GPIO","General-purpose input/output pin",IF(C245="","",INDEX('@Pin Component List記載'!$C$4:$G$299,MATCH(C245,'@Pin Component List記載'!$C$4:$C$299,0),5)))</f>
        <v>#N/A</v>
      </c>
    </row>
    <row r="246" spans="1:4">
      <c r="A246" t="s">
        <v>1342</v>
      </c>
      <c r="B246" t="str">
        <f t="shared" si="6"/>
        <v/>
      </c>
      <c r="C246" t="str">
        <f t="shared" si="7"/>
        <v>UART6_TX</v>
      </c>
      <c r="D246" t="e">
        <f>IF(C246="GPIO","General-purpose input/output pin",IF(C246="","",INDEX('@Pin Component List記載'!$C$4:$G$299,MATCH(C246,'@Pin Component List記載'!$C$4:$C$299,0),5)))</f>
        <v>#N/A</v>
      </c>
    </row>
    <row r="247" spans="1:4">
      <c r="B247" t="str">
        <f t="shared" si="6"/>
        <v/>
      </c>
      <c r="C247" t="str">
        <f t="shared" si="7"/>
        <v/>
      </c>
      <c r="D247" t="str">
        <f>IF(C247="GPIO","General-purpose input/output pin",IF(C247="","",INDEX('@Pin Component List記載'!$C$4:$G$299,MATCH(C247,'@Pin Component List記載'!$C$4:$C$299,0),5)))</f>
        <v/>
      </c>
    </row>
    <row r="248" spans="1:4">
      <c r="A248" t="s">
        <v>1160</v>
      </c>
      <c r="B248" t="str">
        <f t="shared" si="6"/>
        <v>/*!&lt; General-purpose input/output pin. \hideinitializer */</v>
      </c>
      <c r="C248" t="str">
        <f t="shared" si="7"/>
        <v>GPIO</v>
      </c>
      <c r="D248" t="str">
        <f>IF(C248="GPIO","General-purpose input/output pin",IF(C248="","",INDEX('@Pin Component List記載'!$C$4:$G$299,MATCH(C248,'@Pin Component List記載'!$C$4:$C$299,0),5)))</f>
        <v>General-purpose input/output pin</v>
      </c>
    </row>
    <row r="249" spans="1:4">
      <c r="A249" t="s">
        <v>1228</v>
      </c>
      <c r="B249" t="str">
        <f t="shared" si="6"/>
        <v/>
      </c>
      <c r="C249" t="str">
        <f t="shared" si="7"/>
        <v>TM25B</v>
      </c>
      <c r="D249" t="e">
        <f>IF(C249="GPIO","General-purpose input/output pin",IF(C249="","",INDEX('@Pin Component List記載'!$C$4:$G$299,MATCH(C249,'@Pin Component List記載'!$C$4:$C$299,0),5)))</f>
        <v>#N/A</v>
      </c>
    </row>
    <row r="250" spans="1:4">
      <c r="A250" t="s">
        <v>1360</v>
      </c>
      <c r="B250" t="str">
        <f t="shared" si="6"/>
        <v/>
      </c>
      <c r="C250" t="str">
        <f t="shared" si="7"/>
        <v>SPI6_SBI</v>
      </c>
      <c r="D250" t="e">
        <f>IF(C250="GPIO","General-purpose input/output pin",IF(C250="","",INDEX('@Pin Component List記載'!$C$4:$G$299,MATCH(C250,'@Pin Component List記載'!$C$4:$C$299,0),5)))</f>
        <v>#N/A</v>
      </c>
    </row>
    <row r="251" spans="1:4">
      <c r="A251" t="s">
        <v>1351</v>
      </c>
      <c r="B251" t="str">
        <f t="shared" si="6"/>
        <v/>
      </c>
      <c r="C251" t="str">
        <f t="shared" si="7"/>
        <v>UART6_RX</v>
      </c>
      <c r="D251" t="e">
        <f>IF(C251="GPIO","General-purpose input/output pin",IF(C251="","",INDEX('@Pin Component List記載'!$C$4:$G$299,MATCH(C251,'@Pin Component List記載'!$C$4:$C$299,0),5)))</f>
        <v>#N/A</v>
      </c>
    </row>
    <row r="252" spans="1:4">
      <c r="B252" t="str">
        <f t="shared" si="6"/>
        <v/>
      </c>
      <c r="C252" t="str">
        <f t="shared" si="7"/>
        <v/>
      </c>
      <c r="D252" t="str">
        <f>IF(C252="GPIO","General-purpose input/output pin",IF(C252="","",INDEX('@Pin Component List記載'!$C$4:$G$299,MATCH(C252,'@Pin Component List記載'!$C$4:$C$299,0),5)))</f>
        <v/>
      </c>
    </row>
    <row r="253" spans="1:4">
      <c r="A253" t="s">
        <v>1177</v>
      </c>
      <c r="B253" t="str">
        <f t="shared" si="6"/>
        <v/>
      </c>
      <c r="C253" t="str">
        <f t="shared" si="7"/>
        <v>definitionof</v>
      </c>
      <c r="D253" t="e">
        <f>IF(C253="GPIO","General-purpose input/output pin",IF(C253="","",INDEX('@Pin Component List記載'!$C$4:$G$299,MATCH(C253,'@Pin Component List記載'!$C$4:$C$299,0),5)))</f>
        <v>#N/A</v>
      </c>
    </row>
    <row r="254" spans="1:4">
      <c r="A254" t="s">
        <v>1160</v>
      </c>
      <c r="B254" t="str">
        <f t="shared" si="6"/>
        <v>/*!&lt; General-purpose input/output pin. \hideinitializer */</v>
      </c>
      <c r="C254" t="str">
        <f t="shared" si="7"/>
        <v>GPIO</v>
      </c>
      <c r="D254" t="str">
        <f>IF(C254="GPIO","General-purpose input/output pin",IF(C254="","",INDEX('@Pin Component List記載'!$C$4:$G$299,MATCH(C254,'@Pin Component List記載'!$C$4:$C$299,0),5)))</f>
        <v>General-purpose input/output pin</v>
      </c>
    </row>
    <row r="255" spans="1:4">
      <c r="A255" t="s">
        <v>1229</v>
      </c>
      <c r="B255" t="str">
        <f t="shared" si="6"/>
        <v>/*!&lt; Timer 3 input/output pin A. \hideinitializer */</v>
      </c>
      <c r="C255" t="str">
        <f t="shared" si="7"/>
        <v>TM03A</v>
      </c>
      <c r="D255" t="str">
        <f>IF(C255="GPIO","General-purpose input/output pin",IF(C255="","",INDEX('@Pin Component List記載'!$C$4:$G$299,MATCH(C255,'@Pin Component List記載'!$C$4:$C$299,0),5)))</f>
        <v>Timer 3 input/output pin A</v>
      </c>
    </row>
    <row r="256" spans="1:4">
      <c r="A256" t="s">
        <v>1230</v>
      </c>
      <c r="B256" t="str">
        <f t="shared" si="6"/>
        <v/>
      </c>
      <c r="C256" t="str">
        <f t="shared" si="7"/>
        <v>GPWM5_GPWMST5</v>
      </c>
      <c r="D256" t="e">
        <f>IF(C256="GPIO","General-purpose input/output pin",IF(C256="","",INDEX('@Pin Component List記載'!$C$4:$G$299,MATCH(C256,'@Pin Component List記載'!$C$4:$C$299,0),5)))</f>
        <v>#N/A</v>
      </c>
    </row>
    <row r="257" spans="1:4">
      <c r="A257" t="s">
        <v>1353</v>
      </c>
      <c r="B257" t="str">
        <f t="shared" ref="B257:B320" si="8">IFERROR(IF(D257="","","/*!&lt; "&amp;D257&amp;". \hideinitializer */"),"")</f>
        <v/>
      </c>
      <c r="C257" t="str">
        <f t="shared" si="7"/>
        <v>SPI4_SBI</v>
      </c>
      <c r="D257" t="e">
        <f>IF(C257="GPIO","General-purpose input/output pin",IF(C257="","",INDEX('@Pin Component List記載'!$C$4:$G$299,MATCH(C257,'@Pin Component List記載'!$C$4:$C$299,0),5)))</f>
        <v>#N/A</v>
      </c>
    </row>
    <row r="258" spans="1:4">
      <c r="A258" t="s">
        <v>1344</v>
      </c>
      <c r="B258" t="str">
        <f t="shared" si="8"/>
        <v/>
      </c>
      <c r="C258" t="str">
        <f t="shared" si="7"/>
        <v>UART4_RX</v>
      </c>
      <c r="D258" t="e">
        <f>IF(C258="GPIO","General-purpose input/output pin",IF(C258="","",INDEX('@Pin Component List記載'!$C$4:$G$299,MATCH(C258,'@Pin Component List記載'!$C$4:$C$299,0),5)))</f>
        <v>#N/A</v>
      </c>
    </row>
    <row r="259" spans="1:4">
      <c r="A259" t="s">
        <v>1354</v>
      </c>
      <c r="B259" t="str">
        <f t="shared" si="8"/>
        <v/>
      </c>
      <c r="C259" t="str">
        <f t="shared" ref="C259:C322" si="9">SUBSTITUTE(A259," ","")</f>
        <v>SPI7_SBI</v>
      </c>
      <c r="D259" t="e">
        <f>IF(C259="GPIO","General-purpose input/output pin",IF(C259="","",INDEX('@Pin Component List記載'!$C$4:$G$299,MATCH(C259,'@Pin Component List記載'!$C$4:$C$299,0),5)))</f>
        <v>#N/A</v>
      </c>
    </row>
    <row r="260" spans="1:4">
      <c r="A260" t="s">
        <v>1345</v>
      </c>
      <c r="B260" t="str">
        <f t="shared" si="8"/>
        <v/>
      </c>
      <c r="C260" t="str">
        <f t="shared" si="9"/>
        <v>UART7_RX</v>
      </c>
      <c r="D260" t="e">
        <f>IF(C260="GPIO","General-purpose input/output pin",IF(C260="","",INDEX('@Pin Component List記載'!$C$4:$G$299,MATCH(C260,'@Pin Component List記載'!$C$4:$C$299,0),5)))</f>
        <v>#N/A</v>
      </c>
    </row>
    <row r="261" spans="1:4">
      <c r="B261" t="str">
        <f t="shared" si="8"/>
        <v/>
      </c>
      <c r="C261" t="str">
        <f t="shared" si="9"/>
        <v/>
      </c>
      <c r="D261" t="str">
        <f>IF(C261="GPIO","General-purpose input/output pin",IF(C261="","",INDEX('@Pin Component List記載'!$C$4:$G$299,MATCH(C261,'@Pin Component List記載'!$C$4:$C$299,0),5)))</f>
        <v/>
      </c>
    </row>
    <row r="262" spans="1:4">
      <c r="A262" t="s">
        <v>1160</v>
      </c>
      <c r="B262" t="str">
        <f t="shared" si="8"/>
        <v>/*!&lt; General-purpose input/output pin. \hideinitializer */</v>
      </c>
      <c r="C262" t="str">
        <f t="shared" si="9"/>
        <v>GPIO</v>
      </c>
      <c r="D262" t="str">
        <f>IF(C262="GPIO","General-purpose input/output pin",IF(C262="","",INDEX('@Pin Component List記載'!$C$4:$G$299,MATCH(C262,'@Pin Component List記載'!$C$4:$C$299,0),5)))</f>
        <v>General-purpose input/output pin</v>
      </c>
    </row>
    <row r="263" spans="1:4">
      <c r="A263" t="s">
        <v>1231</v>
      </c>
      <c r="B263" t="str">
        <f t="shared" si="8"/>
        <v>/*!&lt; Timer 3 input/output pin B. \hideinitializer */</v>
      </c>
      <c r="C263" t="str">
        <f t="shared" si="9"/>
        <v>TM03B</v>
      </c>
      <c r="D263" t="str">
        <f>IF(C263="GPIO","General-purpose input/output pin",IF(C263="","",INDEX('@Pin Component List記載'!$C$4:$G$299,MATCH(C263,'@Pin Component List記載'!$C$4:$C$299,0),5)))</f>
        <v>Timer 3 input/output pin B</v>
      </c>
    </row>
    <row r="264" spans="1:4">
      <c r="A264" t="s">
        <v>1232</v>
      </c>
      <c r="B264" t="str">
        <f t="shared" si="8"/>
        <v/>
      </c>
      <c r="C264" t="str">
        <f t="shared" si="9"/>
        <v>GPWM6_GPWMST6</v>
      </c>
      <c r="D264" t="e">
        <f>IF(C264="GPIO","General-purpose input/output pin",IF(C264="","",INDEX('@Pin Component List記載'!$C$4:$G$299,MATCH(C264,'@Pin Component List記載'!$C$4:$C$299,0),5)))</f>
        <v>#N/A</v>
      </c>
    </row>
    <row r="265" spans="1:4">
      <c r="A265" t="s">
        <v>1369</v>
      </c>
      <c r="B265" t="str">
        <f t="shared" si="8"/>
        <v/>
      </c>
      <c r="C265" t="str">
        <f t="shared" si="9"/>
        <v>SPI4_SBO</v>
      </c>
      <c r="D265" t="e">
        <f>IF(C265="GPIO","General-purpose input/output pin",IF(C265="","",INDEX('@Pin Component List記載'!$C$4:$G$299,MATCH(C265,'@Pin Component List記載'!$C$4:$C$299,0),5)))</f>
        <v>#N/A</v>
      </c>
    </row>
    <row r="266" spans="1:4">
      <c r="A266" t="s">
        <v>1335</v>
      </c>
      <c r="B266" t="str">
        <f t="shared" si="8"/>
        <v/>
      </c>
      <c r="C266" t="str">
        <f t="shared" si="9"/>
        <v>UART4_TX</v>
      </c>
      <c r="D266" t="e">
        <f>IF(C266="GPIO","General-purpose input/output pin",IF(C266="","",INDEX('@Pin Component List記載'!$C$4:$G$299,MATCH(C266,'@Pin Component List記載'!$C$4:$C$299,0),5)))</f>
        <v>#N/A</v>
      </c>
    </row>
    <row r="267" spans="1:4">
      <c r="A267" t="s">
        <v>1361</v>
      </c>
      <c r="B267" t="str">
        <f t="shared" si="8"/>
        <v/>
      </c>
      <c r="C267" t="str">
        <f t="shared" si="9"/>
        <v>SPI4_SBT</v>
      </c>
      <c r="D267" t="e">
        <f>IF(C267="GPIO","General-purpose input/output pin",IF(C267="","",INDEX('@Pin Component List記載'!$C$4:$G$299,MATCH(C267,'@Pin Component List記載'!$C$4:$C$299,0),5)))</f>
        <v>#N/A</v>
      </c>
    </row>
    <row r="268" spans="1:4">
      <c r="A268" t="s">
        <v>1370</v>
      </c>
      <c r="B268" t="str">
        <f t="shared" si="8"/>
        <v/>
      </c>
      <c r="C268" t="str">
        <f t="shared" si="9"/>
        <v>SPI7_SBO</v>
      </c>
      <c r="D268" t="e">
        <f>IF(C268="GPIO","General-purpose input/output pin",IF(C268="","",INDEX('@Pin Component List記載'!$C$4:$G$299,MATCH(C268,'@Pin Component List記載'!$C$4:$C$299,0),5)))</f>
        <v>#N/A</v>
      </c>
    </row>
    <row r="269" spans="1:4">
      <c r="A269" t="s">
        <v>1336</v>
      </c>
      <c r="B269" t="str">
        <f t="shared" si="8"/>
        <v/>
      </c>
      <c r="C269" t="str">
        <f t="shared" si="9"/>
        <v>UART7_TX</v>
      </c>
      <c r="D269" t="e">
        <f>IF(C269="GPIO","General-purpose input/output pin",IF(C269="","",INDEX('@Pin Component List記載'!$C$4:$G$299,MATCH(C269,'@Pin Component List記載'!$C$4:$C$299,0),5)))</f>
        <v>#N/A</v>
      </c>
    </row>
    <row r="270" spans="1:4">
      <c r="A270" t="s">
        <v>1377</v>
      </c>
      <c r="B270" t="str">
        <f t="shared" si="8"/>
        <v/>
      </c>
      <c r="C270" t="str">
        <f t="shared" si="9"/>
        <v>IIC7_SDA</v>
      </c>
      <c r="D270" t="e">
        <f>IF(C270="GPIO","General-purpose input/output pin",IF(C270="","",INDEX('@Pin Component List記載'!$C$4:$G$299,MATCH(C270,'@Pin Component List記載'!$C$4:$C$299,0),5)))</f>
        <v>#N/A</v>
      </c>
    </row>
    <row r="271" spans="1:4">
      <c r="A271" t="s">
        <v>1362</v>
      </c>
      <c r="B271" t="str">
        <f t="shared" si="8"/>
        <v/>
      </c>
      <c r="C271" t="str">
        <f t="shared" si="9"/>
        <v>SPI7_SBT</v>
      </c>
      <c r="D271" t="e">
        <f>IF(C271="GPIO","General-purpose input/output pin",IF(C271="","",INDEX('@Pin Component List記載'!$C$4:$G$299,MATCH(C271,'@Pin Component List記載'!$C$4:$C$299,0),5)))</f>
        <v>#N/A</v>
      </c>
    </row>
    <row r="272" spans="1:4">
      <c r="A272" t="s">
        <v>1379</v>
      </c>
      <c r="B272" t="str">
        <f t="shared" si="8"/>
        <v/>
      </c>
      <c r="C272" t="str">
        <f t="shared" si="9"/>
        <v>IIC7_SCL</v>
      </c>
      <c r="D272" t="e">
        <f>IF(C272="GPIO","General-purpose input/output pin",IF(C272="","",INDEX('@Pin Component List記載'!$C$4:$G$299,MATCH(C272,'@Pin Component List記載'!$C$4:$C$299,0),5)))</f>
        <v>#N/A</v>
      </c>
    </row>
    <row r="273" spans="1:4">
      <c r="B273" t="str">
        <f t="shared" si="8"/>
        <v/>
      </c>
      <c r="C273" t="str">
        <f t="shared" si="9"/>
        <v/>
      </c>
      <c r="D273" t="str">
        <f>IF(C273="GPIO","General-purpose input/output pin",IF(C273="","",INDEX('@Pin Component List記載'!$C$4:$G$299,MATCH(C273,'@Pin Component List記載'!$C$4:$C$299,0),5)))</f>
        <v/>
      </c>
    </row>
    <row r="274" spans="1:4">
      <c r="A274" t="s">
        <v>1160</v>
      </c>
      <c r="B274" t="str">
        <f t="shared" si="8"/>
        <v>/*!&lt; General-purpose input/output pin. \hideinitializer */</v>
      </c>
      <c r="C274" t="str">
        <f t="shared" si="9"/>
        <v>GPIO</v>
      </c>
      <c r="D274" t="str">
        <f>IF(C274="GPIO","General-purpose input/output pin",IF(C274="","",INDEX('@Pin Component List記載'!$C$4:$G$299,MATCH(C274,'@Pin Component List記載'!$C$4:$C$299,0),5)))</f>
        <v>General-purpose input/output pin</v>
      </c>
    </row>
    <row r="275" spans="1:4">
      <c r="A275" t="s">
        <v>1233</v>
      </c>
      <c r="B275" t="str">
        <f t="shared" si="8"/>
        <v>/*!&lt; Timer 4 input/output pin A. \hideinitializer */</v>
      </c>
      <c r="C275" t="str">
        <f t="shared" si="9"/>
        <v>TM04A</v>
      </c>
      <c r="D275" t="str">
        <f>IF(C275="GPIO","General-purpose input/output pin",IF(C275="","",INDEX('@Pin Component List記載'!$C$4:$G$299,MATCH(C275,'@Pin Component List記載'!$C$4:$C$299,0),5)))</f>
        <v>Timer 4 input/output pin A</v>
      </c>
    </row>
    <row r="276" spans="1:4">
      <c r="A276" t="s">
        <v>1234</v>
      </c>
      <c r="B276" t="str">
        <f t="shared" si="8"/>
        <v/>
      </c>
      <c r="C276" t="str">
        <f t="shared" si="9"/>
        <v>GPWM7_GPWMST7</v>
      </c>
      <c r="D276" t="e">
        <f>IF(C276="GPIO","General-purpose input/output pin",IF(C276="","",INDEX('@Pin Component List記載'!$C$4:$G$299,MATCH(C276,'@Pin Component List記載'!$C$4:$C$299,0),5)))</f>
        <v>#N/A</v>
      </c>
    </row>
    <row r="277" spans="1:4">
      <c r="A277" t="s">
        <v>1361</v>
      </c>
      <c r="B277" t="str">
        <f t="shared" si="8"/>
        <v/>
      </c>
      <c r="C277" t="str">
        <f t="shared" si="9"/>
        <v>SPI4_SBT</v>
      </c>
      <c r="D277" t="e">
        <f>IF(C277="GPIO","General-purpose input/output pin",IF(C277="","",INDEX('@Pin Component List記載'!$C$4:$G$299,MATCH(C277,'@Pin Component List記載'!$C$4:$C$299,0),5)))</f>
        <v>#N/A</v>
      </c>
    </row>
    <row r="278" spans="1:4">
      <c r="A278" t="s">
        <v>1369</v>
      </c>
      <c r="B278" t="str">
        <f t="shared" si="8"/>
        <v/>
      </c>
      <c r="C278" t="str">
        <f t="shared" si="9"/>
        <v>SPI4_SBO</v>
      </c>
      <c r="D278" t="e">
        <f>IF(C278="GPIO","General-purpose input/output pin",IF(C278="","",INDEX('@Pin Component List記載'!$C$4:$G$299,MATCH(C278,'@Pin Component List記載'!$C$4:$C$299,0),5)))</f>
        <v>#N/A</v>
      </c>
    </row>
    <row r="279" spans="1:4">
      <c r="A279" t="s">
        <v>1335</v>
      </c>
      <c r="B279" t="str">
        <f t="shared" si="8"/>
        <v/>
      </c>
      <c r="C279" t="str">
        <f t="shared" si="9"/>
        <v>UART4_TX</v>
      </c>
      <c r="D279" t="e">
        <f>IF(C279="GPIO","General-purpose input/output pin",IF(C279="","",INDEX('@Pin Component List記載'!$C$4:$G$299,MATCH(C279,'@Pin Component List記載'!$C$4:$C$299,0),5)))</f>
        <v>#N/A</v>
      </c>
    </row>
    <row r="280" spans="1:4">
      <c r="A280" t="s">
        <v>1362</v>
      </c>
      <c r="B280" t="str">
        <f t="shared" si="8"/>
        <v/>
      </c>
      <c r="C280" t="str">
        <f t="shared" si="9"/>
        <v>SPI7_SBT</v>
      </c>
      <c r="D280" t="e">
        <f>IF(C280="GPIO","General-purpose input/output pin",IF(C280="","",INDEX('@Pin Component List記載'!$C$4:$G$299,MATCH(C280,'@Pin Component List記載'!$C$4:$C$299,0),5)))</f>
        <v>#N/A</v>
      </c>
    </row>
    <row r="281" spans="1:4">
      <c r="A281" t="s">
        <v>1379</v>
      </c>
      <c r="B281" t="str">
        <f t="shared" si="8"/>
        <v/>
      </c>
      <c r="C281" t="str">
        <f t="shared" si="9"/>
        <v>IIC7_SCL</v>
      </c>
      <c r="D281" t="e">
        <f>IF(C281="GPIO","General-purpose input/output pin",IF(C281="","",INDEX('@Pin Component List記載'!$C$4:$G$299,MATCH(C281,'@Pin Component List記載'!$C$4:$C$299,0),5)))</f>
        <v>#N/A</v>
      </c>
    </row>
    <row r="282" spans="1:4">
      <c r="A282" t="s">
        <v>1370</v>
      </c>
      <c r="B282" t="str">
        <f t="shared" si="8"/>
        <v/>
      </c>
      <c r="C282" t="str">
        <f t="shared" si="9"/>
        <v>SPI7_SBO</v>
      </c>
      <c r="D282" t="e">
        <f>IF(C282="GPIO","General-purpose input/output pin",IF(C282="","",INDEX('@Pin Component List記載'!$C$4:$G$299,MATCH(C282,'@Pin Component List記載'!$C$4:$C$299,0),5)))</f>
        <v>#N/A</v>
      </c>
    </row>
    <row r="283" spans="1:4">
      <c r="A283" t="s">
        <v>1336</v>
      </c>
      <c r="B283" t="str">
        <f t="shared" si="8"/>
        <v/>
      </c>
      <c r="C283" t="str">
        <f t="shared" si="9"/>
        <v>UART7_TX</v>
      </c>
      <c r="D283" t="e">
        <f>IF(C283="GPIO","General-purpose input/output pin",IF(C283="","",INDEX('@Pin Component List記載'!$C$4:$G$299,MATCH(C283,'@Pin Component List記載'!$C$4:$C$299,0),5)))</f>
        <v>#N/A</v>
      </c>
    </row>
    <row r="284" spans="1:4">
      <c r="A284" t="s">
        <v>1377</v>
      </c>
      <c r="B284" t="str">
        <f t="shared" si="8"/>
        <v/>
      </c>
      <c r="C284" t="str">
        <f t="shared" si="9"/>
        <v>IIC7_SDA</v>
      </c>
      <c r="D284" t="e">
        <f>IF(C284="GPIO","General-purpose input/output pin",IF(C284="","",INDEX('@Pin Component List記載'!$C$4:$G$299,MATCH(C284,'@Pin Component List記載'!$C$4:$C$299,0),5)))</f>
        <v>#N/A</v>
      </c>
    </row>
    <row r="285" spans="1:4">
      <c r="B285" t="str">
        <f t="shared" si="8"/>
        <v/>
      </c>
      <c r="C285" t="str">
        <f t="shared" si="9"/>
        <v/>
      </c>
      <c r="D285" t="str">
        <f>IF(C285="GPIO","General-purpose input/output pin",IF(C285="","",INDEX('@Pin Component List記載'!$C$4:$G$299,MATCH(C285,'@Pin Component List記載'!$C$4:$C$299,0),5)))</f>
        <v/>
      </c>
    </row>
    <row r="286" spans="1:4">
      <c r="A286" t="s">
        <v>1160</v>
      </c>
      <c r="B286" t="str">
        <f t="shared" si="8"/>
        <v>/*!&lt; General-purpose input/output pin. \hideinitializer */</v>
      </c>
      <c r="C286" t="str">
        <f t="shared" si="9"/>
        <v>GPIO</v>
      </c>
      <c r="D286" t="str">
        <f>IF(C286="GPIO","General-purpose input/output pin",IF(C286="","",INDEX('@Pin Component List記載'!$C$4:$G$299,MATCH(C286,'@Pin Component List記載'!$C$4:$C$299,0),5)))</f>
        <v>General-purpose input/output pin</v>
      </c>
    </row>
    <row r="287" spans="1:4">
      <c r="A287" t="s">
        <v>1235</v>
      </c>
      <c r="B287" t="str">
        <f t="shared" si="8"/>
        <v>/*!&lt; Timer 4 input/output pin B. \hideinitializer */</v>
      </c>
      <c r="C287" t="str">
        <f t="shared" si="9"/>
        <v>TM04B</v>
      </c>
      <c r="D287" t="str">
        <f>IF(C287="GPIO","General-purpose input/output pin",IF(C287="","",INDEX('@Pin Component List記載'!$C$4:$G$299,MATCH(C287,'@Pin Component List記載'!$C$4:$C$299,0),5)))</f>
        <v>Timer 4 input/output pin B</v>
      </c>
    </row>
    <row r="288" spans="1:4">
      <c r="A288" t="s">
        <v>1236</v>
      </c>
      <c r="B288" t="str">
        <f t="shared" si="8"/>
        <v/>
      </c>
      <c r="C288" t="str">
        <f t="shared" si="9"/>
        <v>GPWM8_GPWMST8</v>
      </c>
      <c r="D288" t="e">
        <f>IF(C288="GPIO","General-purpose input/output pin",IF(C288="","",INDEX('@Pin Component List記載'!$C$4:$G$299,MATCH(C288,'@Pin Component List記載'!$C$4:$C$299,0),5)))</f>
        <v>#N/A</v>
      </c>
    </row>
    <row r="289" spans="1:4">
      <c r="A289" t="s">
        <v>1381</v>
      </c>
      <c r="B289" t="str">
        <f t="shared" si="8"/>
        <v/>
      </c>
      <c r="C289" t="str">
        <f t="shared" si="9"/>
        <v>SPI4_SBCS</v>
      </c>
      <c r="D289" t="e">
        <f>IF(C289="GPIO","General-purpose input/output pin",IF(C289="","",INDEX('@Pin Component List記載'!$C$4:$G$299,MATCH(C289,'@Pin Component List記載'!$C$4:$C$299,0),5)))</f>
        <v>#N/A</v>
      </c>
    </row>
    <row r="290" spans="1:4">
      <c r="A290" t="s">
        <v>1382</v>
      </c>
      <c r="B290" t="str">
        <f t="shared" si="8"/>
        <v/>
      </c>
      <c r="C290" t="str">
        <f t="shared" si="9"/>
        <v>SPI7_SBCS</v>
      </c>
      <c r="D290" t="e">
        <f>IF(C290="GPIO","General-purpose input/output pin",IF(C290="","",INDEX('@Pin Component List記載'!$C$4:$G$299,MATCH(C290,'@Pin Component List記載'!$C$4:$C$299,0),5)))</f>
        <v>#N/A</v>
      </c>
    </row>
    <row r="291" spans="1:4">
      <c r="B291" t="str">
        <f t="shared" si="8"/>
        <v/>
      </c>
      <c r="C291" t="str">
        <f t="shared" si="9"/>
        <v/>
      </c>
      <c r="D291" t="str">
        <f>IF(C291="GPIO","General-purpose input/output pin",IF(C291="","",INDEX('@Pin Component List記載'!$C$4:$G$299,MATCH(C291,'@Pin Component List記載'!$C$4:$C$299,0),5)))</f>
        <v/>
      </c>
    </row>
    <row r="292" spans="1:4">
      <c r="A292" t="s">
        <v>1160</v>
      </c>
      <c r="B292" t="str">
        <f t="shared" si="8"/>
        <v>/*!&lt; General-purpose input/output pin. \hideinitializer */</v>
      </c>
      <c r="C292" t="str">
        <f t="shared" si="9"/>
        <v>GPIO</v>
      </c>
      <c r="D292" t="str">
        <f>IF(C292="GPIO","General-purpose input/output pin",IF(C292="","",INDEX('@Pin Component List記載'!$C$4:$G$299,MATCH(C292,'@Pin Component List記載'!$C$4:$C$299,0),5)))</f>
        <v>General-purpose input/output pin</v>
      </c>
    </row>
    <row r="293" spans="1:4">
      <c r="A293" t="s">
        <v>1237</v>
      </c>
      <c r="B293" t="str">
        <f t="shared" si="8"/>
        <v>/*!&lt; Timer 5 input/output pin A. \hideinitializer */</v>
      </c>
      <c r="C293" t="str">
        <f t="shared" si="9"/>
        <v>TM05A</v>
      </c>
      <c r="D293" t="str">
        <f>IF(C293="GPIO","General-purpose input/output pin",IF(C293="","",INDEX('@Pin Component List記載'!$C$4:$G$299,MATCH(C293,'@Pin Component List記載'!$C$4:$C$299,0),5)))</f>
        <v>Timer 5 input/output pin A</v>
      </c>
    </row>
    <row r="294" spans="1:4">
      <c r="B294" t="str">
        <f t="shared" si="8"/>
        <v/>
      </c>
      <c r="C294" t="str">
        <f t="shared" si="9"/>
        <v/>
      </c>
      <c r="D294" t="str">
        <f>IF(C294="GPIO","General-purpose input/output pin",IF(C294="","",INDEX('@Pin Component List記載'!$C$4:$G$299,MATCH(C294,'@Pin Component List記載'!$C$4:$C$299,0),5)))</f>
        <v/>
      </c>
    </row>
    <row r="295" spans="1:4">
      <c r="A295" t="s">
        <v>1160</v>
      </c>
      <c r="B295" t="str">
        <f t="shared" si="8"/>
        <v>/*!&lt; General-purpose input/output pin. \hideinitializer */</v>
      </c>
      <c r="C295" t="str">
        <f t="shared" si="9"/>
        <v>GPIO</v>
      </c>
      <c r="D295" t="str">
        <f>IF(C295="GPIO","General-purpose input/output pin",IF(C295="","",INDEX('@Pin Component List記載'!$C$4:$G$299,MATCH(C295,'@Pin Component List記載'!$C$4:$C$299,0),5)))</f>
        <v>General-purpose input/output pin</v>
      </c>
    </row>
    <row r="296" spans="1:4">
      <c r="A296" t="s">
        <v>1238</v>
      </c>
      <c r="B296" t="str">
        <f t="shared" si="8"/>
        <v>/*!&lt; Timer 5 input/output pin B. \hideinitializer */</v>
      </c>
      <c r="C296" t="str">
        <f t="shared" si="9"/>
        <v>TM05B</v>
      </c>
      <c r="D296" t="str">
        <f>IF(C296="GPIO","General-purpose input/output pin",IF(C296="","",INDEX('@Pin Component List記載'!$C$4:$G$299,MATCH(C296,'@Pin Component List記載'!$C$4:$C$299,0),5)))</f>
        <v>Timer 5 input/output pin B</v>
      </c>
    </row>
    <row r="297" spans="1:4">
      <c r="B297" t="str">
        <f t="shared" si="8"/>
        <v/>
      </c>
      <c r="C297" t="str">
        <f t="shared" si="9"/>
        <v/>
      </c>
      <c r="D297" t="str">
        <f>IF(C297="GPIO","General-purpose input/output pin",IF(C297="","",INDEX('@Pin Component List記載'!$C$4:$G$299,MATCH(C297,'@Pin Component List記載'!$C$4:$C$299,0),5)))</f>
        <v/>
      </c>
    </row>
    <row r="298" spans="1:4">
      <c r="A298" t="s">
        <v>1160</v>
      </c>
      <c r="B298" t="str">
        <f t="shared" si="8"/>
        <v>/*!&lt; General-purpose input/output pin. \hideinitializer */</v>
      </c>
      <c r="C298" t="str">
        <f t="shared" si="9"/>
        <v>GPIO</v>
      </c>
      <c r="D298" t="str">
        <f>IF(C298="GPIO","General-purpose input/output pin",IF(C298="","",INDEX('@Pin Component List記載'!$C$4:$G$299,MATCH(C298,'@Pin Component List記載'!$C$4:$C$299,0),5)))</f>
        <v>General-purpose input/output pin</v>
      </c>
    </row>
    <row r="299" spans="1:4">
      <c r="B299" t="str">
        <f t="shared" si="8"/>
        <v/>
      </c>
      <c r="C299" t="str">
        <f t="shared" si="9"/>
        <v/>
      </c>
      <c r="D299" t="str">
        <f>IF(C299="GPIO","General-purpose input/output pin",IF(C299="","",INDEX('@Pin Component List記載'!$C$4:$G$299,MATCH(C299,'@Pin Component List記載'!$C$4:$C$299,0),5)))</f>
        <v/>
      </c>
    </row>
    <row r="300" spans="1:4">
      <c r="A300" t="s">
        <v>1160</v>
      </c>
      <c r="B300" t="str">
        <f t="shared" si="8"/>
        <v>/*!&lt; General-purpose input/output pin. \hideinitializer */</v>
      </c>
      <c r="C300" t="str">
        <f t="shared" si="9"/>
        <v>GPIO</v>
      </c>
      <c r="D300" t="str">
        <f>IF(C300="GPIO","General-purpose input/output pin",IF(C300="","",INDEX('@Pin Component List記載'!$C$4:$G$299,MATCH(C300,'@Pin Component List記載'!$C$4:$C$299,0),5)))</f>
        <v>General-purpose input/output pin</v>
      </c>
    </row>
    <row r="301" spans="1:4">
      <c r="B301" t="str">
        <f t="shared" si="8"/>
        <v/>
      </c>
      <c r="C301" t="str">
        <f t="shared" si="9"/>
        <v/>
      </c>
      <c r="D301" t="str">
        <f>IF(C301="GPIO","General-purpose input/output pin",IF(C301="","",INDEX('@Pin Component List記載'!$C$4:$G$299,MATCH(C301,'@Pin Component List記載'!$C$4:$C$299,0),5)))</f>
        <v/>
      </c>
    </row>
    <row r="302" spans="1:4">
      <c r="A302" t="s">
        <v>1177</v>
      </c>
      <c r="B302" t="str">
        <f t="shared" si="8"/>
        <v/>
      </c>
      <c r="C302" t="str">
        <f t="shared" si="9"/>
        <v>definitionof</v>
      </c>
      <c r="D302" t="e">
        <f>IF(C302="GPIO","General-purpose input/output pin",IF(C302="","",INDEX('@Pin Component List記載'!$C$4:$G$299,MATCH(C302,'@Pin Component List記載'!$C$4:$C$299,0),5)))</f>
        <v>#N/A</v>
      </c>
    </row>
    <row r="303" spans="1:4">
      <c r="A303" t="s">
        <v>1160</v>
      </c>
      <c r="B303" t="str">
        <f t="shared" si="8"/>
        <v>/*!&lt; General-purpose input/output pin. \hideinitializer */</v>
      </c>
      <c r="C303" t="str">
        <f t="shared" si="9"/>
        <v>GPIO</v>
      </c>
      <c r="D303" t="str">
        <f>IF(C303="GPIO","General-purpose input/output pin",IF(C303="","",INDEX('@Pin Component List記載'!$C$4:$G$299,MATCH(C303,'@Pin Component List記載'!$C$4:$C$299,0),5)))</f>
        <v>General-purpose input/output pin</v>
      </c>
    </row>
    <row r="304" spans="1:4">
      <c r="A304" t="s">
        <v>1239</v>
      </c>
      <c r="B304" t="str">
        <f t="shared" si="8"/>
        <v/>
      </c>
      <c r="C304" t="str">
        <f t="shared" si="9"/>
        <v>GPWM9_GPWM90</v>
      </c>
      <c r="D304" t="e">
        <f>IF(C304="GPIO","General-purpose input/output pin",IF(C304="","",INDEX('@Pin Component List記載'!$C$4:$G$299,MATCH(C304,'@Pin Component List記載'!$C$4:$C$299,0),5)))</f>
        <v>#N/A</v>
      </c>
    </row>
    <row r="305" spans="1:4">
      <c r="A305" t="s">
        <v>1240</v>
      </c>
      <c r="B305" t="str">
        <f t="shared" si="8"/>
        <v>/*!&lt; Timer 9 input/output pin A. \hideinitializer */</v>
      </c>
      <c r="C305" t="str">
        <f t="shared" si="9"/>
        <v>TM09A</v>
      </c>
      <c r="D305" t="str">
        <f>IF(C305="GPIO","General-purpose input/output pin",IF(C305="","",INDEX('@Pin Component List記載'!$C$4:$G$299,MATCH(C305,'@Pin Component List記載'!$C$4:$C$299,0),5)))</f>
        <v>Timer 9 input/output pin A</v>
      </c>
    </row>
    <row r="306" spans="1:4">
      <c r="B306" t="str">
        <f t="shared" si="8"/>
        <v/>
      </c>
      <c r="C306" t="str">
        <f t="shared" si="9"/>
        <v/>
      </c>
      <c r="D306" t="str">
        <f>IF(C306="GPIO","General-purpose input/output pin",IF(C306="","",INDEX('@Pin Component List記載'!$C$4:$G$299,MATCH(C306,'@Pin Component List記載'!$C$4:$C$299,0),5)))</f>
        <v/>
      </c>
    </row>
    <row r="307" spans="1:4">
      <c r="A307" t="s">
        <v>1160</v>
      </c>
      <c r="B307" t="str">
        <f t="shared" si="8"/>
        <v>/*!&lt; General-purpose input/output pin. \hideinitializer */</v>
      </c>
      <c r="C307" t="str">
        <f t="shared" si="9"/>
        <v>GPIO</v>
      </c>
      <c r="D307" t="str">
        <f>IF(C307="GPIO","General-purpose input/output pin",IF(C307="","",INDEX('@Pin Component List記載'!$C$4:$G$299,MATCH(C307,'@Pin Component List記載'!$C$4:$C$299,0),5)))</f>
        <v>General-purpose input/output pin</v>
      </c>
    </row>
    <row r="308" spans="1:4">
      <c r="A308" t="s">
        <v>1241</v>
      </c>
      <c r="B308" t="str">
        <f t="shared" si="8"/>
        <v/>
      </c>
      <c r="C308" t="str">
        <f t="shared" si="9"/>
        <v>GPWM9_GPWM91</v>
      </c>
      <c r="D308" t="e">
        <f>IF(C308="GPIO","General-purpose input/output pin",IF(C308="","",INDEX('@Pin Component List記載'!$C$4:$G$299,MATCH(C308,'@Pin Component List記載'!$C$4:$C$299,0),5)))</f>
        <v>#N/A</v>
      </c>
    </row>
    <row r="309" spans="1:4">
      <c r="A309" t="s">
        <v>1242</v>
      </c>
      <c r="B309" t="str">
        <f t="shared" si="8"/>
        <v>/*!&lt; Timer 9 input/output pin B. \hideinitializer */</v>
      </c>
      <c r="C309" t="str">
        <f t="shared" si="9"/>
        <v>TM09B</v>
      </c>
      <c r="D309" t="str">
        <f>IF(C309="GPIO","General-purpose input/output pin",IF(C309="","",INDEX('@Pin Component List記載'!$C$4:$G$299,MATCH(C309,'@Pin Component List記載'!$C$4:$C$299,0),5)))</f>
        <v>Timer 9 input/output pin B</v>
      </c>
    </row>
    <row r="310" spans="1:4">
      <c r="B310" t="str">
        <f t="shared" si="8"/>
        <v/>
      </c>
      <c r="C310" t="str">
        <f t="shared" si="9"/>
        <v/>
      </c>
      <c r="D310" t="str">
        <f>IF(C310="GPIO","General-purpose input/output pin",IF(C310="","",INDEX('@Pin Component List記載'!$C$4:$G$299,MATCH(C310,'@Pin Component List記載'!$C$4:$C$299,0),5)))</f>
        <v/>
      </c>
    </row>
    <row r="311" spans="1:4">
      <c r="A311" t="s">
        <v>1160</v>
      </c>
      <c r="B311" t="str">
        <f t="shared" si="8"/>
        <v>/*!&lt; General-purpose input/output pin. \hideinitializer */</v>
      </c>
      <c r="C311" t="str">
        <f t="shared" si="9"/>
        <v>GPIO</v>
      </c>
      <c r="D311" t="str">
        <f>IF(C311="GPIO","General-purpose input/output pin",IF(C311="","",INDEX('@Pin Component List記載'!$C$4:$G$299,MATCH(C311,'@Pin Component List記載'!$C$4:$C$299,0),5)))</f>
        <v>General-purpose input/output pin</v>
      </c>
    </row>
    <row r="312" spans="1:4">
      <c r="A312" t="s">
        <v>1243</v>
      </c>
      <c r="B312" t="str">
        <f t="shared" si="8"/>
        <v/>
      </c>
      <c r="C312" t="str">
        <f t="shared" si="9"/>
        <v>GPWMA_GPWMA0</v>
      </c>
      <c r="D312" t="e">
        <f>IF(C312="GPIO","General-purpose input/output pin",IF(C312="","",INDEX('@Pin Component List記載'!$C$4:$G$299,MATCH(C312,'@Pin Component List記載'!$C$4:$C$299,0),5)))</f>
        <v>#N/A</v>
      </c>
    </row>
    <row r="313" spans="1:4">
      <c r="A313" t="s">
        <v>1244</v>
      </c>
      <c r="B313" t="str">
        <f t="shared" si="8"/>
        <v>/*!&lt; Timer 10 input/output pin A. \hideinitializer */</v>
      </c>
      <c r="C313" t="str">
        <f t="shared" si="9"/>
        <v>TM10A</v>
      </c>
      <c r="D313" t="str">
        <f>IF(C313="GPIO","General-purpose input/output pin",IF(C313="","",INDEX('@Pin Component List記載'!$C$4:$G$299,MATCH(C313,'@Pin Component List記載'!$C$4:$C$299,0),5)))</f>
        <v>Timer 10 input/output pin A</v>
      </c>
    </row>
    <row r="314" spans="1:4">
      <c r="B314" t="str">
        <f t="shared" si="8"/>
        <v/>
      </c>
      <c r="C314" t="str">
        <f t="shared" si="9"/>
        <v/>
      </c>
      <c r="D314" t="str">
        <f>IF(C314="GPIO","General-purpose input/output pin",IF(C314="","",INDEX('@Pin Component List記載'!$C$4:$G$299,MATCH(C314,'@Pin Component List記載'!$C$4:$C$299,0),5)))</f>
        <v/>
      </c>
    </row>
    <row r="315" spans="1:4">
      <c r="A315" t="s">
        <v>1160</v>
      </c>
      <c r="B315" t="str">
        <f t="shared" si="8"/>
        <v>/*!&lt; General-purpose input/output pin. \hideinitializer */</v>
      </c>
      <c r="C315" t="str">
        <f t="shared" si="9"/>
        <v>GPIO</v>
      </c>
      <c r="D315" t="str">
        <f>IF(C315="GPIO","General-purpose input/output pin",IF(C315="","",INDEX('@Pin Component List記載'!$C$4:$G$299,MATCH(C315,'@Pin Component List記載'!$C$4:$C$299,0),5)))</f>
        <v>General-purpose input/output pin</v>
      </c>
    </row>
    <row r="316" spans="1:4">
      <c r="A316" t="s">
        <v>1245</v>
      </c>
      <c r="B316" t="str">
        <f t="shared" si="8"/>
        <v/>
      </c>
      <c r="C316" t="str">
        <f t="shared" si="9"/>
        <v>GPWMA_GPWMA1</v>
      </c>
      <c r="D316" t="e">
        <f>IF(C316="GPIO","General-purpose input/output pin",IF(C316="","",INDEX('@Pin Component List記載'!$C$4:$G$299,MATCH(C316,'@Pin Component List記載'!$C$4:$C$299,0),5)))</f>
        <v>#N/A</v>
      </c>
    </row>
    <row r="317" spans="1:4">
      <c r="A317" t="s">
        <v>1246</v>
      </c>
      <c r="B317" t="str">
        <f t="shared" si="8"/>
        <v>/*!&lt; Timer 10 input/output pin B. \hideinitializer */</v>
      </c>
      <c r="C317" t="str">
        <f t="shared" si="9"/>
        <v>TM10B</v>
      </c>
      <c r="D317" t="str">
        <f>IF(C317="GPIO","General-purpose input/output pin",IF(C317="","",INDEX('@Pin Component List記載'!$C$4:$G$299,MATCH(C317,'@Pin Component List記載'!$C$4:$C$299,0),5)))</f>
        <v>Timer 10 input/output pin B</v>
      </c>
    </row>
    <row r="318" spans="1:4">
      <c r="B318" t="str">
        <f t="shared" si="8"/>
        <v/>
      </c>
      <c r="C318" t="str">
        <f t="shared" si="9"/>
        <v/>
      </c>
      <c r="D318" t="str">
        <f>IF(C318="GPIO","General-purpose input/output pin",IF(C318="","",INDEX('@Pin Component List記載'!$C$4:$G$299,MATCH(C318,'@Pin Component List記載'!$C$4:$C$299,0),5)))</f>
        <v/>
      </c>
    </row>
    <row r="319" spans="1:4">
      <c r="A319" t="s">
        <v>1160</v>
      </c>
      <c r="B319" t="str">
        <f t="shared" si="8"/>
        <v>/*!&lt; General-purpose input/output pin. \hideinitializer */</v>
      </c>
      <c r="C319" t="str">
        <f t="shared" si="9"/>
        <v>GPIO</v>
      </c>
      <c r="D319" t="str">
        <f>IF(C319="GPIO","General-purpose input/output pin",IF(C319="","",INDEX('@Pin Component List記載'!$C$4:$G$299,MATCH(C319,'@Pin Component List記載'!$C$4:$C$299,0),5)))</f>
        <v>General-purpose input/output pin</v>
      </c>
    </row>
    <row r="320" spans="1:4">
      <c r="A320" t="s">
        <v>1247</v>
      </c>
      <c r="B320" t="str">
        <f t="shared" si="8"/>
        <v>/*!&lt; Timer 11 input/output pin A. \hideinitializer */</v>
      </c>
      <c r="C320" t="str">
        <f t="shared" si="9"/>
        <v>TM11A</v>
      </c>
      <c r="D320" t="str">
        <f>IF(C320="GPIO","General-purpose input/output pin",IF(C320="","",INDEX('@Pin Component List記載'!$C$4:$G$299,MATCH(C320,'@Pin Component List記載'!$C$4:$C$299,0),5)))</f>
        <v>Timer 11 input/output pin A</v>
      </c>
    </row>
    <row r="321" spans="1:4">
      <c r="A321" t="s">
        <v>1248</v>
      </c>
      <c r="B321" t="str">
        <f t="shared" ref="B321:B384" si="10">IFERROR(IF(D321="","","/*!&lt; "&amp;D321&amp;". \hideinitializer */"),"")</f>
        <v/>
      </c>
      <c r="C321" t="str">
        <f t="shared" si="9"/>
        <v>GPWM3_GPWMST3</v>
      </c>
      <c r="D321" t="e">
        <f>IF(C321="GPIO","General-purpose input/output pin",IF(C321="","",INDEX('@Pin Component List記載'!$C$4:$G$299,MATCH(C321,'@Pin Component List記載'!$C$4:$C$299,0),5)))</f>
        <v>#N/A</v>
      </c>
    </row>
    <row r="322" spans="1:4">
      <c r="B322" t="str">
        <f t="shared" si="10"/>
        <v/>
      </c>
      <c r="C322" t="str">
        <f t="shared" si="9"/>
        <v/>
      </c>
      <c r="D322" t="str">
        <f>IF(C322="GPIO","General-purpose input/output pin",IF(C322="","",INDEX('@Pin Component List記載'!$C$4:$G$299,MATCH(C322,'@Pin Component List記載'!$C$4:$C$299,0),5)))</f>
        <v/>
      </c>
    </row>
    <row r="323" spans="1:4">
      <c r="A323" t="s">
        <v>1160</v>
      </c>
      <c r="B323" t="str">
        <f t="shared" si="10"/>
        <v>/*!&lt; General-purpose input/output pin. \hideinitializer */</v>
      </c>
      <c r="C323" t="str">
        <f t="shared" ref="C323:C386" si="11">SUBSTITUTE(A323," ","")</f>
        <v>GPIO</v>
      </c>
      <c r="D323" t="str">
        <f>IF(C323="GPIO","General-purpose input/output pin",IF(C323="","",INDEX('@Pin Component List記載'!$C$4:$G$299,MATCH(C323,'@Pin Component List記載'!$C$4:$C$299,0),5)))</f>
        <v>General-purpose input/output pin</v>
      </c>
    </row>
    <row r="324" spans="1:4">
      <c r="A324" t="s">
        <v>1249</v>
      </c>
      <c r="B324" t="str">
        <f t="shared" si="10"/>
        <v>/*!&lt; Timer 11 input/output pin B. \hideinitializer */</v>
      </c>
      <c r="C324" t="str">
        <f t="shared" si="11"/>
        <v>TM11B</v>
      </c>
      <c r="D324" t="str">
        <f>IF(C324="GPIO","General-purpose input/output pin",IF(C324="","",INDEX('@Pin Component List記載'!$C$4:$G$299,MATCH(C324,'@Pin Component List記載'!$C$4:$C$299,0),5)))</f>
        <v>Timer 11 input/output pin B</v>
      </c>
    </row>
    <row r="325" spans="1:4">
      <c r="A325" t="s">
        <v>1250</v>
      </c>
      <c r="B325" t="str">
        <f t="shared" si="10"/>
        <v/>
      </c>
      <c r="C325" t="str">
        <f t="shared" si="11"/>
        <v>GPWM4_GPWMST4</v>
      </c>
      <c r="D325" t="e">
        <f>IF(C325="GPIO","General-purpose input/output pin",IF(C325="","",INDEX('@Pin Component List記載'!$C$4:$G$299,MATCH(C325,'@Pin Component List記載'!$C$4:$C$299,0),5)))</f>
        <v>#N/A</v>
      </c>
    </row>
    <row r="326" spans="1:4">
      <c r="B326" t="str">
        <f t="shared" si="10"/>
        <v/>
      </c>
      <c r="C326" t="str">
        <f t="shared" si="11"/>
        <v/>
      </c>
      <c r="D326" t="str">
        <f>IF(C326="GPIO","General-purpose input/output pin",IF(C326="","",INDEX('@Pin Component List記載'!$C$4:$G$299,MATCH(C326,'@Pin Component List記載'!$C$4:$C$299,0),5)))</f>
        <v/>
      </c>
    </row>
    <row r="327" spans="1:4">
      <c r="A327" t="s">
        <v>1160</v>
      </c>
      <c r="B327" t="str">
        <f t="shared" si="10"/>
        <v>/*!&lt; General-purpose input/output pin. \hideinitializer */</v>
      </c>
      <c r="C327" t="str">
        <f t="shared" si="11"/>
        <v>GPIO</v>
      </c>
      <c r="D327" t="str">
        <f>IF(C327="GPIO","General-purpose input/output pin",IF(C327="","",INDEX('@Pin Component List記載'!$C$4:$G$299,MATCH(C327,'@Pin Component List記載'!$C$4:$C$299,0),5)))</f>
        <v>General-purpose input/output pin</v>
      </c>
    </row>
    <row r="328" spans="1:4">
      <c r="B328" t="str">
        <f t="shared" si="10"/>
        <v/>
      </c>
      <c r="C328" t="str">
        <f t="shared" si="11"/>
        <v/>
      </c>
      <c r="D328" t="str">
        <f>IF(C328="GPIO","General-purpose input/output pin",IF(C328="","",INDEX('@Pin Component List記載'!$C$4:$G$299,MATCH(C328,'@Pin Component List記載'!$C$4:$C$299,0),5)))</f>
        <v/>
      </c>
    </row>
    <row r="329" spans="1:4">
      <c r="A329" t="s">
        <v>1160</v>
      </c>
      <c r="B329" t="str">
        <f t="shared" si="10"/>
        <v>/*!&lt; General-purpose input/output pin. \hideinitializer */</v>
      </c>
      <c r="C329" t="str">
        <f t="shared" si="11"/>
        <v>GPIO</v>
      </c>
      <c r="D329" t="str">
        <f>IF(C329="GPIO","General-purpose input/output pin",IF(C329="","",INDEX('@Pin Component List記載'!$C$4:$G$299,MATCH(C329,'@Pin Component List記載'!$C$4:$C$299,0),5)))</f>
        <v>General-purpose input/output pin</v>
      </c>
    </row>
    <row r="330" spans="1:4">
      <c r="B330" t="str">
        <f t="shared" si="10"/>
        <v/>
      </c>
      <c r="C330" t="str">
        <f t="shared" si="11"/>
        <v/>
      </c>
      <c r="D330" t="str">
        <f>IF(C330="GPIO","General-purpose input/output pin",IF(C330="","",INDEX('@Pin Component List記載'!$C$4:$G$299,MATCH(C330,'@Pin Component List記載'!$C$4:$C$299,0),5)))</f>
        <v/>
      </c>
    </row>
    <row r="331" spans="1:4">
      <c r="A331" t="s">
        <v>1177</v>
      </c>
      <c r="B331" t="str">
        <f t="shared" si="10"/>
        <v/>
      </c>
      <c r="C331" t="str">
        <f t="shared" si="11"/>
        <v>definitionof</v>
      </c>
      <c r="D331" t="e">
        <f>IF(C331="GPIO","General-purpose input/output pin",IF(C331="","",INDEX('@Pin Component List記載'!$C$4:$G$299,MATCH(C331,'@Pin Component List記載'!$C$4:$C$299,0),5)))</f>
        <v>#N/A</v>
      </c>
    </row>
    <row r="332" spans="1:4">
      <c r="A332" t="s">
        <v>1160</v>
      </c>
      <c r="B332" t="str">
        <f t="shared" si="10"/>
        <v>/*!&lt; General-purpose input/output pin. \hideinitializer */</v>
      </c>
      <c r="C332" t="str">
        <f t="shared" si="11"/>
        <v>GPIO</v>
      </c>
      <c r="D332" t="str">
        <f>IF(C332="GPIO","General-purpose input/output pin",IF(C332="","",INDEX('@Pin Component List記載'!$C$4:$G$299,MATCH(C332,'@Pin Component List記載'!$C$4:$C$299,0),5)))</f>
        <v>General-purpose input/output pin</v>
      </c>
    </row>
    <row r="333" spans="1:4">
      <c r="A333" t="s">
        <v>1251</v>
      </c>
      <c r="B333" t="str">
        <f t="shared" si="10"/>
        <v>/*!&lt; GPWM00 high-resolution output pin. \hideinitializer */</v>
      </c>
      <c r="C333" t="str">
        <f t="shared" si="11"/>
        <v>GPWM0_GPWMH00</v>
      </c>
      <c r="D333" t="str">
        <f>IF(C333="GPIO","General-purpose input/output pin",IF(C333="","",INDEX('@Pin Component List記載'!$C$4:$G$299,MATCH(C333,'@Pin Component List記載'!$C$4:$C$299,0),5)))</f>
        <v>GPWM00 high-resolution output pin</v>
      </c>
    </row>
    <row r="334" spans="1:4">
      <c r="A334" t="s">
        <v>1252</v>
      </c>
      <c r="B334" t="str">
        <f t="shared" si="10"/>
        <v>/*!&lt; GPWM00 output pin. \hideinitializer */</v>
      </c>
      <c r="C334" t="str">
        <f t="shared" si="11"/>
        <v>GPWM0_GPWM00</v>
      </c>
      <c r="D334" t="str">
        <f>IF(C334="GPIO","General-purpose input/output pin",IF(C334="","",INDEX('@Pin Component List記載'!$C$4:$G$299,MATCH(C334,'@Pin Component List記載'!$C$4:$C$299,0),5)))</f>
        <v>GPWM00 output pin</v>
      </c>
    </row>
    <row r="335" spans="1:4">
      <c r="B335" t="str">
        <f t="shared" si="10"/>
        <v/>
      </c>
      <c r="C335" t="str">
        <f t="shared" si="11"/>
        <v/>
      </c>
      <c r="D335" t="str">
        <f>IF(C335="GPIO","General-purpose input/output pin",IF(C335="","",INDEX('@Pin Component List記載'!$C$4:$G$299,MATCH(C335,'@Pin Component List記載'!$C$4:$C$299,0),5)))</f>
        <v/>
      </c>
    </row>
    <row r="336" spans="1:4">
      <c r="A336" t="s">
        <v>1160</v>
      </c>
      <c r="B336" t="str">
        <f t="shared" si="10"/>
        <v>/*!&lt; General-purpose input/output pin. \hideinitializer */</v>
      </c>
      <c r="C336" t="str">
        <f t="shared" si="11"/>
        <v>GPIO</v>
      </c>
      <c r="D336" t="str">
        <f>IF(C336="GPIO","General-purpose input/output pin",IF(C336="","",INDEX('@Pin Component List記載'!$C$4:$G$299,MATCH(C336,'@Pin Component List記載'!$C$4:$C$299,0),5)))</f>
        <v>General-purpose input/output pin</v>
      </c>
    </row>
    <row r="337" spans="1:4">
      <c r="A337" t="s">
        <v>1253</v>
      </c>
      <c r="B337" t="str">
        <f t="shared" si="10"/>
        <v>/*!&lt; GPWM01 high-resolution output pin. \hideinitializer */</v>
      </c>
      <c r="C337" t="str">
        <f t="shared" si="11"/>
        <v>GPWM0_GPWMH01</v>
      </c>
      <c r="D337" t="str">
        <f>IF(C337="GPIO","General-purpose input/output pin",IF(C337="","",INDEX('@Pin Component List記載'!$C$4:$G$299,MATCH(C337,'@Pin Component List記載'!$C$4:$C$299,0),5)))</f>
        <v>GPWM01 high-resolution output pin</v>
      </c>
    </row>
    <row r="338" spans="1:4">
      <c r="A338" t="s">
        <v>1254</v>
      </c>
      <c r="B338" t="str">
        <f t="shared" si="10"/>
        <v>/*!&lt; GPWM01 output pin. \hideinitializer */</v>
      </c>
      <c r="C338" t="str">
        <f t="shared" si="11"/>
        <v>GPWM0_GPWM01</v>
      </c>
      <c r="D338" t="str">
        <f>IF(C338="GPIO","General-purpose input/output pin",IF(C338="","",INDEX('@Pin Component List記載'!$C$4:$G$299,MATCH(C338,'@Pin Component List記載'!$C$4:$C$299,0),5)))</f>
        <v>GPWM01 output pin</v>
      </c>
    </row>
    <row r="339" spans="1:4">
      <c r="B339" t="str">
        <f t="shared" si="10"/>
        <v/>
      </c>
      <c r="C339" t="str">
        <f t="shared" si="11"/>
        <v/>
      </c>
      <c r="D339" t="str">
        <f>IF(C339="GPIO","General-purpose input/output pin",IF(C339="","",INDEX('@Pin Component List記載'!$C$4:$G$299,MATCH(C339,'@Pin Component List記載'!$C$4:$C$299,0),5)))</f>
        <v/>
      </c>
    </row>
    <row r="340" spans="1:4">
      <c r="A340" t="s">
        <v>1160</v>
      </c>
      <c r="B340" t="str">
        <f t="shared" si="10"/>
        <v>/*!&lt; General-purpose input/output pin. \hideinitializer */</v>
      </c>
      <c r="C340" t="str">
        <f t="shared" si="11"/>
        <v>GPIO</v>
      </c>
      <c r="D340" t="str">
        <f>IF(C340="GPIO","General-purpose input/output pin",IF(C340="","",INDEX('@Pin Component List記載'!$C$4:$G$299,MATCH(C340,'@Pin Component List記載'!$C$4:$C$299,0),5)))</f>
        <v>General-purpose input/output pin</v>
      </c>
    </row>
    <row r="341" spans="1:4">
      <c r="A341" t="s">
        <v>1255</v>
      </c>
      <c r="B341" t="str">
        <f t="shared" si="10"/>
        <v>/*!&lt; GPWM10 high-resolution output pin. \hideinitializer */</v>
      </c>
      <c r="C341" t="str">
        <f t="shared" si="11"/>
        <v>GPWM1_GPWMH10</v>
      </c>
      <c r="D341" t="str">
        <f>IF(C341="GPIO","General-purpose input/output pin",IF(C341="","",INDEX('@Pin Component List記載'!$C$4:$G$299,MATCH(C341,'@Pin Component List記載'!$C$4:$C$299,0),5)))</f>
        <v>GPWM10 high-resolution output pin</v>
      </c>
    </row>
    <row r="342" spans="1:4">
      <c r="A342" t="s">
        <v>1256</v>
      </c>
      <c r="B342" t="str">
        <f t="shared" si="10"/>
        <v>/*!&lt; GPWM10 output pin. \hideinitializer */</v>
      </c>
      <c r="C342" t="str">
        <f t="shared" si="11"/>
        <v>GPWM1_GPWM10</v>
      </c>
      <c r="D342" t="str">
        <f>IF(C342="GPIO","General-purpose input/output pin",IF(C342="","",INDEX('@Pin Component List記載'!$C$4:$G$299,MATCH(C342,'@Pin Component List記載'!$C$4:$C$299,0),5)))</f>
        <v>GPWM10 output pin</v>
      </c>
    </row>
    <row r="343" spans="1:4">
      <c r="B343" t="str">
        <f t="shared" si="10"/>
        <v/>
      </c>
      <c r="C343" t="str">
        <f t="shared" si="11"/>
        <v/>
      </c>
      <c r="D343" t="str">
        <f>IF(C343="GPIO","General-purpose input/output pin",IF(C343="","",INDEX('@Pin Component List記載'!$C$4:$G$299,MATCH(C343,'@Pin Component List記載'!$C$4:$C$299,0),5)))</f>
        <v/>
      </c>
    </row>
    <row r="344" spans="1:4">
      <c r="A344" t="s">
        <v>1160</v>
      </c>
      <c r="B344" t="str">
        <f t="shared" si="10"/>
        <v>/*!&lt; General-purpose input/output pin. \hideinitializer */</v>
      </c>
      <c r="C344" t="str">
        <f t="shared" si="11"/>
        <v>GPIO</v>
      </c>
      <c r="D344" t="str">
        <f>IF(C344="GPIO","General-purpose input/output pin",IF(C344="","",INDEX('@Pin Component List記載'!$C$4:$G$299,MATCH(C344,'@Pin Component List記載'!$C$4:$C$299,0),5)))</f>
        <v>General-purpose input/output pin</v>
      </c>
    </row>
    <row r="345" spans="1:4">
      <c r="A345" t="s">
        <v>1257</v>
      </c>
      <c r="B345" t="str">
        <f t="shared" si="10"/>
        <v>/*!&lt; GPWM11 high-resolution output pin. \hideinitializer */</v>
      </c>
      <c r="C345" t="str">
        <f t="shared" si="11"/>
        <v>GPWM1_GPWMH11</v>
      </c>
      <c r="D345" t="str">
        <f>IF(C345="GPIO","General-purpose input/output pin",IF(C345="","",INDEX('@Pin Component List記載'!$C$4:$G$299,MATCH(C345,'@Pin Component List記載'!$C$4:$C$299,0),5)))</f>
        <v>GPWM11 high-resolution output pin</v>
      </c>
    </row>
    <row r="346" spans="1:4">
      <c r="A346" t="s">
        <v>1258</v>
      </c>
      <c r="B346" t="str">
        <f t="shared" si="10"/>
        <v>/*!&lt; GPWM11 output pin. \hideinitializer */</v>
      </c>
      <c r="C346" t="str">
        <f t="shared" si="11"/>
        <v>GPWM1_GPWM11</v>
      </c>
      <c r="D346" t="str">
        <f>IF(C346="GPIO","General-purpose input/output pin",IF(C346="","",INDEX('@Pin Component List記載'!$C$4:$G$299,MATCH(C346,'@Pin Component List記載'!$C$4:$C$299,0),5)))</f>
        <v>GPWM11 output pin</v>
      </c>
    </row>
    <row r="347" spans="1:4">
      <c r="B347" t="str">
        <f t="shared" si="10"/>
        <v/>
      </c>
      <c r="C347" t="str">
        <f t="shared" si="11"/>
        <v/>
      </c>
      <c r="D347" t="str">
        <f>IF(C347="GPIO","General-purpose input/output pin",IF(C347="","",INDEX('@Pin Component List記載'!$C$4:$G$299,MATCH(C347,'@Pin Component List記載'!$C$4:$C$299,0),5)))</f>
        <v/>
      </c>
    </row>
    <row r="348" spans="1:4">
      <c r="A348" t="s">
        <v>1160</v>
      </c>
      <c r="B348" t="str">
        <f t="shared" si="10"/>
        <v>/*!&lt; General-purpose input/output pin. \hideinitializer */</v>
      </c>
      <c r="C348" t="str">
        <f t="shared" si="11"/>
        <v>GPIO</v>
      </c>
      <c r="D348" t="str">
        <f>IF(C348="GPIO","General-purpose input/output pin",IF(C348="","",INDEX('@Pin Component List記載'!$C$4:$G$299,MATCH(C348,'@Pin Component List記載'!$C$4:$C$299,0),5)))</f>
        <v>General-purpose input/output pin</v>
      </c>
    </row>
    <row r="349" spans="1:4">
      <c r="A349" t="s">
        <v>1259</v>
      </c>
      <c r="B349" t="str">
        <f t="shared" si="10"/>
        <v>/*!&lt; GPWM20 high-resolution output pin. \hideinitializer */</v>
      </c>
      <c r="C349" t="str">
        <f t="shared" si="11"/>
        <v>GPWM2_GPWMH20</v>
      </c>
      <c r="D349" t="str">
        <f>IF(C349="GPIO","General-purpose input/output pin",IF(C349="","",INDEX('@Pin Component List記載'!$C$4:$G$299,MATCH(C349,'@Pin Component List記載'!$C$4:$C$299,0),5)))</f>
        <v>GPWM20 high-resolution output pin</v>
      </c>
    </row>
    <row r="350" spans="1:4">
      <c r="A350" t="s">
        <v>1260</v>
      </c>
      <c r="B350" t="str">
        <f t="shared" si="10"/>
        <v>/*!&lt; GPWM20 output pin. \hideinitializer */</v>
      </c>
      <c r="C350" t="str">
        <f t="shared" si="11"/>
        <v>GPWM2_GPWM20</v>
      </c>
      <c r="D350" t="str">
        <f>IF(C350="GPIO","General-purpose input/output pin",IF(C350="","",INDEX('@Pin Component List記載'!$C$4:$G$299,MATCH(C350,'@Pin Component List記載'!$C$4:$C$299,0),5)))</f>
        <v>GPWM20 output pin</v>
      </c>
    </row>
    <row r="351" spans="1:4">
      <c r="B351" t="str">
        <f t="shared" si="10"/>
        <v/>
      </c>
      <c r="C351" t="str">
        <f t="shared" si="11"/>
        <v/>
      </c>
      <c r="D351" t="str">
        <f>IF(C351="GPIO","General-purpose input/output pin",IF(C351="","",INDEX('@Pin Component List記載'!$C$4:$G$299,MATCH(C351,'@Pin Component List記載'!$C$4:$C$299,0),5)))</f>
        <v/>
      </c>
    </row>
    <row r="352" spans="1:4">
      <c r="A352" t="s">
        <v>1160</v>
      </c>
      <c r="B352" t="str">
        <f t="shared" si="10"/>
        <v>/*!&lt; General-purpose input/output pin. \hideinitializer */</v>
      </c>
      <c r="C352" t="str">
        <f t="shared" si="11"/>
        <v>GPIO</v>
      </c>
      <c r="D352" t="str">
        <f>IF(C352="GPIO","General-purpose input/output pin",IF(C352="","",INDEX('@Pin Component List記載'!$C$4:$G$299,MATCH(C352,'@Pin Component List記載'!$C$4:$C$299,0),5)))</f>
        <v>General-purpose input/output pin</v>
      </c>
    </row>
    <row r="353" spans="1:4">
      <c r="A353" t="s">
        <v>1261</v>
      </c>
      <c r="B353" t="str">
        <f t="shared" si="10"/>
        <v>/*!&lt; GPWM21 high-resolution output pin. \hideinitializer */</v>
      </c>
      <c r="C353" t="str">
        <f t="shared" si="11"/>
        <v>GPWM2_GPWMH21</v>
      </c>
      <c r="D353" t="str">
        <f>IF(C353="GPIO","General-purpose input/output pin",IF(C353="","",INDEX('@Pin Component List記載'!$C$4:$G$299,MATCH(C353,'@Pin Component List記載'!$C$4:$C$299,0),5)))</f>
        <v>GPWM21 high-resolution output pin</v>
      </c>
    </row>
    <row r="354" spans="1:4">
      <c r="A354" t="s">
        <v>1262</v>
      </c>
      <c r="B354" t="str">
        <f t="shared" si="10"/>
        <v>/*!&lt; GPWM21 output pin. \hideinitializer */</v>
      </c>
      <c r="C354" t="str">
        <f t="shared" si="11"/>
        <v>GPWM2_GPWM21</v>
      </c>
      <c r="D354" t="str">
        <f>IF(C354="GPIO","General-purpose input/output pin",IF(C354="","",INDEX('@Pin Component List記載'!$C$4:$G$299,MATCH(C354,'@Pin Component List記載'!$C$4:$C$299,0),5)))</f>
        <v>GPWM21 output pin</v>
      </c>
    </row>
    <row r="355" spans="1:4">
      <c r="B355" t="str">
        <f t="shared" si="10"/>
        <v/>
      </c>
      <c r="C355" t="str">
        <f t="shared" si="11"/>
        <v/>
      </c>
      <c r="D355" t="str">
        <f>IF(C355="GPIO","General-purpose input/output pin",IF(C355="","",INDEX('@Pin Component List記載'!$C$4:$G$299,MATCH(C355,'@Pin Component List記載'!$C$4:$C$299,0),5)))</f>
        <v/>
      </c>
    </row>
    <row r="356" spans="1:4">
      <c r="A356" t="s">
        <v>1160</v>
      </c>
      <c r="B356" t="str">
        <f t="shared" si="10"/>
        <v>/*!&lt; General-purpose input/output pin. \hideinitializer */</v>
      </c>
      <c r="C356" t="str">
        <f t="shared" si="11"/>
        <v>GPIO</v>
      </c>
      <c r="D356" t="str">
        <f>IF(C356="GPIO","General-purpose input/output pin",IF(C356="","",INDEX('@Pin Component List記載'!$C$4:$G$299,MATCH(C356,'@Pin Component List記載'!$C$4:$C$299,0),5)))</f>
        <v>General-purpose input/output pin</v>
      </c>
    </row>
    <row r="357" spans="1:4">
      <c r="A357" t="s">
        <v>1263</v>
      </c>
      <c r="B357" t="str">
        <f t="shared" si="10"/>
        <v>/*!&lt; Timer 6 input/output pin A. \hideinitializer */</v>
      </c>
      <c r="C357" t="str">
        <f t="shared" si="11"/>
        <v>TM06A</v>
      </c>
      <c r="D357" t="str">
        <f>IF(C357="GPIO","General-purpose input/output pin",IF(C357="","",INDEX('@Pin Component List記載'!$C$4:$G$299,MATCH(C357,'@Pin Component List記載'!$C$4:$C$299,0),5)))</f>
        <v>Timer 6 input/output pin A</v>
      </c>
    </row>
    <row r="358" spans="1:4">
      <c r="B358" t="str">
        <f t="shared" si="10"/>
        <v/>
      </c>
      <c r="C358" t="str">
        <f t="shared" si="11"/>
        <v/>
      </c>
      <c r="D358" t="str">
        <f>IF(C358="GPIO","General-purpose input/output pin",IF(C358="","",INDEX('@Pin Component List記載'!$C$4:$G$299,MATCH(C358,'@Pin Component List記載'!$C$4:$C$299,0),5)))</f>
        <v/>
      </c>
    </row>
    <row r="359" spans="1:4">
      <c r="A359" t="s">
        <v>1160</v>
      </c>
      <c r="B359" t="str">
        <f t="shared" si="10"/>
        <v>/*!&lt; General-purpose input/output pin. \hideinitializer */</v>
      </c>
      <c r="C359" t="str">
        <f t="shared" si="11"/>
        <v>GPIO</v>
      </c>
      <c r="D359" t="str">
        <f>IF(C359="GPIO","General-purpose input/output pin",IF(C359="","",INDEX('@Pin Component List記載'!$C$4:$G$299,MATCH(C359,'@Pin Component List記載'!$C$4:$C$299,0),5)))</f>
        <v>General-purpose input/output pin</v>
      </c>
    </row>
    <row r="360" spans="1:4">
      <c r="A360" t="s">
        <v>1264</v>
      </c>
      <c r="B360" t="str">
        <f t="shared" si="10"/>
        <v>/*!&lt; Timer 6 input/output pin B. \hideinitializer */</v>
      </c>
      <c r="C360" t="str">
        <f t="shared" si="11"/>
        <v>TM06B</v>
      </c>
      <c r="D360" t="str">
        <f>IF(C360="GPIO","General-purpose input/output pin",IF(C360="","",INDEX('@Pin Component List記載'!$C$4:$G$299,MATCH(C360,'@Pin Component List記載'!$C$4:$C$299,0),5)))</f>
        <v>Timer 6 input/output pin B</v>
      </c>
    </row>
    <row r="361" spans="1:4">
      <c r="B361" t="str">
        <f t="shared" si="10"/>
        <v/>
      </c>
      <c r="C361" t="str">
        <f t="shared" si="11"/>
        <v/>
      </c>
      <c r="D361" t="str">
        <f>IF(C361="GPIO","General-purpose input/output pin",IF(C361="","",INDEX('@Pin Component List記載'!$C$4:$G$299,MATCH(C361,'@Pin Component List記載'!$C$4:$C$299,0),5)))</f>
        <v/>
      </c>
    </row>
    <row r="362" spans="1:4">
      <c r="A362" t="s">
        <v>1177</v>
      </c>
      <c r="B362" t="str">
        <f t="shared" si="10"/>
        <v/>
      </c>
      <c r="C362" t="str">
        <f t="shared" si="11"/>
        <v>definitionof</v>
      </c>
      <c r="D362" t="e">
        <f>IF(C362="GPIO","General-purpose input/output pin",IF(C362="","",INDEX('@Pin Component List記載'!$C$4:$G$299,MATCH(C362,'@Pin Component List記載'!$C$4:$C$299,0),5)))</f>
        <v>#N/A</v>
      </c>
    </row>
    <row r="363" spans="1:4">
      <c r="A363" t="s">
        <v>1160</v>
      </c>
      <c r="B363" t="str">
        <f t="shared" si="10"/>
        <v>/*!&lt; General-purpose input/output pin. \hideinitializer */</v>
      </c>
      <c r="C363" t="str">
        <f t="shared" si="11"/>
        <v>GPIO</v>
      </c>
      <c r="D363" t="str">
        <f>IF(C363="GPIO","General-purpose input/output pin",IF(C363="","",INDEX('@Pin Component List記載'!$C$4:$G$299,MATCH(C363,'@Pin Component List記載'!$C$4:$C$299,0),5)))</f>
        <v>General-purpose input/output pin</v>
      </c>
    </row>
    <row r="364" spans="1:4">
      <c r="A364" t="s">
        <v>1265</v>
      </c>
      <c r="B364" t="str">
        <f t="shared" si="10"/>
        <v>/*!&lt; GPWM30 high-resolution output pin. \hideinitializer */</v>
      </c>
      <c r="C364" t="str">
        <f t="shared" si="11"/>
        <v>GPWM3_GPWMH30</v>
      </c>
      <c r="D364" t="str">
        <f>IF(C364="GPIO","General-purpose input/output pin",IF(C364="","",INDEX('@Pin Component List記載'!$C$4:$G$299,MATCH(C364,'@Pin Component List記載'!$C$4:$C$299,0),5)))</f>
        <v>GPWM30 high-resolution output pin</v>
      </c>
    </row>
    <row r="365" spans="1:4">
      <c r="A365" t="s">
        <v>1266</v>
      </c>
      <c r="B365" t="str">
        <f t="shared" si="10"/>
        <v>/*!&lt; GPWM30 output pin. \hideinitializer */</v>
      </c>
      <c r="C365" t="str">
        <f t="shared" si="11"/>
        <v>GPWM3_GPWM30</v>
      </c>
      <c r="D365" t="str">
        <f>IF(C365="GPIO","General-purpose input/output pin",IF(C365="","",INDEX('@Pin Component List記載'!$C$4:$G$299,MATCH(C365,'@Pin Component List記載'!$C$4:$C$299,0),5)))</f>
        <v>GPWM30 output pin</v>
      </c>
    </row>
    <row r="366" spans="1:4">
      <c r="B366" t="str">
        <f t="shared" si="10"/>
        <v/>
      </c>
      <c r="C366" t="str">
        <f t="shared" si="11"/>
        <v/>
      </c>
      <c r="D366" t="str">
        <f>IF(C366="GPIO","General-purpose input/output pin",IF(C366="","",INDEX('@Pin Component List記載'!$C$4:$G$299,MATCH(C366,'@Pin Component List記載'!$C$4:$C$299,0),5)))</f>
        <v/>
      </c>
    </row>
    <row r="367" spans="1:4">
      <c r="A367" t="s">
        <v>1160</v>
      </c>
      <c r="B367" t="str">
        <f t="shared" si="10"/>
        <v>/*!&lt; General-purpose input/output pin. \hideinitializer */</v>
      </c>
      <c r="C367" t="str">
        <f t="shared" si="11"/>
        <v>GPIO</v>
      </c>
      <c r="D367" t="str">
        <f>IF(C367="GPIO","General-purpose input/output pin",IF(C367="","",INDEX('@Pin Component List記載'!$C$4:$G$299,MATCH(C367,'@Pin Component List記載'!$C$4:$C$299,0),5)))</f>
        <v>General-purpose input/output pin</v>
      </c>
    </row>
    <row r="368" spans="1:4">
      <c r="A368" t="s">
        <v>1267</v>
      </c>
      <c r="B368" t="str">
        <f t="shared" si="10"/>
        <v>/*!&lt; GPWM31 high-resolution output pin. \hideinitializer */</v>
      </c>
      <c r="C368" t="str">
        <f t="shared" si="11"/>
        <v>GPWM3_GPWMH31</v>
      </c>
      <c r="D368" t="str">
        <f>IF(C368="GPIO","General-purpose input/output pin",IF(C368="","",INDEX('@Pin Component List記載'!$C$4:$G$299,MATCH(C368,'@Pin Component List記載'!$C$4:$C$299,0),5)))</f>
        <v>GPWM31 high-resolution output pin</v>
      </c>
    </row>
    <row r="369" spans="1:4">
      <c r="A369" t="s">
        <v>1268</v>
      </c>
      <c r="B369" t="str">
        <f t="shared" si="10"/>
        <v>/*!&lt; GPWM31 output pin. \hideinitializer */</v>
      </c>
      <c r="C369" t="str">
        <f t="shared" si="11"/>
        <v>GPWM3_GPWM31</v>
      </c>
      <c r="D369" t="str">
        <f>IF(C369="GPIO","General-purpose input/output pin",IF(C369="","",INDEX('@Pin Component List記載'!$C$4:$G$299,MATCH(C369,'@Pin Component List記載'!$C$4:$C$299,0),5)))</f>
        <v>GPWM31 output pin</v>
      </c>
    </row>
    <row r="370" spans="1:4">
      <c r="B370" t="str">
        <f t="shared" si="10"/>
        <v/>
      </c>
      <c r="C370" t="str">
        <f t="shared" si="11"/>
        <v/>
      </c>
      <c r="D370" t="str">
        <f>IF(C370="GPIO","General-purpose input/output pin",IF(C370="","",INDEX('@Pin Component List記載'!$C$4:$G$299,MATCH(C370,'@Pin Component List記載'!$C$4:$C$299,0),5)))</f>
        <v/>
      </c>
    </row>
    <row r="371" spans="1:4">
      <c r="A371" t="s">
        <v>1160</v>
      </c>
      <c r="B371" t="str">
        <f t="shared" si="10"/>
        <v>/*!&lt; General-purpose input/output pin. \hideinitializer */</v>
      </c>
      <c r="C371" t="str">
        <f t="shared" si="11"/>
        <v>GPIO</v>
      </c>
      <c r="D371" t="str">
        <f>IF(C371="GPIO","General-purpose input/output pin",IF(C371="","",INDEX('@Pin Component List記載'!$C$4:$G$299,MATCH(C371,'@Pin Component List記載'!$C$4:$C$299,0),5)))</f>
        <v>General-purpose input/output pin</v>
      </c>
    </row>
    <row r="372" spans="1:4">
      <c r="A372" t="s">
        <v>1269</v>
      </c>
      <c r="B372" t="str">
        <f t="shared" si="10"/>
        <v>/*!&lt; GPWM40 high-resolution output pin. \hideinitializer */</v>
      </c>
      <c r="C372" t="str">
        <f t="shared" si="11"/>
        <v>GPWM4_GPWMH40</v>
      </c>
      <c r="D372" t="str">
        <f>IF(C372="GPIO","General-purpose input/output pin",IF(C372="","",INDEX('@Pin Component List記載'!$C$4:$G$299,MATCH(C372,'@Pin Component List記載'!$C$4:$C$299,0),5)))</f>
        <v>GPWM40 high-resolution output pin</v>
      </c>
    </row>
    <row r="373" spans="1:4">
      <c r="A373" t="s">
        <v>1270</v>
      </c>
      <c r="B373" t="str">
        <f t="shared" si="10"/>
        <v>/*!&lt; GPWM40 output pin. \hideinitializer */</v>
      </c>
      <c r="C373" t="str">
        <f t="shared" si="11"/>
        <v>GPWM4_GPWM40</v>
      </c>
      <c r="D373" t="str">
        <f>IF(C373="GPIO","General-purpose input/output pin",IF(C373="","",INDEX('@Pin Component List記載'!$C$4:$G$299,MATCH(C373,'@Pin Component List記載'!$C$4:$C$299,0),5)))</f>
        <v>GPWM40 output pin</v>
      </c>
    </row>
    <row r="374" spans="1:4">
      <c r="B374" t="str">
        <f t="shared" si="10"/>
        <v/>
      </c>
      <c r="C374" t="str">
        <f t="shared" si="11"/>
        <v/>
      </c>
      <c r="D374" t="str">
        <f>IF(C374="GPIO","General-purpose input/output pin",IF(C374="","",INDEX('@Pin Component List記載'!$C$4:$G$299,MATCH(C374,'@Pin Component List記載'!$C$4:$C$299,0),5)))</f>
        <v/>
      </c>
    </row>
    <row r="375" spans="1:4">
      <c r="A375" t="s">
        <v>1160</v>
      </c>
      <c r="B375" t="str">
        <f t="shared" si="10"/>
        <v>/*!&lt; General-purpose input/output pin. \hideinitializer */</v>
      </c>
      <c r="C375" t="str">
        <f t="shared" si="11"/>
        <v>GPIO</v>
      </c>
      <c r="D375" t="str">
        <f>IF(C375="GPIO","General-purpose input/output pin",IF(C375="","",INDEX('@Pin Component List記載'!$C$4:$G$299,MATCH(C375,'@Pin Component List記載'!$C$4:$C$299,0),5)))</f>
        <v>General-purpose input/output pin</v>
      </c>
    </row>
    <row r="376" spans="1:4">
      <c r="A376" t="s">
        <v>1271</v>
      </c>
      <c r="B376" t="str">
        <f t="shared" si="10"/>
        <v>/*!&lt; GPWM41 high-resolution output pin. \hideinitializer */</v>
      </c>
      <c r="C376" t="str">
        <f t="shared" si="11"/>
        <v>GPWM4_GPWMH41</v>
      </c>
      <c r="D376" t="str">
        <f>IF(C376="GPIO","General-purpose input/output pin",IF(C376="","",INDEX('@Pin Component List記載'!$C$4:$G$299,MATCH(C376,'@Pin Component List記載'!$C$4:$C$299,0),5)))</f>
        <v>GPWM41 high-resolution output pin</v>
      </c>
    </row>
    <row r="377" spans="1:4">
      <c r="A377" t="s">
        <v>1272</v>
      </c>
      <c r="B377" t="str">
        <f t="shared" si="10"/>
        <v>/*!&lt; GPWM41 output pin. \hideinitializer */</v>
      </c>
      <c r="C377" t="str">
        <f t="shared" si="11"/>
        <v>GPWM4_GPWM41</v>
      </c>
      <c r="D377" t="str">
        <f>IF(C377="GPIO","General-purpose input/output pin",IF(C377="","",INDEX('@Pin Component List記載'!$C$4:$G$299,MATCH(C377,'@Pin Component List記載'!$C$4:$C$299,0),5)))</f>
        <v>GPWM41 output pin</v>
      </c>
    </row>
    <row r="378" spans="1:4">
      <c r="B378" t="str">
        <f t="shared" si="10"/>
        <v/>
      </c>
      <c r="C378" t="str">
        <f t="shared" si="11"/>
        <v/>
      </c>
      <c r="D378" t="str">
        <f>IF(C378="GPIO","General-purpose input/output pin",IF(C378="","",INDEX('@Pin Component List記載'!$C$4:$G$299,MATCH(C378,'@Pin Component List記載'!$C$4:$C$299,0),5)))</f>
        <v/>
      </c>
    </row>
    <row r="379" spans="1:4">
      <c r="A379" t="s">
        <v>1160</v>
      </c>
      <c r="B379" t="str">
        <f t="shared" si="10"/>
        <v>/*!&lt; General-purpose input/output pin. \hideinitializer */</v>
      </c>
      <c r="C379" t="str">
        <f t="shared" si="11"/>
        <v>GPIO</v>
      </c>
      <c r="D379" t="str">
        <f>IF(C379="GPIO","General-purpose input/output pin",IF(C379="","",INDEX('@Pin Component List記載'!$C$4:$G$299,MATCH(C379,'@Pin Component List記載'!$C$4:$C$299,0),5)))</f>
        <v>General-purpose input/output pin</v>
      </c>
    </row>
    <row r="380" spans="1:4">
      <c r="A380" t="s">
        <v>1273</v>
      </c>
      <c r="B380" t="str">
        <f t="shared" si="10"/>
        <v>/*!&lt; GPWM50 high-resolution output pin. \hideinitializer */</v>
      </c>
      <c r="C380" t="str">
        <f t="shared" si="11"/>
        <v>GPWM5_GPWMH50</v>
      </c>
      <c r="D380" t="str">
        <f>IF(C380="GPIO","General-purpose input/output pin",IF(C380="","",INDEX('@Pin Component List記載'!$C$4:$G$299,MATCH(C380,'@Pin Component List記載'!$C$4:$C$299,0),5)))</f>
        <v>GPWM50 high-resolution output pin</v>
      </c>
    </row>
    <row r="381" spans="1:4">
      <c r="A381" t="s">
        <v>1274</v>
      </c>
      <c r="B381" t="str">
        <f t="shared" si="10"/>
        <v>/*!&lt; GPWM50 output pin. \hideinitializer */</v>
      </c>
      <c r="C381" t="str">
        <f t="shared" si="11"/>
        <v>GPWM5_GPWM50</v>
      </c>
      <c r="D381" t="str">
        <f>IF(C381="GPIO","General-purpose input/output pin",IF(C381="","",INDEX('@Pin Component List記載'!$C$4:$G$299,MATCH(C381,'@Pin Component List記載'!$C$4:$C$299,0),5)))</f>
        <v>GPWM50 output pin</v>
      </c>
    </row>
    <row r="382" spans="1:4">
      <c r="B382" t="str">
        <f t="shared" si="10"/>
        <v/>
      </c>
      <c r="C382" t="str">
        <f t="shared" si="11"/>
        <v/>
      </c>
      <c r="D382" t="str">
        <f>IF(C382="GPIO","General-purpose input/output pin",IF(C382="","",INDEX('@Pin Component List記載'!$C$4:$G$299,MATCH(C382,'@Pin Component List記載'!$C$4:$C$299,0),5)))</f>
        <v/>
      </c>
    </row>
    <row r="383" spans="1:4">
      <c r="A383" t="s">
        <v>1160</v>
      </c>
      <c r="B383" t="str">
        <f t="shared" si="10"/>
        <v>/*!&lt; General-purpose input/output pin. \hideinitializer */</v>
      </c>
      <c r="C383" t="str">
        <f t="shared" si="11"/>
        <v>GPIO</v>
      </c>
      <c r="D383" t="str">
        <f>IF(C383="GPIO","General-purpose input/output pin",IF(C383="","",INDEX('@Pin Component List記載'!$C$4:$G$299,MATCH(C383,'@Pin Component List記載'!$C$4:$C$299,0),5)))</f>
        <v>General-purpose input/output pin</v>
      </c>
    </row>
    <row r="384" spans="1:4">
      <c r="A384" t="s">
        <v>1275</v>
      </c>
      <c r="B384" t="str">
        <f t="shared" si="10"/>
        <v>/*!&lt; GPWM51 high-resolution output pin. \hideinitializer */</v>
      </c>
      <c r="C384" t="str">
        <f t="shared" si="11"/>
        <v>GPWM5_GPWMH51</v>
      </c>
      <c r="D384" t="str">
        <f>IF(C384="GPIO","General-purpose input/output pin",IF(C384="","",INDEX('@Pin Component List記載'!$C$4:$G$299,MATCH(C384,'@Pin Component List記載'!$C$4:$C$299,0),5)))</f>
        <v>GPWM51 high-resolution output pin</v>
      </c>
    </row>
    <row r="385" spans="1:4">
      <c r="A385" t="s">
        <v>1276</v>
      </c>
      <c r="B385" t="str">
        <f t="shared" ref="B385:B448" si="12">IFERROR(IF(D385="","","/*!&lt; "&amp;D385&amp;". \hideinitializer */"),"")</f>
        <v>/*!&lt; GPWM51 output pin. \hideinitializer */</v>
      </c>
      <c r="C385" t="str">
        <f t="shared" si="11"/>
        <v>GPWM5_GPWM51</v>
      </c>
      <c r="D385" t="str">
        <f>IF(C385="GPIO","General-purpose input/output pin",IF(C385="","",INDEX('@Pin Component List記載'!$C$4:$G$299,MATCH(C385,'@Pin Component List記載'!$C$4:$C$299,0),5)))</f>
        <v>GPWM51 output pin</v>
      </c>
    </row>
    <row r="386" spans="1:4">
      <c r="B386" t="str">
        <f t="shared" si="12"/>
        <v/>
      </c>
      <c r="C386" t="str">
        <f t="shared" si="11"/>
        <v/>
      </c>
      <c r="D386" t="str">
        <f>IF(C386="GPIO","General-purpose input/output pin",IF(C386="","",INDEX('@Pin Component List記載'!$C$4:$G$299,MATCH(C386,'@Pin Component List記載'!$C$4:$C$299,0),5)))</f>
        <v/>
      </c>
    </row>
    <row r="387" spans="1:4">
      <c r="A387" t="s">
        <v>1160</v>
      </c>
      <c r="B387" t="str">
        <f t="shared" si="12"/>
        <v>/*!&lt; General-purpose input/output pin. \hideinitializer */</v>
      </c>
      <c r="C387" t="str">
        <f t="shared" ref="C387:C450" si="13">SUBSTITUTE(A387," ","")</f>
        <v>GPIO</v>
      </c>
      <c r="D387" t="str">
        <f>IF(C387="GPIO","General-purpose input/output pin",IF(C387="","",INDEX('@Pin Component List記載'!$C$4:$G$299,MATCH(C387,'@Pin Component List記載'!$C$4:$C$299,0),5)))</f>
        <v>General-purpose input/output pin</v>
      </c>
    </row>
    <row r="388" spans="1:4">
      <c r="B388" t="str">
        <f t="shared" si="12"/>
        <v/>
      </c>
      <c r="C388" t="str">
        <f t="shared" si="13"/>
        <v/>
      </c>
      <c r="D388" t="str">
        <f>IF(C388="GPIO","General-purpose input/output pin",IF(C388="","",INDEX('@Pin Component List記載'!$C$4:$G$299,MATCH(C388,'@Pin Component List記載'!$C$4:$C$299,0),5)))</f>
        <v/>
      </c>
    </row>
    <row r="389" spans="1:4">
      <c r="A389" t="s">
        <v>1160</v>
      </c>
      <c r="B389" t="str">
        <f t="shared" si="12"/>
        <v>/*!&lt; General-purpose input/output pin. \hideinitializer */</v>
      </c>
      <c r="C389" t="str">
        <f t="shared" si="13"/>
        <v>GPIO</v>
      </c>
      <c r="D389" t="str">
        <f>IF(C389="GPIO","General-purpose input/output pin",IF(C389="","",INDEX('@Pin Component List記載'!$C$4:$G$299,MATCH(C389,'@Pin Component List記載'!$C$4:$C$299,0),5)))</f>
        <v>General-purpose input/output pin</v>
      </c>
    </row>
    <row r="390" spans="1:4">
      <c r="B390" t="str">
        <f t="shared" si="12"/>
        <v/>
      </c>
      <c r="C390" t="str">
        <f t="shared" si="13"/>
        <v/>
      </c>
      <c r="D390" t="str">
        <f>IF(C390="GPIO","General-purpose input/output pin",IF(C390="","",INDEX('@Pin Component List記載'!$C$4:$G$299,MATCH(C390,'@Pin Component List記載'!$C$4:$C$299,0),5)))</f>
        <v/>
      </c>
    </row>
    <row r="391" spans="1:4">
      <c r="A391" t="s">
        <v>1177</v>
      </c>
      <c r="B391" t="str">
        <f t="shared" si="12"/>
        <v/>
      </c>
      <c r="C391" t="str">
        <f t="shared" si="13"/>
        <v>definitionof</v>
      </c>
      <c r="D391" t="e">
        <f>IF(C391="GPIO","General-purpose input/output pin",IF(C391="","",INDEX('@Pin Component List記載'!$C$4:$G$299,MATCH(C391,'@Pin Component List記載'!$C$4:$C$299,0),5)))</f>
        <v>#N/A</v>
      </c>
    </row>
    <row r="392" spans="1:4">
      <c r="A392" t="s">
        <v>1160</v>
      </c>
      <c r="B392" t="str">
        <f t="shared" si="12"/>
        <v>/*!&lt; General-purpose input/output pin. \hideinitializer */</v>
      </c>
      <c r="C392" t="str">
        <f t="shared" si="13"/>
        <v>GPIO</v>
      </c>
      <c r="D392" t="str">
        <f>IF(C392="GPIO","General-purpose input/output pin",IF(C392="","",INDEX('@Pin Component List記載'!$C$4:$G$299,MATCH(C392,'@Pin Component List記載'!$C$4:$C$299,0),5)))</f>
        <v>General-purpose input/output pin</v>
      </c>
    </row>
    <row r="393" spans="1:4">
      <c r="A393" t="s">
        <v>1277</v>
      </c>
      <c r="B393" t="str">
        <f t="shared" si="12"/>
        <v>/*!&lt; GPWM60 high-resolution output pin. \hideinitializer */</v>
      </c>
      <c r="C393" t="str">
        <f t="shared" si="13"/>
        <v>GPWM6_GPWMH60</v>
      </c>
      <c r="D393" t="str">
        <f>IF(C393="GPIO","General-purpose input/output pin",IF(C393="","",INDEX('@Pin Component List記載'!$C$4:$G$299,MATCH(C393,'@Pin Component List記載'!$C$4:$C$299,0),5)))</f>
        <v>GPWM60 high-resolution output pin</v>
      </c>
    </row>
    <row r="394" spans="1:4">
      <c r="A394" t="s">
        <v>1278</v>
      </c>
      <c r="B394" t="str">
        <f t="shared" si="12"/>
        <v>/*!&lt; GPWM60 output pin. \hideinitializer */</v>
      </c>
      <c r="C394" t="str">
        <f t="shared" si="13"/>
        <v>GPWM6_GPWM60</v>
      </c>
      <c r="D394" t="str">
        <f>IF(C394="GPIO","General-purpose input/output pin",IF(C394="","",INDEX('@Pin Component List記載'!$C$4:$G$299,MATCH(C394,'@Pin Component List記載'!$C$4:$C$299,0),5)))</f>
        <v>GPWM60 output pin</v>
      </c>
    </row>
    <row r="395" spans="1:4">
      <c r="B395" t="str">
        <f t="shared" si="12"/>
        <v/>
      </c>
      <c r="C395" t="str">
        <f t="shared" si="13"/>
        <v/>
      </c>
      <c r="D395" t="str">
        <f>IF(C395="GPIO","General-purpose input/output pin",IF(C395="","",INDEX('@Pin Component List記載'!$C$4:$G$299,MATCH(C395,'@Pin Component List記載'!$C$4:$C$299,0),5)))</f>
        <v/>
      </c>
    </row>
    <row r="396" spans="1:4">
      <c r="A396" t="s">
        <v>1160</v>
      </c>
      <c r="B396" t="str">
        <f t="shared" si="12"/>
        <v>/*!&lt; General-purpose input/output pin. \hideinitializer */</v>
      </c>
      <c r="C396" t="str">
        <f t="shared" si="13"/>
        <v>GPIO</v>
      </c>
      <c r="D396" t="str">
        <f>IF(C396="GPIO","General-purpose input/output pin",IF(C396="","",INDEX('@Pin Component List記載'!$C$4:$G$299,MATCH(C396,'@Pin Component List記載'!$C$4:$C$299,0),5)))</f>
        <v>General-purpose input/output pin</v>
      </c>
    </row>
    <row r="397" spans="1:4">
      <c r="A397" t="s">
        <v>1279</v>
      </c>
      <c r="B397" t="str">
        <f t="shared" si="12"/>
        <v>/*!&lt; GPWM61 high-resolution output pin. \hideinitializer */</v>
      </c>
      <c r="C397" t="str">
        <f t="shared" si="13"/>
        <v>GPWM6_GPWMH61</v>
      </c>
      <c r="D397" t="str">
        <f>IF(C397="GPIO","General-purpose input/output pin",IF(C397="","",INDEX('@Pin Component List記載'!$C$4:$G$299,MATCH(C397,'@Pin Component List記載'!$C$4:$C$299,0),5)))</f>
        <v>GPWM61 high-resolution output pin</v>
      </c>
    </row>
    <row r="398" spans="1:4">
      <c r="A398" t="s">
        <v>1280</v>
      </c>
      <c r="B398" t="str">
        <f t="shared" si="12"/>
        <v>/*!&lt; GPWM61 output pin. \hideinitializer */</v>
      </c>
      <c r="C398" t="str">
        <f t="shared" si="13"/>
        <v>GPWM6_GPWM61</v>
      </c>
      <c r="D398" t="str">
        <f>IF(C398="GPIO","General-purpose input/output pin",IF(C398="","",INDEX('@Pin Component List記載'!$C$4:$G$299,MATCH(C398,'@Pin Component List記載'!$C$4:$C$299,0),5)))</f>
        <v>GPWM61 output pin</v>
      </c>
    </row>
    <row r="399" spans="1:4">
      <c r="B399" t="str">
        <f t="shared" si="12"/>
        <v/>
      </c>
      <c r="C399" t="str">
        <f t="shared" si="13"/>
        <v/>
      </c>
      <c r="D399" t="str">
        <f>IF(C399="GPIO","General-purpose input/output pin",IF(C399="","",INDEX('@Pin Component List記載'!$C$4:$G$299,MATCH(C399,'@Pin Component List記載'!$C$4:$C$299,0),5)))</f>
        <v/>
      </c>
    </row>
    <row r="400" spans="1:4">
      <c r="A400" t="s">
        <v>1160</v>
      </c>
      <c r="B400" t="str">
        <f t="shared" si="12"/>
        <v>/*!&lt; General-purpose input/output pin. \hideinitializer */</v>
      </c>
      <c r="C400" t="str">
        <f t="shared" si="13"/>
        <v>GPIO</v>
      </c>
      <c r="D400" t="str">
        <f>IF(C400="GPIO","General-purpose input/output pin",IF(C400="","",INDEX('@Pin Component List記載'!$C$4:$G$299,MATCH(C400,'@Pin Component List記載'!$C$4:$C$299,0),5)))</f>
        <v>General-purpose input/output pin</v>
      </c>
    </row>
    <row r="401" spans="1:4">
      <c r="A401" t="s">
        <v>1281</v>
      </c>
      <c r="B401" t="str">
        <f t="shared" si="12"/>
        <v>/*!&lt; GPWM70 high-resolution output pin. \hideinitializer */</v>
      </c>
      <c r="C401" t="str">
        <f t="shared" si="13"/>
        <v>GPWM7_GPWMH70</v>
      </c>
      <c r="D401" t="str">
        <f>IF(C401="GPIO","General-purpose input/output pin",IF(C401="","",INDEX('@Pin Component List記載'!$C$4:$G$299,MATCH(C401,'@Pin Component List記載'!$C$4:$C$299,0),5)))</f>
        <v>GPWM70 high-resolution output pin</v>
      </c>
    </row>
    <row r="402" spans="1:4">
      <c r="A402" t="s">
        <v>1282</v>
      </c>
      <c r="B402" t="str">
        <f t="shared" si="12"/>
        <v>/*!&lt; GPWM70 output pin. \hideinitializer */</v>
      </c>
      <c r="C402" t="str">
        <f t="shared" si="13"/>
        <v>GPWM7_GPWM70</v>
      </c>
      <c r="D402" t="str">
        <f>IF(C402="GPIO","General-purpose input/output pin",IF(C402="","",INDEX('@Pin Component List記載'!$C$4:$G$299,MATCH(C402,'@Pin Component List記載'!$C$4:$C$299,0),5)))</f>
        <v>GPWM70 output pin</v>
      </c>
    </row>
    <row r="403" spans="1:4">
      <c r="B403" t="str">
        <f t="shared" si="12"/>
        <v/>
      </c>
      <c r="C403" t="str">
        <f t="shared" si="13"/>
        <v/>
      </c>
      <c r="D403" t="str">
        <f>IF(C403="GPIO","General-purpose input/output pin",IF(C403="","",INDEX('@Pin Component List記載'!$C$4:$G$299,MATCH(C403,'@Pin Component List記載'!$C$4:$C$299,0),5)))</f>
        <v/>
      </c>
    </row>
    <row r="404" spans="1:4">
      <c r="A404" t="s">
        <v>1160</v>
      </c>
      <c r="B404" t="str">
        <f t="shared" si="12"/>
        <v>/*!&lt; General-purpose input/output pin. \hideinitializer */</v>
      </c>
      <c r="C404" t="str">
        <f t="shared" si="13"/>
        <v>GPIO</v>
      </c>
      <c r="D404" t="str">
        <f>IF(C404="GPIO","General-purpose input/output pin",IF(C404="","",INDEX('@Pin Component List記載'!$C$4:$G$299,MATCH(C404,'@Pin Component List記載'!$C$4:$C$299,0),5)))</f>
        <v>General-purpose input/output pin</v>
      </c>
    </row>
    <row r="405" spans="1:4">
      <c r="A405" t="s">
        <v>1283</v>
      </c>
      <c r="B405" t="str">
        <f t="shared" si="12"/>
        <v>/*!&lt; GPWM71 high-resolution output pin. \hideinitializer */</v>
      </c>
      <c r="C405" t="str">
        <f t="shared" si="13"/>
        <v>GPWM7_GPWMH71</v>
      </c>
      <c r="D405" t="str">
        <f>IF(C405="GPIO","General-purpose input/output pin",IF(C405="","",INDEX('@Pin Component List記載'!$C$4:$G$299,MATCH(C405,'@Pin Component List記載'!$C$4:$C$299,0),5)))</f>
        <v>GPWM71 high-resolution output pin</v>
      </c>
    </row>
    <row r="406" spans="1:4">
      <c r="A406" t="s">
        <v>1284</v>
      </c>
      <c r="B406" t="str">
        <f t="shared" si="12"/>
        <v>/*!&lt; GPWM71 output pin. \hideinitializer */</v>
      </c>
      <c r="C406" t="str">
        <f t="shared" si="13"/>
        <v>GPWM7_GPWM71</v>
      </c>
      <c r="D406" t="str">
        <f>IF(C406="GPIO","General-purpose input/output pin",IF(C406="","",INDEX('@Pin Component List記載'!$C$4:$G$299,MATCH(C406,'@Pin Component List記載'!$C$4:$C$299,0),5)))</f>
        <v>GPWM71 output pin</v>
      </c>
    </row>
    <row r="407" spans="1:4">
      <c r="B407" t="str">
        <f t="shared" si="12"/>
        <v/>
      </c>
      <c r="C407" t="str">
        <f t="shared" si="13"/>
        <v/>
      </c>
      <c r="D407" t="str">
        <f>IF(C407="GPIO","General-purpose input/output pin",IF(C407="","",INDEX('@Pin Component List記載'!$C$4:$G$299,MATCH(C407,'@Pin Component List記載'!$C$4:$C$299,0),5)))</f>
        <v/>
      </c>
    </row>
    <row r="408" spans="1:4">
      <c r="A408" t="s">
        <v>1160</v>
      </c>
      <c r="B408" t="str">
        <f t="shared" si="12"/>
        <v>/*!&lt; General-purpose input/output pin. \hideinitializer */</v>
      </c>
      <c r="C408" t="str">
        <f t="shared" si="13"/>
        <v>GPIO</v>
      </c>
      <c r="D408" t="str">
        <f>IF(C408="GPIO","General-purpose input/output pin",IF(C408="","",INDEX('@Pin Component List記載'!$C$4:$G$299,MATCH(C408,'@Pin Component List記載'!$C$4:$C$299,0),5)))</f>
        <v>General-purpose input/output pin</v>
      </c>
    </row>
    <row r="409" spans="1:4">
      <c r="A409" t="s">
        <v>1285</v>
      </c>
      <c r="B409" t="str">
        <f t="shared" si="12"/>
        <v/>
      </c>
      <c r="C409" t="str">
        <f t="shared" si="13"/>
        <v>GPWM8_GPWMH80</v>
      </c>
      <c r="D409" t="e">
        <f>IF(C409="GPIO","General-purpose input/output pin",IF(C409="","",INDEX('@Pin Component List記載'!$C$4:$G$299,MATCH(C409,'@Pin Component List記載'!$C$4:$C$299,0),5)))</f>
        <v>#N/A</v>
      </c>
    </row>
    <row r="410" spans="1:4">
      <c r="A410" t="s">
        <v>1286</v>
      </c>
      <c r="B410" t="str">
        <f t="shared" si="12"/>
        <v/>
      </c>
      <c r="C410" t="str">
        <f t="shared" si="13"/>
        <v>GPWM8_GPWM80</v>
      </c>
      <c r="D410" t="e">
        <f>IF(C410="GPIO","General-purpose input/output pin",IF(C410="","",INDEX('@Pin Component List記載'!$C$4:$G$299,MATCH(C410,'@Pin Component List記載'!$C$4:$C$299,0),5)))</f>
        <v>#N/A</v>
      </c>
    </row>
    <row r="411" spans="1:4">
      <c r="B411" t="str">
        <f t="shared" si="12"/>
        <v/>
      </c>
      <c r="C411" t="str">
        <f t="shared" si="13"/>
        <v/>
      </c>
      <c r="D411" t="str">
        <f>IF(C411="GPIO","General-purpose input/output pin",IF(C411="","",INDEX('@Pin Component List記載'!$C$4:$G$299,MATCH(C411,'@Pin Component List記載'!$C$4:$C$299,0),5)))</f>
        <v/>
      </c>
    </row>
    <row r="412" spans="1:4">
      <c r="A412" t="s">
        <v>1160</v>
      </c>
      <c r="B412" t="str">
        <f t="shared" si="12"/>
        <v>/*!&lt; General-purpose input/output pin. \hideinitializer */</v>
      </c>
      <c r="C412" t="str">
        <f t="shared" si="13"/>
        <v>GPIO</v>
      </c>
      <c r="D412" t="str">
        <f>IF(C412="GPIO","General-purpose input/output pin",IF(C412="","",INDEX('@Pin Component List記載'!$C$4:$G$299,MATCH(C412,'@Pin Component List記載'!$C$4:$C$299,0),5)))</f>
        <v>General-purpose input/output pin</v>
      </c>
    </row>
    <row r="413" spans="1:4">
      <c r="A413" t="s">
        <v>1287</v>
      </c>
      <c r="B413" t="str">
        <f t="shared" si="12"/>
        <v/>
      </c>
      <c r="C413" t="str">
        <f t="shared" si="13"/>
        <v>GPWM8_GPWMH81</v>
      </c>
      <c r="D413" t="e">
        <f>IF(C413="GPIO","General-purpose input/output pin",IF(C413="","",INDEX('@Pin Component List記載'!$C$4:$G$299,MATCH(C413,'@Pin Component List記載'!$C$4:$C$299,0),5)))</f>
        <v>#N/A</v>
      </c>
    </row>
    <row r="414" spans="1:4">
      <c r="A414" t="s">
        <v>1288</v>
      </c>
      <c r="B414" t="str">
        <f t="shared" si="12"/>
        <v/>
      </c>
      <c r="C414" t="str">
        <f t="shared" si="13"/>
        <v>GPWM8_GPWM81</v>
      </c>
      <c r="D414" t="e">
        <f>IF(C414="GPIO","General-purpose input/output pin",IF(C414="","",INDEX('@Pin Component List記載'!$C$4:$G$299,MATCH(C414,'@Pin Component List記載'!$C$4:$C$299,0),5)))</f>
        <v>#N/A</v>
      </c>
    </row>
    <row r="415" spans="1:4">
      <c r="B415" t="str">
        <f t="shared" si="12"/>
        <v/>
      </c>
      <c r="C415" t="str">
        <f t="shared" si="13"/>
        <v/>
      </c>
      <c r="D415" t="str">
        <f>IF(C415="GPIO","General-purpose input/output pin",IF(C415="","",INDEX('@Pin Component List記載'!$C$4:$G$299,MATCH(C415,'@Pin Component List記載'!$C$4:$C$299,0),5)))</f>
        <v/>
      </c>
    </row>
    <row r="416" spans="1:4">
      <c r="A416" t="s">
        <v>1160</v>
      </c>
      <c r="B416" t="str">
        <f t="shared" si="12"/>
        <v>/*!&lt; General-purpose input/output pin. \hideinitializer */</v>
      </c>
      <c r="C416" t="str">
        <f t="shared" si="13"/>
        <v>GPIO</v>
      </c>
      <c r="D416" t="str">
        <f>IF(C416="GPIO","General-purpose input/output pin",IF(C416="","",INDEX('@Pin Component List記載'!$C$4:$G$299,MATCH(C416,'@Pin Component List記載'!$C$4:$C$299,0),5)))</f>
        <v>General-purpose input/output pin</v>
      </c>
    </row>
    <row r="417" spans="1:4">
      <c r="B417" t="str">
        <f t="shared" si="12"/>
        <v/>
      </c>
      <c r="C417" t="str">
        <f t="shared" si="13"/>
        <v/>
      </c>
      <c r="D417" t="str">
        <f>IF(C417="GPIO","General-purpose input/output pin",IF(C417="","",INDEX('@Pin Component List記載'!$C$4:$G$299,MATCH(C417,'@Pin Component List記載'!$C$4:$C$299,0),5)))</f>
        <v/>
      </c>
    </row>
    <row r="418" spans="1:4">
      <c r="A418" t="s">
        <v>1160</v>
      </c>
      <c r="B418" t="str">
        <f t="shared" si="12"/>
        <v>/*!&lt; General-purpose input/output pin. \hideinitializer */</v>
      </c>
      <c r="C418" t="str">
        <f t="shared" si="13"/>
        <v>GPIO</v>
      </c>
      <c r="D418" t="str">
        <f>IF(C418="GPIO","General-purpose input/output pin",IF(C418="","",INDEX('@Pin Component List記載'!$C$4:$G$299,MATCH(C418,'@Pin Component List記載'!$C$4:$C$299,0),5)))</f>
        <v>General-purpose input/output pin</v>
      </c>
    </row>
    <row r="419" spans="1:4">
      <c r="B419" t="str">
        <f t="shared" si="12"/>
        <v/>
      </c>
      <c r="C419" t="str">
        <f t="shared" si="13"/>
        <v/>
      </c>
      <c r="D419" t="str">
        <f>IF(C419="GPIO","General-purpose input/output pin",IF(C419="","",INDEX('@Pin Component List記載'!$C$4:$G$299,MATCH(C419,'@Pin Component List記載'!$C$4:$C$299,0),5)))</f>
        <v/>
      </c>
    </row>
    <row r="420" spans="1:4">
      <c r="A420" t="s">
        <v>1177</v>
      </c>
      <c r="B420" t="str">
        <f t="shared" si="12"/>
        <v/>
      </c>
      <c r="C420" t="str">
        <f t="shared" si="13"/>
        <v>definitionof</v>
      </c>
      <c r="D420" t="e">
        <f>IF(C420="GPIO","General-purpose input/output pin",IF(C420="","",INDEX('@Pin Component List記載'!$C$4:$G$299,MATCH(C420,'@Pin Component List記載'!$C$4:$C$299,0),5)))</f>
        <v>#N/A</v>
      </c>
    </row>
    <row r="421" spans="1:4">
      <c r="A421" t="s">
        <v>1160</v>
      </c>
      <c r="B421" t="str">
        <f t="shared" si="12"/>
        <v>/*!&lt; General-purpose input/output pin. \hideinitializer */</v>
      </c>
      <c r="C421" t="str">
        <f t="shared" si="13"/>
        <v>GPIO</v>
      </c>
      <c r="D421" t="str">
        <f>IF(C421="GPIO","General-purpose input/output pin",IF(C421="","",INDEX('@Pin Component List記載'!$C$4:$G$299,MATCH(C421,'@Pin Component List記載'!$C$4:$C$299,0),5)))</f>
        <v>General-purpose input/output pin</v>
      </c>
    </row>
    <row r="422" spans="1:4">
      <c r="A422" t="s">
        <v>1289</v>
      </c>
      <c r="B422" t="str">
        <f t="shared" si="12"/>
        <v/>
      </c>
      <c r="C422" t="str">
        <f t="shared" si="13"/>
        <v>GPWMB_GPWMB0</v>
      </c>
      <c r="D422" t="e">
        <f>IF(C422="GPIO","General-purpose input/output pin",IF(C422="","",INDEX('@Pin Component List記載'!$C$4:$G$299,MATCH(C422,'@Pin Component List記載'!$C$4:$C$299,0),5)))</f>
        <v>#N/A</v>
      </c>
    </row>
    <row r="423" spans="1:4">
      <c r="B423" t="str">
        <f t="shared" si="12"/>
        <v/>
      </c>
      <c r="C423" t="str">
        <f t="shared" si="13"/>
        <v/>
      </c>
      <c r="D423" t="str">
        <f>IF(C423="GPIO","General-purpose input/output pin",IF(C423="","",INDEX('@Pin Component List記載'!$C$4:$G$299,MATCH(C423,'@Pin Component List記載'!$C$4:$C$299,0),5)))</f>
        <v/>
      </c>
    </row>
    <row r="424" spans="1:4">
      <c r="A424" t="s">
        <v>1160</v>
      </c>
      <c r="B424" t="str">
        <f t="shared" si="12"/>
        <v>/*!&lt; General-purpose input/output pin. \hideinitializer */</v>
      </c>
      <c r="C424" t="str">
        <f t="shared" si="13"/>
        <v>GPIO</v>
      </c>
      <c r="D424" t="str">
        <f>IF(C424="GPIO","General-purpose input/output pin",IF(C424="","",INDEX('@Pin Component List記載'!$C$4:$G$299,MATCH(C424,'@Pin Component List記載'!$C$4:$C$299,0),5)))</f>
        <v>General-purpose input/output pin</v>
      </c>
    </row>
    <row r="425" spans="1:4">
      <c r="A425" t="s">
        <v>1290</v>
      </c>
      <c r="B425" t="str">
        <f t="shared" si="12"/>
        <v/>
      </c>
      <c r="C425" t="str">
        <f t="shared" si="13"/>
        <v>GPWMB_GPWMB1</v>
      </c>
      <c r="D425" t="e">
        <f>IF(C425="GPIO","General-purpose input/output pin",IF(C425="","",INDEX('@Pin Component List記載'!$C$4:$G$299,MATCH(C425,'@Pin Component List記載'!$C$4:$C$299,0),5)))</f>
        <v>#N/A</v>
      </c>
    </row>
    <row r="426" spans="1:4">
      <c r="B426" t="str">
        <f t="shared" si="12"/>
        <v/>
      </c>
      <c r="C426" t="str">
        <f t="shared" si="13"/>
        <v/>
      </c>
      <c r="D426" t="str">
        <f>IF(C426="GPIO","General-purpose input/output pin",IF(C426="","",INDEX('@Pin Component List記載'!$C$4:$G$299,MATCH(C426,'@Pin Component List記載'!$C$4:$C$299,0),5)))</f>
        <v/>
      </c>
    </row>
    <row r="427" spans="1:4">
      <c r="A427" t="s">
        <v>1160</v>
      </c>
      <c r="B427" t="str">
        <f t="shared" si="12"/>
        <v>/*!&lt; General-purpose input/output pin. \hideinitializer */</v>
      </c>
      <c r="C427" t="str">
        <f t="shared" si="13"/>
        <v>GPIO</v>
      </c>
      <c r="D427" t="str">
        <f>IF(C427="GPIO","General-purpose input/output pin",IF(C427="","",INDEX('@Pin Component List記載'!$C$4:$G$299,MATCH(C427,'@Pin Component List記載'!$C$4:$C$299,0),5)))</f>
        <v>General-purpose input/output pin</v>
      </c>
    </row>
    <row r="428" spans="1:4">
      <c r="B428" t="str">
        <f t="shared" si="12"/>
        <v/>
      </c>
      <c r="C428" t="str">
        <f t="shared" si="13"/>
        <v/>
      </c>
      <c r="D428" t="str">
        <f>IF(C428="GPIO","General-purpose input/output pin",IF(C428="","",INDEX('@Pin Component List記載'!$C$4:$G$299,MATCH(C428,'@Pin Component List記載'!$C$4:$C$299,0),5)))</f>
        <v/>
      </c>
    </row>
    <row r="429" spans="1:4">
      <c r="A429" t="s">
        <v>1160</v>
      </c>
      <c r="B429" t="str">
        <f t="shared" si="12"/>
        <v>/*!&lt; General-purpose input/output pin. \hideinitializer */</v>
      </c>
      <c r="C429" t="str">
        <f t="shared" si="13"/>
        <v>GPIO</v>
      </c>
      <c r="D429" t="str">
        <f>IF(C429="GPIO","General-purpose input/output pin",IF(C429="","",INDEX('@Pin Component List記載'!$C$4:$G$299,MATCH(C429,'@Pin Component List記載'!$C$4:$C$299,0),5)))</f>
        <v>General-purpose input/output pin</v>
      </c>
    </row>
    <row r="430" spans="1:4">
      <c r="B430" t="str">
        <f t="shared" si="12"/>
        <v/>
      </c>
      <c r="C430" t="str">
        <f t="shared" si="13"/>
        <v/>
      </c>
      <c r="D430" t="str">
        <f>IF(C430="GPIO","General-purpose input/output pin",IF(C430="","",INDEX('@Pin Component List記載'!$C$4:$G$299,MATCH(C430,'@Pin Component List記載'!$C$4:$C$299,0),5)))</f>
        <v/>
      </c>
    </row>
    <row r="431" spans="1:4">
      <c r="A431" t="s">
        <v>1160</v>
      </c>
      <c r="B431" t="str">
        <f t="shared" si="12"/>
        <v>/*!&lt; General-purpose input/output pin. \hideinitializer */</v>
      </c>
      <c r="C431" t="str">
        <f t="shared" si="13"/>
        <v>GPIO</v>
      </c>
      <c r="D431" t="str">
        <f>IF(C431="GPIO","General-purpose input/output pin",IF(C431="","",INDEX('@Pin Component List記載'!$C$4:$G$299,MATCH(C431,'@Pin Component List記載'!$C$4:$C$299,0),5)))</f>
        <v>General-purpose input/output pin</v>
      </c>
    </row>
    <row r="432" spans="1:4">
      <c r="B432" t="str">
        <f t="shared" si="12"/>
        <v/>
      </c>
      <c r="C432" t="str">
        <f t="shared" si="13"/>
        <v/>
      </c>
      <c r="D432" t="str">
        <f>IF(C432="GPIO","General-purpose input/output pin",IF(C432="","",INDEX('@Pin Component List記載'!$C$4:$G$299,MATCH(C432,'@Pin Component List記載'!$C$4:$C$299,0),5)))</f>
        <v/>
      </c>
    </row>
    <row r="433" spans="1:4">
      <c r="A433" t="s">
        <v>1160</v>
      </c>
      <c r="B433" t="str">
        <f t="shared" si="12"/>
        <v>/*!&lt; General-purpose input/output pin. \hideinitializer */</v>
      </c>
      <c r="C433" t="str">
        <f t="shared" si="13"/>
        <v>GPIO</v>
      </c>
      <c r="D433" t="str">
        <f>IF(C433="GPIO","General-purpose input/output pin",IF(C433="","",INDEX('@Pin Component List記載'!$C$4:$G$299,MATCH(C433,'@Pin Component List記載'!$C$4:$C$299,0),5)))</f>
        <v>General-purpose input/output pin</v>
      </c>
    </row>
    <row r="434" spans="1:4">
      <c r="B434" t="str">
        <f t="shared" si="12"/>
        <v/>
      </c>
      <c r="C434" t="str">
        <f t="shared" si="13"/>
        <v/>
      </c>
      <c r="D434" t="str">
        <f>IF(C434="GPIO","General-purpose input/output pin",IF(C434="","",INDEX('@Pin Component List記載'!$C$4:$G$299,MATCH(C434,'@Pin Component List記載'!$C$4:$C$299,0),5)))</f>
        <v/>
      </c>
    </row>
    <row r="435" spans="1:4">
      <c r="A435" t="s">
        <v>1160</v>
      </c>
      <c r="B435" t="str">
        <f t="shared" si="12"/>
        <v>/*!&lt; General-purpose input/output pin. \hideinitializer */</v>
      </c>
      <c r="C435" t="str">
        <f t="shared" si="13"/>
        <v>GPIO</v>
      </c>
      <c r="D435" t="str">
        <f>IF(C435="GPIO","General-purpose input/output pin",IF(C435="","",INDEX('@Pin Component List記載'!$C$4:$G$299,MATCH(C435,'@Pin Component List記載'!$C$4:$C$299,0),5)))</f>
        <v>General-purpose input/output pin</v>
      </c>
    </row>
    <row r="436" spans="1:4">
      <c r="B436" t="str">
        <f t="shared" si="12"/>
        <v/>
      </c>
      <c r="C436" t="str">
        <f t="shared" si="13"/>
        <v/>
      </c>
      <c r="D436" t="str">
        <f>IF(C436="GPIO","General-purpose input/output pin",IF(C436="","",INDEX('@Pin Component List記載'!$C$4:$G$299,MATCH(C436,'@Pin Component List記載'!$C$4:$C$299,0),5)))</f>
        <v/>
      </c>
    </row>
    <row r="437" spans="1:4">
      <c r="A437" t="s">
        <v>1177</v>
      </c>
      <c r="B437" t="str">
        <f t="shared" si="12"/>
        <v/>
      </c>
      <c r="C437" t="str">
        <f t="shared" si="13"/>
        <v>definitionof</v>
      </c>
      <c r="D437" t="e">
        <f>IF(C437="GPIO","General-purpose input/output pin",IF(C437="","",INDEX('@Pin Component List記載'!$C$4:$G$299,MATCH(C437,'@Pin Component List記載'!$C$4:$C$299,0),5)))</f>
        <v>#N/A</v>
      </c>
    </row>
    <row r="438" spans="1:4">
      <c r="A438" t="s">
        <v>1160</v>
      </c>
      <c r="B438" t="str">
        <f t="shared" si="12"/>
        <v>/*!&lt; General-purpose input/output pin. \hideinitializer */</v>
      </c>
      <c r="C438" t="str">
        <f t="shared" si="13"/>
        <v>GPIO</v>
      </c>
      <c r="D438" t="str">
        <f>IF(C438="GPIO","General-purpose input/output pin",IF(C438="","",INDEX('@Pin Component List記載'!$C$4:$G$299,MATCH(C438,'@Pin Component List記載'!$C$4:$C$299,0),5)))</f>
        <v>General-purpose input/output pin</v>
      </c>
    </row>
    <row r="439" spans="1:4">
      <c r="A439" t="s">
        <v>1291</v>
      </c>
      <c r="B439" t="str">
        <f t="shared" si="12"/>
        <v>/*!&lt; A/D converter analog input 00 pin. \hideinitializer */</v>
      </c>
      <c r="C439" t="str">
        <f t="shared" si="13"/>
        <v>ADIN00</v>
      </c>
      <c r="D439" t="str">
        <f>IF(C439="GPIO","General-purpose input/output pin",IF(C439="","",INDEX('@Pin Component List記載'!$C$4:$G$299,MATCH(C439,'@Pin Component List記載'!$C$4:$C$299,0),5)))</f>
        <v>A/D converter analog input 00 pin</v>
      </c>
    </row>
    <row r="440" spans="1:4">
      <c r="A440" t="s">
        <v>1386</v>
      </c>
      <c r="B440" t="str">
        <f t="shared" si="12"/>
        <v/>
      </c>
      <c r="C440" t="str">
        <f t="shared" si="13"/>
        <v>VGA0_VGAN</v>
      </c>
      <c r="D440" t="e">
        <f>IF(C440="GPIO","General-purpose input/output pin",IF(C440="","",INDEX('@Pin Component List記載'!$C$4:$G$299,MATCH(C440,'@Pin Component List記載'!$C$4:$C$299,0),5)))</f>
        <v>#N/A</v>
      </c>
    </row>
    <row r="441" spans="1:4">
      <c r="B441" t="str">
        <f t="shared" si="12"/>
        <v/>
      </c>
      <c r="C441" t="str">
        <f t="shared" si="13"/>
        <v/>
      </c>
      <c r="D441" t="str">
        <f>IF(C441="GPIO","General-purpose input/output pin",IF(C441="","",INDEX('@Pin Component List記載'!$C$4:$G$299,MATCH(C441,'@Pin Component List記載'!$C$4:$C$299,0),5)))</f>
        <v/>
      </c>
    </row>
    <row r="442" spans="1:4">
      <c r="A442" t="s">
        <v>1160</v>
      </c>
      <c r="B442" t="str">
        <f t="shared" si="12"/>
        <v>/*!&lt; General-purpose input/output pin. \hideinitializer */</v>
      </c>
      <c r="C442" t="str">
        <f t="shared" si="13"/>
        <v>GPIO</v>
      </c>
      <c r="D442" t="str">
        <f>IF(C442="GPIO","General-purpose input/output pin",IF(C442="","",INDEX('@Pin Component List記載'!$C$4:$G$299,MATCH(C442,'@Pin Component List記載'!$C$4:$C$299,0),5)))</f>
        <v>General-purpose input/output pin</v>
      </c>
    </row>
    <row r="443" spans="1:4">
      <c r="A443" t="s">
        <v>1292</v>
      </c>
      <c r="B443" t="str">
        <f t="shared" si="12"/>
        <v>/*!&lt; A/D converter analog input 01 pin. \hideinitializer */</v>
      </c>
      <c r="C443" t="str">
        <f t="shared" si="13"/>
        <v>ADIN01</v>
      </c>
      <c r="D443" t="str">
        <f>IF(C443="GPIO","General-purpose input/output pin",IF(C443="","",INDEX('@Pin Component List記載'!$C$4:$G$299,MATCH(C443,'@Pin Component List記載'!$C$4:$C$299,0),5)))</f>
        <v>A/D converter analog input 01 pin</v>
      </c>
    </row>
    <row r="444" spans="1:4">
      <c r="A444" t="s">
        <v>1389</v>
      </c>
      <c r="B444" t="str">
        <f t="shared" si="12"/>
        <v/>
      </c>
      <c r="C444" t="str">
        <f t="shared" si="13"/>
        <v>VGA0_VGAP0</v>
      </c>
      <c r="D444" t="e">
        <f>IF(C444="GPIO","General-purpose input/output pin",IF(C444="","",INDEX('@Pin Component List記載'!$C$4:$G$299,MATCH(C444,'@Pin Component List記載'!$C$4:$C$299,0),5)))</f>
        <v>#N/A</v>
      </c>
    </row>
    <row r="445" spans="1:4">
      <c r="A445" t="s">
        <v>1293</v>
      </c>
      <c r="B445" t="str">
        <f t="shared" si="12"/>
        <v/>
      </c>
      <c r="C445" t="str">
        <f t="shared" si="13"/>
        <v>CMP0_CMPIN0</v>
      </c>
      <c r="D445" t="e">
        <f>IF(C445="GPIO","General-purpose input/output pin",IF(C445="","",INDEX('@Pin Component List記載'!$C$4:$G$299,MATCH(C445,'@Pin Component List記載'!$C$4:$C$299,0),5)))</f>
        <v>#N/A</v>
      </c>
    </row>
    <row r="446" spans="1:4">
      <c r="B446" t="str">
        <f t="shared" si="12"/>
        <v/>
      </c>
      <c r="C446" t="str">
        <f t="shared" si="13"/>
        <v/>
      </c>
      <c r="D446" t="str">
        <f>IF(C446="GPIO","General-purpose input/output pin",IF(C446="","",INDEX('@Pin Component List記載'!$C$4:$G$299,MATCH(C446,'@Pin Component List記載'!$C$4:$C$299,0),5)))</f>
        <v/>
      </c>
    </row>
    <row r="447" spans="1:4">
      <c r="A447" t="s">
        <v>1160</v>
      </c>
      <c r="B447" t="str">
        <f t="shared" si="12"/>
        <v>/*!&lt; General-purpose input/output pin. \hideinitializer */</v>
      </c>
      <c r="C447" t="str">
        <f t="shared" si="13"/>
        <v>GPIO</v>
      </c>
      <c r="D447" t="str">
        <f>IF(C447="GPIO","General-purpose input/output pin",IF(C447="","",INDEX('@Pin Component List記載'!$C$4:$G$299,MATCH(C447,'@Pin Component List記載'!$C$4:$C$299,0),5)))</f>
        <v>General-purpose input/output pin</v>
      </c>
    </row>
    <row r="448" spans="1:4">
      <c r="A448" t="s">
        <v>1294</v>
      </c>
      <c r="B448" t="str">
        <f t="shared" si="12"/>
        <v>/*!&lt; A/D converter analog input 02 pin. \hideinitializer */</v>
      </c>
      <c r="C448" t="str">
        <f t="shared" si="13"/>
        <v>ADIN02</v>
      </c>
      <c r="D448" t="str">
        <f>IF(C448="GPIO","General-purpose input/output pin",IF(C448="","",INDEX('@Pin Component List記載'!$C$4:$G$299,MATCH(C448,'@Pin Component List記載'!$C$4:$C$299,0),5)))</f>
        <v>A/D converter analog input 02 pin</v>
      </c>
    </row>
    <row r="449" spans="1:4">
      <c r="A449" t="s">
        <v>1390</v>
      </c>
      <c r="B449" t="str">
        <f t="shared" ref="B449:B512" si="14">IFERROR(IF(D449="","","/*!&lt; "&amp;D449&amp;". \hideinitializer */"),"")</f>
        <v/>
      </c>
      <c r="C449" t="str">
        <f t="shared" si="13"/>
        <v>VGA0_VGAP1</v>
      </c>
      <c r="D449" t="e">
        <f>IF(C449="GPIO","General-purpose input/output pin",IF(C449="","",INDEX('@Pin Component List記載'!$C$4:$G$299,MATCH(C449,'@Pin Component List記載'!$C$4:$C$299,0),5)))</f>
        <v>#N/A</v>
      </c>
    </row>
    <row r="450" spans="1:4">
      <c r="A450" t="s">
        <v>1295</v>
      </c>
      <c r="B450" t="str">
        <f t="shared" si="14"/>
        <v/>
      </c>
      <c r="C450" t="str">
        <f t="shared" si="13"/>
        <v>CMP1_CMPIN1</v>
      </c>
      <c r="D450" t="e">
        <f>IF(C450="GPIO","General-purpose input/output pin",IF(C450="","",INDEX('@Pin Component List記載'!$C$4:$G$299,MATCH(C450,'@Pin Component List記載'!$C$4:$C$299,0),5)))</f>
        <v>#N/A</v>
      </c>
    </row>
    <row r="451" spans="1:4">
      <c r="B451" t="str">
        <f t="shared" si="14"/>
        <v/>
      </c>
      <c r="C451" t="str">
        <f t="shared" ref="C451:C514" si="15">SUBSTITUTE(A451," ","")</f>
        <v/>
      </c>
      <c r="D451" t="str">
        <f>IF(C451="GPIO","General-purpose input/output pin",IF(C451="","",INDEX('@Pin Component List記載'!$C$4:$G$299,MATCH(C451,'@Pin Component List記載'!$C$4:$C$299,0),5)))</f>
        <v/>
      </c>
    </row>
    <row r="452" spans="1:4">
      <c r="A452" t="s">
        <v>1160</v>
      </c>
      <c r="B452" t="str">
        <f t="shared" si="14"/>
        <v>/*!&lt; General-purpose input/output pin. \hideinitializer */</v>
      </c>
      <c r="C452" t="str">
        <f t="shared" si="15"/>
        <v>GPIO</v>
      </c>
      <c r="D452" t="str">
        <f>IF(C452="GPIO","General-purpose input/output pin",IF(C452="","",INDEX('@Pin Component List記載'!$C$4:$G$299,MATCH(C452,'@Pin Component List記載'!$C$4:$C$299,0),5)))</f>
        <v>General-purpose input/output pin</v>
      </c>
    </row>
    <row r="453" spans="1:4">
      <c r="A453" t="s">
        <v>1296</v>
      </c>
      <c r="B453" t="str">
        <f t="shared" si="14"/>
        <v>/*!&lt; A/D converter analog input 03 pin. \hideinitializer */</v>
      </c>
      <c r="C453" t="str">
        <f t="shared" si="15"/>
        <v>ADIN03</v>
      </c>
      <c r="D453" t="str">
        <f>IF(C453="GPIO","General-purpose input/output pin",IF(C453="","",INDEX('@Pin Component List記載'!$C$4:$G$299,MATCH(C453,'@Pin Component List記載'!$C$4:$C$299,0),5)))</f>
        <v>A/D converter analog input 03 pin</v>
      </c>
    </row>
    <row r="454" spans="1:4">
      <c r="A454" t="s">
        <v>1391</v>
      </c>
      <c r="B454" t="str">
        <f t="shared" si="14"/>
        <v/>
      </c>
      <c r="C454" t="str">
        <f t="shared" si="15"/>
        <v>VGA0_VGAP2</v>
      </c>
      <c r="D454" t="e">
        <f>IF(C454="GPIO","General-purpose input/output pin",IF(C454="","",INDEX('@Pin Component List記載'!$C$4:$G$299,MATCH(C454,'@Pin Component List記載'!$C$4:$C$299,0),5)))</f>
        <v>#N/A</v>
      </c>
    </row>
    <row r="455" spans="1:4">
      <c r="A455" t="s">
        <v>1297</v>
      </c>
      <c r="B455" t="str">
        <f t="shared" si="14"/>
        <v/>
      </c>
      <c r="C455" t="str">
        <f t="shared" si="15"/>
        <v>CMP2_CMPIN2</v>
      </c>
      <c r="D455" t="e">
        <f>IF(C455="GPIO","General-purpose input/output pin",IF(C455="","",INDEX('@Pin Component List記載'!$C$4:$G$299,MATCH(C455,'@Pin Component List記載'!$C$4:$C$299,0),5)))</f>
        <v>#N/A</v>
      </c>
    </row>
    <row r="456" spans="1:4">
      <c r="B456" t="str">
        <f t="shared" si="14"/>
        <v/>
      </c>
      <c r="C456" t="str">
        <f t="shared" si="15"/>
        <v/>
      </c>
      <c r="D456" t="str">
        <f>IF(C456="GPIO","General-purpose input/output pin",IF(C456="","",INDEX('@Pin Component List記載'!$C$4:$G$299,MATCH(C456,'@Pin Component List記載'!$C$4:$C$299,0),5)))</f>
        <v/>
      </c>
    </row>
    <row r="457" spans="1:4">
      <c r="A457" t="s">
        <v>1160</v>
      </c>
      <c r="B457" t="str">
        <f t="shared" si="14"/>
        <v>/*!&lt; General-purpose input/output pin. \hideinitializer */</v>
      </c>
      <c r="C457" t="str">
        <f t="shared" si="15"/>
        <v>GPIO</v>
      </c>
      <c r="D457" t="str">
        <f>IF(C457="GPIO","General-purpose input/output pin",IF(C457="","",INDEX('@Pin Component List記載'!$C$4:$G$299,MATCH(C457,'@Pin Component List記載'!$C$4:$C$299,0),5)))</f>
        <v>General-purpose input/output pin</v>
      </c>
    </row>
    <row r="458" spans="1:4">
      <c r="A458" t="s">
        <v>1298</v>
      </c>
      <c r="B458" t="str">
        <f t="shared" si="14"/>
        <v>/*!&lt; A/D converter analog input 04 pin. \hideinitializer */</v>
      </c>
      <c r="C458" t="str">
        <f t="shared" si="15"/>
        <v>ADIN04</v>
      </c>
      <c r="D458" t="str">
        <f>IF(C458="GPIO","General-purpose input/output pin",IF(C458="","",INDEX('@Pin Component List記載'!$C$4:$G$299,MATCH(C458,'@Pin Component List記載'!$C$4:$C$299,0),5)))</f>
        <v>A/D converter analog input 04 pin</v>
      </c>
    </row>
    <row r="459" spans="1:4">
      <c r="B459" t="str">
        <f t="shared" si="14"/>
        <v/>
      </c>
      <c r="C459" t="str">
        <f t="shared" si="15"/>
        <v/>
      </c>
      <c r="D459" t="str">
        <f>IF(C459="GPIO","General-purpose input/output pin",IF(C459="","",INDEX('@Pin Component List記載'!$C$4:$G$299,MATCH(C459,'@Pin Component List記載'!$C$4:$C$299,0),5)))</f>
        <v/>
      </c>
    </row>
    <row r="460" spans="1:4">
      <c r="A460" t="s">
        <v>1160</v>
      </c>
      <c r="B460" t="str">
        <f t="shared" si="14"/>
        <v>/*!&lt; General-purpose input/output pin. \hideinitializer */</v>
      </c>
      <c r="C460" t="str">
        <f t="shared" si="15"/>
        <v>GPIO</v>
      </c>
      <c r="D460" t="str">
        <f>IF(C460="GPIO","General-purpose input/output pin",IF(C460="","",INDEX('@Pin Component List記載'!$C$4:$G$299,MATCH(C460,'@Pin Component List記載'!$C$4:$C$299,0),5)))</f>
        <v>General-purpose input/output pin</v>
      </c>
    </row>
    <row r="461" spans="1:4">
      <c r="A461" t="s">
        <v>1299</v>
      </c>
      <c r="B461" t="str">
        <f t="shared" si="14"/>
        <v>/*!&lt; A/D converter analog input 05 pin. \hideinitializer */</v>
      </c>
      <c r="C461" t="str">
        <f t="shared" si="15"/>
        <v>ADIN05</v>
      </c>
      <c r="D461" t="str">
        <f>IF(C461="GPIO","General-purpose input/output pin",IF(C461="","",INDEX('@Pin Component List記載'!$C$4:$G$299,MATCH(C461,'@Pin Component List記載'!$C$4:$C$299,0),5)))</f>
        <v>A/D converter analog input 05 pin</v>
      </c>
    </row>
    <row r="462" spans="1:4">
      <c r="B462" t="str">
        <f t="shared" si="14"/>
        <v/>
      </c>
      <c r="C462" t="str">
        <f t="shared" si="15"/>
        <v/>
      </c>
      <c r="D462" t="str">
        <f>IF(C462="GPIO","General-purpose input/output pin",IF(C462="","",INDEX('@Pin Component List記載'!$C$4:$G$299,MATCH(C462,'@Pin Component List記載'!$C$4:$C$299,0),5)))</f>
        <v/>
      </c>
    </row>
    <row r="463" spans="1:4">
      <c r="A463" t="s">
        <v>1160</v>
      </c>
      <c r="B463" t="str">
        <f t="shared" si="14"/>
        <v>/*!&lt; General-purpose input/output pin. \hideinitializer */</v>
      </c>
      <c r="C463" t="str">
        <f t="shared" si="15"/>
        <v>GPIO</v>
      </c>
      <c r="D463" t="str">
        <f>IF(C463="GPIO","General-purpose input/output pin",IF(C463="","",INDEX('@Pin Component List記載'!$C$4:$G$299,MATCH(C463,'@Pin Component List記載'!$C$4:$C$299,0),5)))</f>
        <v>General-purpose input/output pin</v>
      </c>
    </row>
    <row r="464" spans="1:4">
      <c r="A464" t="s">
        <v>1300</v>
      </c>
      <c r="B464" t="str">
        <f t="shared" si="14"/>
        <v>/*!&lt; A/D converter analog input 06 pin. \hideinitializer */</v>
      </c>
      <c r="C464" t="str">
        <f t="shared" si="15"/>
        <v>ADIN06</v>
      </c>
      <c r="D464" t="str">
        <f>IF(C464="GPIO","General-purpose input/output pin",IF(C464="","",INDEX('@Pin Component List記載'!$C$4:$G$299,MATCH(C464,'@Pin Component List記載'!$C$4:$C$299,0),5)))</f>
        <v>A/D converter analog input 06 pin</v>
      </c>
    </row>
    <row r="465" spans="1:4">
      <c r="B465" t="str">
        <f t="shared" si="14"/>
        <v/>
      </c>
      <c r="C465" t="str">
        <f t="shared" si="15"/>
        <v/>
      </c>
      <c r="D465" t="str">
        <f>IF(C465="GPIO","General-purpose input/output pin",IF(C465="","",INDEX('@Pin Component List記載'!$C$4:$G$299,MATCH(C465,'@Pin Component List記載'!$C$4:$C$299,0),5)))</f>
        <v/>
      </c>
    </row>
    <row r="466" spans="1:4">
      <c r="A466" t="s">
        <v>1160</v>
      </c>
      <c r="B466" t="str">
        <f t="shared" si="14"/>
        <v>/*!&lt; General-purpose input/output pin. \hideinitializer */</v>
      </c>
      <c r="C466" t="str">
        <f t="shared" si="15"/>
        <v>GPIO</v>
      </c>
      <c r="D466" t="str">
        <f>IF(C466="GPIO","General-purpose input/output pin",IF(C466="","",INDEX('@Pin Component List記載'!$C$4:$G$299,MATCH(C466,'@Pin Component List記載'!$C$4:$C$299,0),5)))</f>
        <v>General-purpose input/output pin</v>
      </c>
    </row>
    <row r="467" spans="1:4">
      <c r="A467" t="s">
        <v>1301</v>
      </c>
      <c r="B467" t="str">
        <f t="shared" si="14"/>
        <v>/*!&lt; A/D converter analog input 07 pin. \hideinitializer */</v>
      </c>
      <c r="C467" t="str">
        <f t="shared" si="15"/>
        <v>ADIN07</v>
      </c>
      <c r="D467" t="str">
        <f>IF(C467="GPIO","General-purpose input/output pin",IF(C467="","",INDEX('@Pin Component List記載'!$C$4:$G$299,MATCH(C467,'@Pin Component List記載'!$C$4:$C$299,0),5)))</f>
        <v>A/D converter analog input 07 pin</v>
      </c>
    </row>
    <row r="468" spans="1:4">
      <c r="B468" t="str">
        <f t="shared" si="14"/>
        <v/>
      </c>
      <c r="C468" t="str">
        <f t="shared" si="15"/>
        <v/>
      </c>
      <c r="D468" t="str">
        <f>IF(C468="GPIO","General-purpose input/output pin",IF(C468="","",INDEX('@Pin Component List記載'!$C$4:$G$299,MATCH(C468,'@Pin Component List記載'!$C$4:$C$299,0),5)))</f>
        <v/>
      </c>
    </row>
    <row r="469" spans="1:4">
      <c r="A469" t="s">
        <v>1177</v>
      </c>
      <c r="B469" t="str">
        <f t="shared" si="14"/>
        <v/>
      </c>
      <c r="C469" t="str">
        <f t="shared" si="15"/>
        <v>definitionof</v>
      </c>
      <c r="D469" t="e">
        <f>IF(C469="GPIO","General-purpose input/output pin",IF(C469="","",INDEX('@Pin Component List記載'!$C$4:$G$299,MATCH(C469,'@Pin Component List記載'!$C$4:$C$299,0),5)))</f>
        <v>#N/A</v>
      </c>
    </row>
    <row r="470" spans="1:4">
      <c r="A470" t="s">
        <v>1160</v>
      </c>
      <c r="B470" t="str">
        <f t="shared" si="14"/>
        <v>/*!&lt; General-purpose input/output pin. \hideinitializer */</v>
      </c>
      <c r="C470" t="str">
        <f t="shared" si="15"/>
        <v>GPIO</v>
      </c>
      <c r="D470" t="str">
        <f>IF(C470="GPIO","General-purpose input/output pin",IF(C470="","",INDEX('@Pin Component List記載'!$C$4:$G$299,MATCH(C470,'@Pin Component List記載'!$C$4:$C$299,0),5)))</f>
        <v>General-purpose input/output pin</v>
      </c>
    </row>
    <row r="471" spans="1:4">
      <c r="A471" t="s">
        <v>1302</v>
      </c>
      <c r="B471" t="str">
        <f t="shared" si="14"/>
        <v>/*!&lt; A/D converter analog input 08 pin. \hideinitializer */</v>
      </c>
      <c r="C471" t="str">
        <f t="shared" si="15"/>
        <v>ADIN08</v>
      </c>
      <c r="D471" t="str">
        <f>IF(C471="GPIO","General-purpose input/output pin",IF(C471="","",INDEX('@Pin Component List記載'!$C$4:$G$299,MATCH(C471,'@Pin Component List記載'!$C$4:$C$299,0),5)))</f>
        <v>A/D converter analog input 08 pin</v>
      </c>
    </row>
    <row r="472" spans="1:4">
      <c r="A472" t="s">
        <v>1387</v>
      </c>
      <c r="B472" t="str">
        <f t="shared" si="14"/>
        <v/>
      </c>
      <c r="C472" t="str">
        <f t="shared" si="15"/>
        <v>VGA1_VGAN</v>
      </c>
      <c r="D472" t="e">
        <f>IF(C472="GPIO","General-purpose input/output pin",IF(C472="","",INDEX('@Pin Component List記載'!$C$4:$G$299,MATCH(C472,'@Pin Component List記載'!$C$4:$C$299,0),5)))</f>
        <v>#N/A</v>
      </c>
    </row>
    <row r="473" spans="1:4">
      <c r="B473" t="str">
        <f t="shared" si="14"/>
        <v/>
      </c>
      <c r="C473" t="str">
        <f t="shared" si="15"/>
        <v/>
      </c>
      <c r="D473" t="str">
        <f>IF(C473="GPIO","General-purpose input/output pin",IF(C473="","",INDEX('@Pin Component List記載'!$C$4:$G$299,MATCH(C473,'@Pin Component List記載'!$C$4:$C$299,0),5)))</f>
        <v/>
      </c>
    </row>
    <row r="474" spans="1:4">
      <c r="A474" t="s">
        <v>1160</v>
      </c>
      <c r="B474" t="str">
        <f t="shared" si="14"/>
        <v>/*!&lt; General-purpose input/output pin. \hideinitializer */</v>
      </c>
      <c r="C474" t="str">
        <f t="shared" si="15"/>
        <v>GPIO</v>
      </c>
      <c r="D474" t="str">
        <f>IF(C474="GPIO","General-purpose input/output pin",IF(C474="","",INDEX('@Pin Component List記載'!$C$4:$G$299,MATCH(C474,'@Pin Component List記載'!$C$4:$C$299,0),5)))</f>
        <v>General-purpose input/output pin</v>
      </c>
    </row>
    <row r="475" spans="1:4">
      <c r="A475" t="s">
        <v>1303</v>
      </c>
      <c r="B475" t="str">
        <f t="shared" si="14"/>
        <v>/*!&lt; A/D converter analog input 09 pin. \hideinitializer */</v>
      </c>
      <c r="C475" t="str">
        <f t="shared" si="15"/>
        <v>ADIN09</v>
      </c>
      <c r="D475" t="str">
        <f>IF(C475="GPIO","General-purpose input/output pin",IF(C475="","",INDEX('@Pin Component List記載'!$C$4:$G$299,MATCH(C475,'@Pin Component List記載'!$C$4:$C$299,0),5)))</f>
        <v>A/D converter analog input 09 pin</v>
      </c>
    </row>
    <row r="476" spans="1:4">
      <c r="A476" t="s">
        <v>1392</v>
      </c>
      <c r="B476" t="str">
        <f t="shared" si="14"/>
        <v/>
      </c>
      <c r="C476" t="str">
        <f t="shared" si="15"/>
        <v>VGA1_VGAP</v>
      </c>
      <c r="D476" t="e">
        <f>IF(C476="GPIO","General-purpose input/output pin",IF(C476="","",INDEX('@Pin Component List記載'!$C$4:$G$299,MATCH(C476,'@Pin Component List記載'!$C$4:$C$299,0),5)))</f>
        <v>#N/A</v>
      </c>
    </row>
    <row r="477" spans="1:4">
      <c r="A477" t="s">
        <v>1304</v>
      </c>
      <c r="B477" t="str">
        <f t="shared" si="14"/>
        <v/>
      </c>
      <c r="C477" t="str">
        <f t="shared" si="15"/>
        <v>CMP3_CMPIN3</v>
      </c>
      <c r="D477" t="e">
        <f>IF(C477="GPIO","General-purpose input/output pin",IF(C477="","",INDEX('@Pin Component List記載'!$C$4:$G$299,MATCH(C477,'@Pin Component List記載'!$C$4:$C$299,0),5)))</f>
        <v>#N/A</v>
      </c>
    </row>
    <row r="478" spans="1:4">
      <c r="B478" t="str">
        <f t="shared" si="14"/>
        <v/>
      </c>
      <c r="C478" t="str">
        <f t="shared" si="15"/>
        <v/>
      </c>
      <c r="D478" t="str">
        <f>IF(C478="GPIO","General-purpose input/output pin",IF(C478="","",INDEX('@Pin Component List記載'!$C$4:$G$299,MATCH(C478,'@Pin Component List記載'!$C$4:$C$299,0),5)))</f>
        <v/>
      </c>
    </row>
    <row r="479" spans="1:4">
      <c r="A479" t="s">
        <v>1160</v>
      </c>
      <c r="B479" t="str">
        <f t="shared" si="14"/>
        <v>/*!&lt; General-purpose input/output pin. \hideinitializer */</v>
      </c>
      <c r="C479" t="str">
        <f t="shared" si="15"/>
        <v>GPIO</v>
      </c>
      <c r="D479" t="str">
        <f>IF(C479="GPIO","General-purpose input/output pin",IF(C479="","",INDEX('@Pin Component List記載'!$C$4:$G$299,MATCH(C479,'@Pin Component List記載'!$C$4:$C$299,0),5)))</f>
        <v>General-purpose input/output pin</v>
      </c>
    </row>
    <row r="480" spans="1:4">
      <c r="A480" t="s">
        <v>1305</v>
      </c>
      <c r="B480" t="str">
        <f t="shared" si="14"/>
        <v>/*!&lt; A/D converter analog input 10 pin. \hideinitializer */</v>
      </c>
      <c r="C480" t="str">
        <f t="shared" si="15"/>
        <v>ADIN10</v>
      </c>
      <c r="D480" t="str">
        <f>IF(C480="GPIO","General-purpose input/output pin",IF(C480="","",INDEX('@Pin Component List記載'!$C$4:$G$299,MATCH(C480,'@Pin Component List記載'!$C$4:$C$299,0),5)))</f>
        <v>A/D converter analog input 10 pin</v>
      </c>
    </row>
    <row r="481" spans="1:4">
      <c r="B481" t="str">
        <f t="shared" si="14"/>
        <v/>
      </c>
      <c r="C481" t="str">
        <f t="shared" si="15"/>
        <v/>
      </c>
      <c r="D481" t="str">
        <f>IF(C481="GPIO","General-purpose input/output pin",IF(C481="","",INDEX('@Pin Component List記載'!$C$4:$G$299,MATCH(C481,'@Pin Component List記載'!$C$4:$C$299,0),5)))</f>
        <v/>
      </c>
    </row>
    <row r="482" spans="1:4">
      <c r="A482" t="s">
        <v>1160</v>
      </c>
      <c r="B482" t="str">
        <f t="shared" si="14"/>
        <v>/*!&lt; General-purpose input/output pin. \hideinitializer */</v>
      </c>
      <c r="C482" t="str">
        <f t="shared" si="15"/>
        <v>GPIO</v>
      </c>
      <c r="D482" t="str">
        <f>IF(C482="GPIO","General-purpose input/output pin",IF(C482="","",INDEX('@Pin Component List記載'!$C$4:$G$299,MATCH(C482,'@Pin Component List記載'!$C$4:$C$299,0),5)))</f>
        <v>General-purpose input/output pin</v>
      </c>
    </row>
    <row r="483" spans="1:4">
      <c r="A483" t="s">
        <v>1306</v>
      </c>
      <c r="B483" t="str">
        <f t="shared" si="14"/>
        <v>/*!&lt; A/D converter analog input 11 pin. \hideinitializer */</v>
      </c>
      <c r="C483" t="str">
        <f t="shared" si="15"/>
        <v>ADIN11</v>
      </c>
      <c r="D483" t="str">
        <f>IF(C483="GPIO","General-purpose input/output pin",IF(C483="","",INDEX('@Pin Component List記載'!$C$4:$G$299,MATCH(C483,'@Pin Component List記載'!$C$4:$C$299,0),5)))</f>
        <v>A/D converter analog input 11 pin</v>
      </c>
    </row>
    <row r="484" spans="1:4">
      <c r="B484" t="str">
        <f t="shared" si="14"/>
        <v/>
      </c>
      <c r="C484" t="str">
        <f t="shared" si="15"/>
        <v/>
      </c>
      <c r="D484" t="str">
        <f>IF(C484="GPIO","General-purpose input/output pin",IF(C484="","",INDEX('@Pin Component List記載'!$C$4:$G$299,MATCH(C484,'@Pin Component List記載'!$C$4:$C$299,0),5)))</f>
        <v/>
      </c>
    </row>
    <row r="485" spans="1:4">
      <c r="A485" t="s">
        <v>1160</v>
      </c>
      <c r="B485" t="str">
        <f t="shared" si="14"/>
        <v>/*!&lt; General-purpose input/output pin. \hideinitializer */</v>
      </c>
      <c r="C485" t="str">
        <f t="shared" si="15"/>
        <v>GPIO</v>
      </c>
      <c r="D485" t="str">
        <f>IF(C485="GPIO","General-purpose input/output pin",IF(C485="","",INDEX('@Pin Component List記載'!$C$4:$G$299,MATCH(C485,'@Pin Component List記載'!$C$4:$C$299,0),5)))</f>
        <v>General-purpose input/output pin</v>
      </c>
    </row>
    <row r="486" spans="1:4">
      <c r="A486" t="s">
        <v>1307</v>
      </c>
      <c r="B486" t="str">
        <f t="shared" si="14"/>
        <v>/*!&lt; A/D converter analog input 12 pin. \hideinitializer */</v>
      </c>
      <c r="C486" t="str">
        <f t="shared" si="15"/>
        <v>ADIN12</v>
      </c>
      <c r="D486" t="str">
        <f>IF(C486="GPIO","General-purpose input/output pin",IF(C486="","",INDEX('@Pin Component List記載'!$C$4:$G$299,MATCH(C486,'@Pin Component List記載'!$C$4:$C$299,0),5)))</f>
        <v>A/D converter analog input 12 pin</v>
      </c>
    </row>
    <row r="487" spans="1:4">
      <c r="B487" t="str">
        <f t="shared" si="14"/>
        <v/>
      </c>
      <c r="C487" t="str">
        <f t="shared" si="15"/>
        <v/>
      </c>
      <c r="D487" t="str">
        <f>IF(C487="GPIO","General-purpose input/output pin",IF(C487="","",INDEX('@Pin Component List記載'!$C$4:$G$299,MATCH(C487,'@Pin Component List記載'!$C$4:$C$299,0),5)))</f>
        <v/>
      </c>
    </row>
    <row r="488" spans="1:4">
      <c r="A488" t="s">
        <v>1160</v>
      </c>
      <c r="B488" t="str">
        <f t="shared" si="14"/>
        <v>/*!&lt; General-purpose input/output pin. \hideinitializer */</v>
      </c>
      <c r="C488" t="str">
        <f t="shared" si="15"/>
        <v>GPIO</v>
      </c>
      <c r="D488" t="str">
        <f>IF(C488="GPIO","General-purpose input/output pin",IF(C488="","",INDEX('@Pin Component List記載'!$C$4:$G$299,MATCH(C488,'@Pin Component List記載'!$C$4:$C$299,0),5)))</f>
        <v>General-purpose input/output pin</v>
      </c>
    </row>
    <row r="489" spans="1:4">
      <c r="A489" t="s">
        <v>1308</v>
      </c>
      <c r="B489" t="str">
        <f t="shared" si="14"/>
        <v>/*!&lt; A/D converter analog input 13 pin. \hideinitializer */</v>
      </c>
      <c r="C489" t="str">
        <f t="shared" si="15"/>
        <v>ADIN13</v>
      </c>
      <c r="D489" t="str">
        <f>IF(C489="GPIO","General-purpose input/output pin",IF(C489="","",INDEX('@Pin Component List記載'!$C$4:$G$299,MATCH(C489,'@Pin Component List記載'!$C$4:$C$299,0),5)))</f>
        <v>A/D converter analog input 13 pin</v>
      </c>
    </row>
    <row r="490" spans="1:4">
      <c r="B490" t="str">
        <f t="shared" si="14"/>
        <v/>
      </c>
      <c r="C490" t="str">
        <f t="shared" si="15"/>
        <v/>
      </c>
      <c r="D490" t="str">
        <f>IF(C490="GPIO","General-purpose input/output pin",IF(C490="","",INDEX('@Pin Component List記載'!$C$4:$G$299,MATCH(C490,'@Pin Component List記載'!$C$4:$C$299,0),5)))</f>
        <v/>
      </c>
    </row>
    <row r="491" spans="1:4">
      <c r="A491" t="s">
        <v>1160</v>
      </c>
      <c r="B491" t="str">
        <f t="shared" si="14"/>
        <v>/*!&lt; General-purpose input/output pin. \hideinitializer */</v>
      </c>
      <c r="C491" t="str">
        <f t="shared" si="15"/>
        <v>GPIO</v>
      </c>
      <c r="D491" t="str">
        <f>IF(C491="GPIO","General-purpose input/output pin",IF(C491="","",INDEX('@Pin Component List記載'!$C$4:$G$299,MATCH(C491,'@Pin Component List記載'!$C$4:$C$299,0),5)))</f>
        <v>General-purpose input/output pin</v>
      </c>
    </row>
    <row r="492" spans="1:4">
      <c r="A492" t="s">
        <v>1309</v>
      </c>
      <c r="B492" t="str">
        <f t="shared" si="14"/>
        <v>/*!&lt; A/D converter analog input 14 pin. \hideinitializer */</v>
      </c>
      <c r="C492" t="str">
        <f t="shared" si="15"/>
        <v>ADIN14</v>
      </c>
      <c r="D492" t="str">
        <f>IF(C492="GPIO","General-purpose input/output pin",IF(C492="","",INDEX('@Pin Component List記載'!$C$4:$G$299,MATCH(C492,'@Pin Component List記載'!$C$4:$C$299,0),5)))</f>
        <v>A/D converter analog input 14 pin</v>
      </c>
    </row>
    <row r="493" spans="1:4">
      <c r="B493" t="str">
        <f t="shared" si="14"/>
        <v/>
      </c>
      <c r="C493" t="str">
        <f t="shared" si="15"/>
        <v/>
      </c>
      <c r="D493" t="str">
        <f>IF(C493="GPIO","General-purpose input/output pin",IF(C493="","",INDEX('@Pin Component List記載'!$C$4:$G$299,MATCH(C493,'@Pin Component List記載'!$C$4:$C$299,0),5)))</f>
        <v/>
      </c>
    </row>
    <row r="494" spans="1:4">
      <c r="A494" t="s">
        <v>1160</v>
      </c>
      <c r="B494" t="str">
        <f t="shared" si="14"/>
        <v>/*!&lt; General-purpose input/output pin. \hideinitializer */</v>
      </c>
      <c r="C494" t="str">
        <f t="shared" si="15"/>
        <v>GPIO</v>
      </c>
      <c r="D494" t="str">
        <f>IF(C494="GPIO","General-purpose input/output pin",IF(C494="","",INDEX('@Pin Component List記載'!$C$4:$G$299,MATCH(C494,'@Pin Component List記載'!$C$4:$C$299,0),5)))</f>
        <v>General-purpose input/output pin</v>
      </c>
    </row>
    <row r="495" spans="1:4">
      <c r="A495" t="s">
        <v>1310</v>
      </c>
      <c r="B495" t="str">
        <f t="shared" si="14"/>
        <v>/*!&lt; A/D converter analog input 15 pin. \hideinitializer */</v>
      </c>
      <c r="C495" t="str">
        <f t="shared" si="15"/>
        <v>ADIN15</v>
      </c>
      <c r="D495" t="str">
        <f>IF(C495="GPIO","General-purpose input/output pin",IF(C495="","",INDEX('@Pin Component List記載'!$C$4:$G$299,MATCH(C495,'@Pin Component List記載'!$C$4:$C$299,0),5)))</f>
        <v>A/D converter analog input 15 pin</v>
      </c>
    </row>
    <row r="496" spans="1:4">
      <c r="B496" t="str">
        <f t="shared" si="14"/>
        <v/>
      </c>
      <c r="C496" t="str">
        <f t="shared" si="15"/>
        <v/>
      </c>
      <c r="D496" t="str">
        <f>IF(C496="GPIO","General-purpose input/output pin",IF(C496="","",INDEX('@Pin Component List記載'!$C$4:$G$299,MATCH(C496,'@Pin Component List記載'!$C$4:$C$299,0),5)))</f>
        <v/>
      </c>
    </row>
    <row r="497" spans="1:4">
      <c r="A497" t="s">
        <v>1177</v>
      </c>
      <c r="B497" t="str">
        <f t="shared" si="14"/>
        <v/>
      </c>
      <c r="C497" t="str">
        <f t="shared" si="15"/>
        <v>definitionof</v>
      </c>
      <c r="D497" t="e">
        <f>IF(C497="GPIO","General-purpose input/output pin",IF(C497="","",INDEX('@Pin Component List記載'!$C$4:$G$299,MATCH(C497,'@Pin Component List記載'!$C$4:$C$299,0),5)))</f>
        <v>#N/A</v>
      </c>
    </row>
    <row r="498" spans="1:4">
      <c r="A498" t="s">
        <v>1160</v>
      </c>
      <c r="B498" t="str">
        <f t="shared" si="14"/>
        <v>/*!&lt; General-purpose input/output pin. \hideinitializer */</v>
      </c>
      <c r="C498" t="str">
        <f t="shared" si="15"/>
        <v>GPIO</v>
      </c>
      <c r="D498" t="str">
        <f>IF(C498="GPIO","General-purpose input/output pin",IF(C498="","",INDEX('@Pin Component List記載'!$C$4:$G$299,MATCH(C498,'@Pin Component List記載'!$C$4:$C$299,0),5)))</f>
        <v>General-purpose input/output pin</v>
      </c>
    </row>
    <row r="499" spans="1:4">
      <c r="A499" t="s">
        <v>1311</v>
      </c>
      <c r="B499" t="str">
        <f t="shared" si="14"/>
        <v>/*!&lt; A/D converter analog input 16 pin. \hideinitializer */</v>
      </c>
      <c r="C499" t="str">
        <f t="shared" si="15"/>
        <v>ADIN16</v>
      </c>
      <c r="D499" t="str">
        <f>IF(C499="GPIO","General-purpose input/output pin",IF(C499="","",INDEX('@Pin Component List記載'!$C$4:$G$299,MATCH(C499,'@Pin Component List記載'!$C$4:$C$299,0),5)))</f>
        <v>A/D converter analog input 16 pin</v>
      </c>
    </row>
    <row r="500" spans="1:4">
      <c r="A500" t="s">
        <v>1393</v>
      </c>
      <c r="B500" t="str">
        <f t="shared" si="14"/>
        <v/>
      </c>
      <c r="C500" t="str">
        <f t="shared" si="15"/>
        <v>VGA2_VGAP</v>
      </c>
      <c r="D500" t="e">
        <f>IF(C500="GPIO","General-purpose input/output pin",IF(C500="","",INDEX('@Pin Component List記載'!$C$4:$G$299,MATCH(C500,'@Pin Component List記載'!$C$4:$C$299,0),5)))</f>
        <v>#N/A</v>
      </c>
    </row>
    <row r="501" spans="1:4">
      <c r="A501" t="s">
        <v>1312</v>
      </c>
      <c r="B501" t="str">
        <f t="shared" si="14"/>
        <v/>
      </c>
      <c r="C501" t="str">
        <f t="shared" si="15"/>
        <v>CMP4_CMPIN4</v>
      </c>
      <c r="D501" t="e">
        <f>IF(C501="GPIO","General-purpose input/output pin",IF(C501="","",INDEX('@Pin Component List記載'!$C$4:$G$299,MATCH(C501,'@Pin Component List記載'!$C$4:$C$299,0),5)))</f>
        <v>#N/A</v>
      </c>
    </row>
    <row r="502" spans="1:4">
      <c r="B502" t="str">
        <f t="shared" si="14"/>
        <v/>
      </c>
      <c r="C502" t="str">
        <f t="shared" si="15"/>
        <v/>
      </c>
      <c r="D502" t="str">
        <f>IF(C502="GPIO","General-purpose input/output pin",IF(C502="","",INDEX('@Pin Component List記載'!$C$4:$G$299,MATCH(C502,'@Pin Component List記載'!$C$4:$C$299,0),5)))</f>
        <v/>
      </c>
    </row>
    <row r="503" spans="1:4">
      <c r="A503" t="s">
        <v>1160</v>
      </c>
      <c r="B503" t="str">
        <f t="shared" si="14"/>
        <v>/*!&lt; General-purpose input/output pin. \hideinitializer */</v>
      </c>
      <c r="C503" t="str">
        <f t="shared" si="15"/>
        <v>GPIO</v>
      </c>
      <c r="D503" t="str">
        <f>IF(C503="GPIO","General-purpose input/output pin",IF(C503="","",INDEX('@Pin Component List記載'!$C$4:$G$299,MATCH(C503,'@Pin Component List記載'!$C$4:$C$299,0),5)))</f>
        <v>General-purpose input/output pin</v>
      </c>
    </row>
    <row r="504" spans="1:4">
      <c r="A504" t="s">
        <v>1313</v>
      </c>
      <c r="B504" t="str">
        <f t="shared" si="14"/>
        <v>/*!&lt; A/D converter analog input 17 pin. \hideinitializer */</v>
      </c>
      <c r="C504" t="str">
        <f t="shared" si="15"/>
        <v>ADIN17</v>
      </c>
      <c r="D504" t="str">
        <f>IF(C504="GPIO","General-purpose input/output pin",IF(C504="","",INDEX('@Pin Component List記載'!$C$4:$G$299,MATCH(C504,'@Pin Component List記載'!$C$4:$C$299,0),5)))</f>
        <v>A/D converter analog input 17 pin</v>
      </c>
    </row>
    <row r="505" spans="1:4">
      <c r="A505" t="s">
        <v>1388</v>
      </c>
      <c r="B505" t="str">
        <f t="shared" si="14"/>
        <v/>
      </c>
      <c r="C505" t="str">
        <f t="shared" si="15"/>
        <v>VGA2_VGAN</v>
      </c>
      <c r="D505" t="e">
        <f>IF(C505="GPIO","General-purpose input/output pin",IF(C505="","",INDEX('@Pin Component List記載'!$C$4:$G$299,MATCH(C505,'@Pin Component List記載'!$C$4:$C$299,0),5)))</f>
        <v>#N/A</v>
      </c>
    </row>
    <row r="506" spans="1:4">
      <c r="B506" t="str">
        <f t="shared" si="14"/>
        <v/>
      </c>
      <c r="C506" t="str">
        <f t="shared" si="15"/>
        <v/>
      </c>
      <c r="D506" t="str">
        <f>IF(C506="GPIO","General-purpose input/output pin",IF(C506="","",INDEX('@Pin Component List記載'!$C$4:$G$299,MATCH(C506,'@Pin Component List記載'!$C$4:$C$299,0),5)))</f>
        <v/>
      </c>
    </row>
    <row r="507" spans="1:4">
      <c r="A507" t="s">
        <v>1160</v>
      </c>
      <c r="B507" t="str">
        <f t="shared" si="14"/>
        <v>/*!&lt; General-purpose input/output pin. \hideinitializer */</v>
      </c>
      <c r="C507" t="str">
        <f t="shared" si="15"/>
        <v>GPIO</v>
      </c>
      <c r="D507" t="str">
        <f>IF(C507="GPIO","General-purpose input/output pin",IF(C507="","",INDEX('@Pin Component List記載'!$C$4:$G$299,MATCH(C507,'@Pin Component List記載'!$C$4:$C$299,0),5)))</f>
        <v>General-purpose input/output pin</v>
      </c>
    </row>
    <row r="508" spans="1:4">
      <c r="A508" t="s">
        <v>1314</v>
      </c>
      <c r="B508" t="str">
        <f t="shared" si="14"/>
        <v>/*!&lt; A/D converter analog input 18 pin. \hideinitializer */</v>
      </c>
      <c r="C508" t="str">
        <f t="shared" si="15"/>
        <v>ADIN18</v>
      </c>
      <c r="D508" t="str">
        <f>IF(C508="GPIO","General-purpose input/output pin",IF(C508="","",INDEX('@Pin Component List記載'!$C$4:$G$299,MATCH(C508,'@Pin Component List記載'!$C$4:$C$299,0),5)))</f>
        <v>A/D converter analog input 18 pin</v>
      </c>
    </row>
    <row r="509" spans="1:4">
      <c r="B509" t="str">
        <f t="shared" si="14"/>
        <v/>
      </c>
      <c r="C509" t="str">
        <f t="shared" si="15"/>
        <v/>
      </c>
      <c r="D509" t="str">
        <f>IF(C509="GPIO","General-purpose input/output pin",IF(C509="","",INDEX('@Pin Component List記載'!$C$4:$G$299,MATCH(C509,'@Pin Component List記載'!$C$4:$C$299,0),5)))</f>
        <v/>
      </c>
    </row>
    <row r="510" spans="1:4">
      <c r="A510" t="s">
        <v>1160</v>
      </c>
      <c r="B510" t="str">
        <f t="shared" si="14"/>
        <v>/*!&lt; General-purpose input/output pin. \hideinitializer */</v>
      </c>
      <c r="C510" t="str">
        <f t="shared" si="15"/>
        <v>GPIO</v>
      </c>
      <c r="D510" t="str">
        <f>IF(C510="GPIO","General-purpose input/output pin",IF(C510="","",INDEX('@Pin Component List記載'!$C$4:$G$299,MATCH(C510,'@Pin Component List記載'!$C$4:$C$299,0),5)))</f>
        <v>General-purpose input/output pin</v>
      </c>
    </row>
    <row r="511" spans="1:4">
      <c r="A511" t="s">
        <v>1315</v>
      </c>
      <c r="B511" t="str">
        <f t="shared" si="14"/>
        <v>/*!&lt; A/D converter analog input 19 pin. \hideinitializer */</v>
      </c>
      <c r="C511" t="str">
        <f t="shared" si="15"/>
        <v>ADIN19</v>
      </c>
      <c r="D511" t="str">
        <f>IF(C511="GPIO","General-purpose input/output pin",IF(C511="","",INDEX('@Pin Component List記載'!$C$4:$G$299,MATCH(C511,'@Pin Component List記載'!$C$4:$C$299,0),5)))</f>
        <v>A/D converter analog input 19 pin</v>
      </c>
    </row>
    <row r="512" spans="1:4">
      <c r="B512" t="str">
        <f t="shared" si="14"/>
        <v/>
      </c>
      <c r="C512" t="str">
        <f t="shared" si="15"/>
        <v/>
      </c>
      <c r="D512" t="str">
        <f>IF(C512="GPIO","General-purpose input/output pin",IF(C512="","",INDEX('@Pin Component List記載'!$C$4:$G$299,MATCH(C512,'@Pin Component List記載'!$C$4:$C$299,0),5)))</f>
        <v/>
      </c>
    </row>
    <row r="513" spans="1:4">
      <c r="A513" t="s">
        <v>1160</v>
      </c>
      <c r="B513" t="str">
        <f t="shared" ref="B513:B548" si="16">IFERROR(IF(D513="","","/*!&lt; "&amp;D513&amp;". \hideinitializer */"),"")</f>
        <v>/*!&lt; General-purpose input/output pin. \hideinitializer */</v>
      </c>
      <c r="C513" t="str">
        <f t="shared" si="15"/>
        <v>GPIO</v>
      </c>
      <c r="D513" t="str">
        <f>IF(C513="GPIO","General-purpose input/output pin",IF(C513="","",INDEX('@Pin Component List記載'!$C$4:$G$299,MATCH(C513,'@Pin Component List記載'!$C$4:$C$299,0),5)))</f>
        <v>General-purpose input/output pin</v>
      </c>
    </row>
    <row r="514" spans="1:4">
      <c r="A514" t="s">
        <v>1316</v>
      </c>
      <c r="B514" t="str">
        <f t="shared" si="16"/>
        <v>/*!&lt; A/D converter analog input 20 pin. \hideinitializer */</v>
      </c>
      <c r="C514" t="str">
        <f t="shared" si="15"/>
        <v>ADIN20</v>
      </c>
      <c r="D514" t="str">
        <f>IF(C514="GPIO","General-purpose input/output pin",IF(C514="","",INDEX('@Pin Component List記載'!$C$4:$G$299,MATCH(C514,'@Pin Component List記載'!$C$4:$C$299,0),5)))</f>
        <v>A/D converter analog input 20 pin</v>
      </c>
    </row>
    <row r="515" spans="1:4">
      <c r="B515" t="str">
        <f t="shared" si="16"/>
        <v/>
      </c>
      <c r="C515" t="str">
        <f t="shared" ref="C515:C548" si="17">SUBSTITUTE(A515," ","")</f>
        <v/>
      </c>
      <c r="D515" t="str">
        <f>IF(C515="GPIO","General-purpose input/output pin",IF(C515="","",INDEX('@Pin Component List記載'!$C$4:$G$299,MATCH(C515,'@Pin Component List記載'!$C$4:$C$299,0),5)))</f>
        <v/>
      </c>
    </row>
    <row r="516" spans="1:4">
      <c r="A516" t="s">
        <v>1160</v>
      </c>
      <c r="B516" t="str">
        <f t="shared" si="16"/>
        <v>/*!&lt; General-purpose input/output pin. \hideinitializer */</v>
      </c>
      <c r="C516" t="str">
        <f t="shared" si="17"/>
        <v>GPIO</v>
      </c>
      <c r="D516" t="str">
        <f>IF(C516="GPIO","General-purpose input/output pin",IF(C516="","",INDEX('@Pin Component List記載'!$C$4:$G$299,MATCH(C516,'@Pin Component List記載'!$C$4:$C$299,0),5)))</f>
        <v>General-purpose input/output pin</v>
      </c>
    </row>
    <row r="517" spans="1:4">
      <c r="A517" t="s">
        <v>1317</v>
      </c>
      <c r="B517" t="str">
        <f t="shared" si="16"/>
        <v>/*!&lt; A/D converter analog input 21 pin. \hideinitializer */</v>
      </c>
      <c r="C517" t="str">
        <f t="shared" si="17"/>
        <v>ADIN21</v>
      </c>
      <c r="D517" t="str">
        <f>IF(C517="GPIO","General-purpose input/output pin",IF(C517="","",INDEX('@Pin Component List記載'!$C$4:$G$299,MATCH(C517,'@Pin Component List記載'!$C$4:$C$299,0),5)))</f>
        <v>A/D converter analog input 21 pin</v>
      </c>
    </row>
    <row r="518" spans="1:4">
      <c r="B518" t="str">
        <f t="shared" si="16"/>
        <v/>
      </c>
      <c r="C518" t="str">
        <f t="shared" si="17"/>
        <v/>
      </c>
      <c r="D518" t="str">
        <f>IF(C518="GPIO","General-purpose input/output pin",IF(C518="","",INDEX('@Pin Component List記載'!$C$4:$G$299,MATCH(C518,'@Pin Component List記載'!$C$4:$C$299,0),5)))</f>
        <v/>
      </c>
    </row>
    <row r="519" spans="1:4">
      <c r="A519" t="s">
        <v>1160</v>
      </c>
      <c r="B519" t="str">
        <f t="shared" si="16"/>
        <v>/*!&lt; General-purpose input/output pin. \hideinitializer */</v>
      </c>
      <c r="C519" t="str">
        <f t="shared" si="17"/>
        <v>GPIO</v>
      </c>
      <c r="D519" t="str">
        <f>IF(C519="GPIO","General-purpose input/output pin",IF(C519="","",INDEX('@Pin Component List記載'!$C$4:$G$299,MATCH(C519,'@Pin Component List記載'!$C$4:$C$299,0),5)))</f>
        <v>General-purpose input/output pin</v>
      </c>
    </row>
    <row r="520" spans="1:4">
      <c r="A520" t="s">
        <v>1318</v>
      </c>
      <c r="B520" t="str">
        <f t="shared" si="16"/>
        <v>/*!&lt; A/D converter analog input 22 pin. \hideinitializer */</v>
      </c>
      <c r="C520" t="str">
        <f t="shared" si="17"/>
        <v>ADIN22</v>
      </c>
      <c r="D520" t="str">
        <f>IF(C520="GPIO","General-purpose input/output pin",IF(C520="","",INDEX('@Pin Component List記載'!$C$4:$G$299,MATCH(C520,'@Pin Component List記載'!$C$4:$C$299,0),5)))</f>
        <v>A/D converter analog input 22 pin</v>
      </c>
    </row>
    <row r="521" spans="1:4">
      <c r="B521" t="str">
        <f t="shared" si="16"/>
        <v/>
      </c>
      <c r="C521" t="str">
        <f t="shared" si="17"/>
        <v/>
      </c>
      <c r="D521" t="str">
        <f>IF(C521="GPIO","General-purpose input/output pin",IF(C521="","",INDEX('@Pin Component List記載'!$C$4:$G$299,MATCH(C521,'@Pin Component List記載'!$C$4:$C$299,0),5)))</f>
        <v/>
      </c>
    </row>
    <row r="522" spans="1:4">
      <c r="A522" t="s">
        <v>1160</v>
      </c>
      <c r="B522" t="str">
        <f t="shared" si="16"/>
        <v>/*!&lt; General-purpose input/output pin. \hideinitializer */</v>
      </c>
      <c r="C522" t="str">
        <f t="shared" si="17"/>
        <v>GPIO</v>
      </c>
      <c r="D522" t="str">
        <f>IF(C522="GPIO","General-purpose input/output pin",IF(C522="","",INDEX('@Pin Component List記載'!$C$4:$G$299,MATCH(C522,'@Pin Component List記載'!$C$4:$C$299,0),5)))</f>
        <v>General-purpose input/output pin</v>
      </c>
    </row>
    <row r="523" spans="1:4">
      <c r="A523" t="s">
        <v>1319</v>
      </c>
      <c r="B523" t="str">
        <f t="shared" si="16"/>
        <v>/*!&lt; A/D converter analog input 23 pin. \hideinitializer */</v>
      </c>
      <c r="C523" t="str">
        <f t="shared" si="17"/>
        <v>ADIN23</v>
      </c>
      <c r="D523" t="str">
        <f>IF(C523="GPIO","General-purpose input/output pin",IF(C523="","",INDEX('@Pin Component List記載'!$C$4:$G$299,MATCH(C523,'@Pin Component List記載'!$C$4:$C$299,0),5)))</f>
        <v>A/D converter analog input 23 pin</v>
      </c>
    </row>
    <row r="524" spans="1:4">
      <c r="B524" t="str">
        <f t="shared" si="16"/>
        <v/>
      </c>
      <c r="C524" t="str">
        <f t="shared" si="17"/>
        <v/>
      </c>
      <c r="D524" t="str">
        <f>IF(C524="GPIO","General-purpose input/output pin",IF(C524="","",INDEX('@Pin Component List記載'!$C$4:$G$299,MATCH(C524,'@Pin Component List記載'!$C$4:$C$299,0),5)))</f>
        <v/>
      </c>
    </row>
    <row r="525" spans="1:4">
      <c r="A525" t="s">
        <v>1177</v>
      </c>
      <c r="B525" t="str">
        <f t="shared" si="16"/>
        <v/>
      </c>
      <c r="C525" t="str">
        <f t="shared" si="17"/>
        <v>definitionof</v>
      </c>
      <c r="D525" t="e">
        <f>IF(C525="GPIO","General-purpose input/output pin",IF(C525="","",INDEX('@Pin Component List記載'!$C$4:$G$299,MATCH(C525,'@Pin Component List記載'!$C$4:$C$299,0),5)))</f>
        <v>#N/A</v>
      </c>
    </row>
    <row r="526" spans="1:4">
      <c r="A526" t="s">
        <v>1160</v>
      </c>
      <c r="B526" t="str">
        <f t="shared" si="16"/>
        <v>/*!&lt; General-purpose input/output pin. \hideinitializer */</v>
      </c>
      <c r="C526" t="str">
        <f t="shared" si="17"/>
        <v>GPIO</v>
      </c>
      <c r="D526" t="str">
        <f>IF(C526="GPIO","General-purpose input/output pin",IF(C526="","",INDEX('@Pin Component List記載'!$C$4:$G$299,MATCH(C526,'@Pin Component List記載'!$C$4:$C$299,0),5)))</f>
        <v>General-purpose input/output pin</v>
      </c>
    </row>
    <row r="527" spans="1:4">
      <c r="A527" t="s">
        <v>1320</v>
      </c>
      <c r="B527" t="str">
        <f t="shared" si="16"/>
        <v>/*!&lt; A/D converter analog input 24 pin. \hideinitializer */</v>
      </c>
      <c r="C527" t="str">
        <f t="shared" si="17"/>
        <v>ADIN24</v>
      </c>
      <c r="D527" t="str">
        <f>IF(C527="GPIO","General-purpose input/output pin",IF(C527="","",INDEX('@Pin Component List記載'!$C$4:$G$299,MATCH(C527,'@Pin Component List記載'!$C$4:$C$299,0),5)))</f>
        <v>A/D converter analog input 24 pin</v>
      </c>
    </row>
    <row r="528" spans="1:4">
      <c r="B528" t="str">
        <f t="shared" si="16"/>
        <v/>
      </c>
      <c r="C528" t="str">
        <f t="shared" si="17"/>
        <v/>
      </c>
      <c r="D528" t="str">
        <f>IF(C528="GPIO","General-purpose input/output pin",IF(C528="","",INDEX('@Pin Component List記載'!$C$4:$G$299,MATCH(C528,'@Pin Component List記載'!$C$4:$C$299,0),5)))</f>
        <v/>
      </c>
    </row>
    <row r="529" spans="1:4">
      <c r="A529" t="s">
        <v>1160</v>
      </c>
      <c r="B529" t="str">
        <f t="shared" si="16"/>
        <v>/*!&lt; General-purpose input/output pin. \hideinitializer */</v>
      </c>
      <c r="C529" t="str">
        <f t="shared" si="17"/>
        <v>GPIO</v>
      </c>
      <c r="D529" t="str">
        <f>IF(C529="GPIO","General-purpose input/output pin",IF(C529="","",INDEX('@Pin Component List記載'!$C$4:$G$299,MATCH(C529,'@Pin Component List記載'!$C$4:$C$299,0),5)))</f>
        <v>General-purpose input/output pin</v>
      </c>
    </row>
    <row r="530" spans="1:4">
      <c r="A530" t="s">
        <v>1321</v>
      </c>
      <c r="B530" t="str">
        <f t="shared" si="16"/>
        <v>/*!&lt; A/D converter analog input 25 pin. \hideinitializer */</v>
      </c>
      <c r="C530" t="str">
        <f t="shared" si="17"/>
        <v>ADIN25</v>
      </c>
      <c r="D530" t="str">
        <f>IF(C530="GPIO","General-purpose input/output pin",IF(C530="","",INDEX('@Pin Component List記載'!$C$4:$G$299,MATCH(C530,'@Pin Component List記載'!$C$4:$C$299,0),5)))</f>
        <v>A/D converter analog input 25 pin</v>
      </c>
    </row>
    <row r="531" spans="1:4">
      <c r="B531" t="str">
        <f t="shared" si="16"/>
        <v/>
      </c>
      <c r="C531" t="str">
        <f t="shared" si="17"/>
        <v/>
      </c>
      <c r="D531" t="str">
        <f>IF(C531="GPIO","General-purpose input/output pin",IF(C531="","",INDEX('@Pin Component List記載'!$C$4:$G$299,MATCH(C531,'@Pin Component List記載'!$C$4:$C$299,0),5)))</f>
        <v/>
      </c>
    </row>
    <row r="532" spans="1:4">
      <c r="A532" t="s">
        <v>1160</v>
      </c>
      <c r="B532" t="str">
        <f t="shared" si="16"/>
        <v>/*!&lt; General-purpose input/output pin. \hideinitializer */</v>
      </c>
      <c r="C532" t="str">
        <f t="shared" si="17"/>
        <v>GPIO</v>
      </c>
      <c r="D532" t="str">
        <f>IF(C532="GPIO","General-purpose input/output pin",IF(C532="","",INDEX('@Pin Component List記載'!$C$4:$G$299,MATCH(C532,'@Pin Component List記載'!$C$4:$C$299,0),5)))</f>
        <v>General-purpose input/output pin</v>
      </c>
    </row>
    <row r="533" spans="1:4">
      <c r="A533" t="s">
        <v>1322</v>
      </c>
      <c r="B533" t="str">
        <f t="shared" si="16"/>
        <v/>
      </c>
      <c r="C533" t="str">
        <f t="shared" si="17"/>
        <v>ADIN26</v>
      </c>
      <c r="D533" t="e">
        <f>IF(C533="GPIO","General-purpose input/output pin",IF(C533="","",INDEX('@Pin Component List記載'!$C$4:$G$299,MATCH(C533,'@Pin Component List記載'!$C$4:$C$299,0),5)))</f>
        <v>#N/A</v>
      </c>
    </row>
    <row r="534" spans="1:4">
      <c r="B534" t="str">
        <f t="shared" si="16"/>
        <v/>
      </c>
      <c r="C534" t="str">
        <f t="shared" si="17"/>
        <v/>
      </c>
      <c r="D534" t="str">
        <f>IF(C534="GPIO","General-purpose input/output pin",IF(C534="","",INDEX('@Pin Component List記載'!$C$4:$G$299,MATCH(C534,'@Pin Component List記載'!$C$4:$C$299,0),5)))</f>
        <v/>
      </c>
    </row>
    <row r="535" spans="1:4">
      <c r="A535" t="s">
        <v>1160</v>
      </c>
      <c r="B535" t="str">
        <f t="shared" si="16"/>
        <v>/*!&lt; General-purpose input/output pin. \hideinitializer */</v>
      </c>
      <c r="C535" t="str">
        <f t="shared" si="17"/>
        <v>GPIO</v>
      </c>
      <c r="D535" t="str">
        <f>IF(C535="GPIO","General-purpose input/output pin",IF(C535="","",INDEX('@Pin Component List記載'!$C$4:$G$299,MATCH(C535,'@Pin Component List記載'!$C$4:$C$299,0),5)))</f>
        <v>General-purpose input/output pin</v>
      </c>
    </row>
    <row r="536" spans="1:4">
      <c r="A536" t="s">
        <v>1323</v>
      </c>
      <c r="B536" t="str">
        <f t="shared" si="16"/>
        <v/>
      </c>
      <c r="C536" t="str">
        <f t="shared" si="17"/>
        <v>ADIN27</v>
      </c>
      <c r="D536" t="e">
        <f>IF(C536="GPIO","General-purpose input/output pin",IF(C536="","",INDEX('@Pin Component List記載'!$C$4:$G$299,MATCH(C536,'@Pin Component List記載'!$C$4:$C$299,0),5)))</f>
        <v>#N/A</v>
      </c>
    </row>
    <row r="537" spans="1:4">
      <c r="B537" t="str">
        <f t="shared" si="16"/>
        <v/>
      </c>
      <c r="C537" t="str">
        <f t="shared" si="17"/>
        <v/>
      </c>
      <c r="D537" t="str">
        <f>IF(C537="GPIO","General-purpose input/output pin",IF(C537="","",INDEX('@Pin Component List記載'!$C$4:$G$299,MATCH(C537,'@Pin Component List記載'!$C$4:$C$299,0),5)))</f>
        <v/>
      </c>
    </row>
    <row r="538" spans="1:4">
      <c r="A538" t="s">
        <v>1160</v>
      </c>
      <c r="B538" t="str">
        <f t="shared" si="16"/>
        <v>/*!&lt; General-purpose input/output pin. \hideinitializer */</v>
      </c>
      <c r="C538" t="str">
        <f t="shared" si="17"/>
        <v>GPIO</v>
      </c>
      <c r="D538" t="str">
        <f>IF(C538="GPIO","General-purpose input/output pin",IF(C538="","",INDEX('@Pin Component List記載'!$C$4:$G$299,MATCH(C538,'@Pin Component List記載'!$C$4:$C$299,0),5)))</f>
        <v>General-purpose input/output pin</v>
      </c>
    </row>
    <row r="539" spans="1:4">
      <c r="A539" t="s">
        <v>1324</v>
      </c>
      <c r="B539" t="str">
        <f t="shared" si="16"/>
        <v/>
      </c>
      <c r="C539" t="str">
        <f t="shared" si="17"/>
        <v>ADIN28</v>
      </c>
      <c r="D539" t="e">
        <f>IF(C539="GPIO","General-purpose input/output pin",IF(C539="","",INDEX('@Pin Component List記載'!$C$4:$G$299,MATCH(C539,'@Pin Component List記載'!$C$4:$C$299,0),5)))</f>
        <v>#N/A</v>
      </c>
    </row>
    <row r="540" spans="1:4">
      <c r="B540" t="str">
        <f t="shared" si="16"/>
        <v/>
      </c>
      <c r="C540" t="str">
        <f t="shared" si="17"/>
        <v/>
      </c>
      <c r="D540" t="str">
        <f>IF(C540="GPIO","General-purpose input/output pin",IF(C540="","",INDEX('@Pin Component List記載'!$C$4:$G$299,MATCH(C540,'@Pin Component List記載'!$C$4:$C$299,0),5)))</f>
        <v/>
      </c>
    </row>
    <row r="541" spans="1:4">
      <c r="A541" t="s">
        <v>1160</v>
      </c>
      <c r="B541" t="str">
        <f t="shared" si="16"/>
        <v>/*!&lt; General-purpose input/output pin. \hideinitializer */</v>
      </c>
      <c r="C541" t="str">
        <f t="shared" si="17"/>
        <v>GPIO</v>
      </c>
      <c r="D541" t="str">
        <f>IF(C541="GPIO","General-purpose input/output pin",IF(C541="","",INDEX('@Pin Component List記載'!$C$4:$G$299,MATCH(C541,'@Pin Component List記載'!$C$4:$C$299,0),5)))</f>
        <v>General-purpose input/output pin</v>
      </c>
    </row>
    <row r="542" spans="1:4">
      <c r="A542" t="s">
        <v>1325</v>
      </c>
      <c r="B542" t="str">
        <f t="shared" si="16"/>
        <v/>
      </c>
      <c r="C542" t="str">
        <f t="shared" si="17"/>
        <v>ADIN29</v>
      </c>
      <c r="D542" t="e">
        <f>IF(C542="GPIO","General-purpose input/output pin",IF(C542="","",INDEX('@Pin Component List記載'!$C$4:$G$299,MATCH(C542,'@Pin Component List記載'!$C$4:$C$299,0),5)))</f>
        <v>#N/A</v>
      </c>
    </row>
    <row r="543" spans="1:4">
      <c r="B543" t="str">
        <f t="shared" si="16"/>
        <v/>
      </c>
      <c r="C543" t="str">
        <f t="shared" si="17"/>
        <v/>
      </c>
      <c r="D543" t="str">
        <f>IF(C543="GPIO","General-purpose input/output pin",IF(C543="","",INDEX('@Pin Component List記載'!$C$4:$G$299,MATCH(C543,'@Pin Component List記載'!$C$4:$C$299,0),5)))</f>
        <v/>
      </c>
    </row>
    <row r="544" spans="1:4">
      <c r="A544" t="s">
        <v>1160</v>
      </c>
      <c r="B544" t="str">
        <f t="shared" si="16"/>
        <v>/*!&lt; General-purpose input/output pin. \hideinitializer */</v>
      </c>
      <c r="C544" t="str">
        <f t="shared" si="17"/>
        <v>GPIO</v>
      </c>
      <c r="D544" t="str">
        <f>IF(C544="GPIO","General-purpose input/output pin",IF(C544="","",INDEX('@Pin Component List記載'!$C$4:$G$299,MATCH(C544,'@Pin Component List記載'!$C$4:$C$299,0),5)))</f>
        <v>General-purpose input/output pin</v>
      </c>
    </row>
    <row r="545" spans="1:4">
      <c r="A545" t="s">
        <v>1326</v>
      </c>
      <c r="B545" t="str">
        <f t="shared" si="16"/>
        <v/>
      </c>
      <c r="C545" t="str">
        <f t="shared" si="17"/>
        <v>ADIN30</v>
      </c>
      <c r="D545" t="e">
        <f>IF(C545="GPIO","General-purpose input/output pin",IF(C545="","",INDEX('@Pin Component List記載'!$C$4:$G$299,MATCH(C545,'@Pin Component List記載'!$C$4:$C$299,0),5)))</f>
        <v>#N/A</v>
      </c>
    </row>
    <row r="546" spans="1:4">
      <c r="B546" t="str">
        <f t="shared" si="16"/>
        <v/>
      </c>
      <c r="C546" t="str">
        <f t="shared" si="17"/>
        <v/>
      </c>
      <c r="D546" t="str">
        <f>IF(C546="GPIO","General-purpose input/output pin",IF(C546="","",INDEX('@Pin Component List記載'!$C$4:$G$299,MATCH(C546,'@Pin Component List記載'!$C$4:$C$299,0),5)))</f>
        <v/>
      </c>
    </row>
    <row r="547" spans="1:4">
      <c r="A547" t="s">
        <v>1160</v>
      </c>
      <c r="B547" t="str">
        <f t="shared" si="16"/>
        <v>/*!&lt; General-purpose input/output pin. \hideinitializer */</v>
      </c>
      <c r="C547" t="str">
        <f t="shared" si="17"/>
        <v>GPIO</v>
      </c>
      <c r="D547" t="str">
        <f>IF(C547="GPIO","General-purpose input/output pin",IF(C547="","",INDEX('@Pin Component List記載'!$C$4:$G$299,MATCH(C547,'@Pin Component List記載'!$C$4:$C$299,0),5)))</f>
        <v>General-purpose input/output pin</v>
      </c>
    </row>
    <row r="548" spans="1:4">
      <c r="A548" t="s">
        <v>1327</v>
      </c>
      <c r="B548" t="str">
        <f t="shared" si="16"/>
        <v/>
      </c>
      <c r="C548" t="str">
        <f t="shared" si="17"/>
        <v>ADIN31</v>
      </c>
      <c r="D548" t="e">
        <f>IF(C548="GPIO","General-purpose input/output pin",IF(C548="","",INDEX('@Pin Component List記載'!$C$4:$G$299,MATCH(C548,'@Pin Component List記載'!$C$4:$C$299,0),5)))</f>
        <v>#N/A</v>
      </c>
    </row>
  </sheetData>
  <autoFilter ref="A1:E548"/>
  <phoneticPr fontId="56"/>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46317B63134CCC498EF676B7370DABC8" ma:contentTypeVersion="2" ma:contentTypeDescription="新しいドキュメントを作成します。" ma:contentTypeScope="" ma:versionID="758d38fdc9ae94fe8aeaf8e4fe1b3cc1">
  <xsd:schema xmlns:xsd="http://www.w3.org/2001/XMLSchema" xmlns:xs="http://www.w3.org/2001/XMLSchema" xmlns:p="http://schemas.microsoft.com/office/2006/metadata/properties" xmlns:ns2="ef0d4916-653b-440d-afe6-d6d4b073003e" targetNamespace="http://schemas.microsoft.com/office/2006/metadata/properties" ma:root="true" ma:fieldsID="0baa7435be94d74d5c3945cd5faf30af" ns2:_="">
    <xsd:import namespace="ef0d4916-653b-440d-afe6-d6d4b073003e"/>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0d4916-653b-440d-afe6-d6d4b073003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77AD1A1-6971-4132-9CE3-84341FAE47AC}"/>
</file>

<file path=customXml/itemProps2.xml><?xml version="1.0" encoding="utf-8"?>
<ds:datastoreItem xmlns:ds="http://schemas.openxmlformats.org/officeDocument/2006/customXml" ds:itemID="{7C76BFB7-66E8-4CDC-BBE1-1828F86FECB6}">
  <ds:schemaRefs>
    <ds:schemaRef ds:uri="http://schemas.microsoft.com/sharepoint/v3/contenttype/forms"/>
  </ds:schemaRefs>
</ds:datastoreItem>
</file>

<file path=customXml/itemProps3.xml><?xml version="1.0" encoding="utf-8"?>
<ds:datastoreItem xmlns:ds="http://schemas.openxmlformats.org/officeDocument/2006/customXml" ds:itemID="{719240FD-E398-4436-BA37-B5198119AA8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1</vt:i4>
      </vt:variant>
    </vt:vector>
  </HeadingPairs>
  <TitlesOfParts>
    <vt:vector size="11" baseType="lpstr">
      <vt:lpstr>MFP(sample)</vt:lpstr>
      <vt:lpstr>MFP</vt:lpstr>
      <vt:lpstr>FPS</vt:lpstr>
      <vt:lpstr>Package Type</vt:lpstr>
      <vt:lpstr>Unused IP</vt:lpstr>
      <vt:lpstr>Special Group Name</vt:lpstr>
      <vt:lpstr>Port Control Register</vt:lpstr>
      <vt:lpstr>＠グループ、表示名</vt:lpstr>
      <vt:lpstr>@Pin Component List記載</vt:lpstr>
      <vt:lpstr>Sheet1</vt:lpstr>
      <vt:lpstr>'@Pin Component List記載'!Extract</vt:lpstr>
    </vt:vector>
  </TitlesOfParts>
  <Manager/>
  <Company>nuvoton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PG10 CTHo2</dc:creator>
  <cp:keywords/>
  <dc:description/>
  <cp:lastModifiedBy>全社標準PC</cp:lastModifiedBy>
  <cp:revision/>
  <dcterms:created xsi:type="dcterms:W3CDTF">2012-11-13T03:52:01Z</dcterms:created>
  <dcterms:modified xsi:type="dcterms:W3CDTF">2022-08-09T05:05:37Z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0x01010046317B63134CCC498EF676B7370DABC8</vt:lpwstr>
  </property>
</Properties>
</file>