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4037460\Documents\NuTool\PinConfigure\"/>
    </mc:Choice>
  </mc:AlternateContent>
  <bookViews>
    <workbookView xWindow="0" yWindow="285" windowWidth="14370" windowHeight="6480" tabRatio="811" activeTab="1"/>
  </bookViews>
  <sheets>
    <sheet name="MFP(sample)" sheetId="36" r:id="rId1"/>
    <sheet name="MFP" sheetId="37" r:id="rId2"/>
    <sheet name="Package Type" sheetId="32" r:id="rId3"/>
    <sheet name="Unused IP" sheetId="31" r:id="rId4"/>
    <sheet name="Special Group Name" sheetId="30" r:id="rId5"/>
    <sheet name="Port Control Register" sheetId="39" r:id="rId6"/>
    <sheet name="＠グループ、表示名" sheetId="40" r:id="rId7"/>
    <sheet name="@Pin Component List記載" sheetId="41" r:id="rId8"/>
  </sheets>
  <definedNames>
    <definedName name="_xlnm._FilterDatabase" localSheetId="7" hidden="1">'@Pin Component List記載'!$H$3:$I$413</definedName>
    <definedName name="_xlnm._FilterDatabase" localSheetId="6" hidden="1">'＠グループ、表示名'!#REF!</definedName>
    <definedName name="_xlnm._FilterDatabase" localSheetId="1" hidden="1">MFP!$A$1:$N$145</definedName>
    <definedName name="_xlnm._FilterDatabase" localSheetId="4" hidden="1">'Special Group Name'!$A$1:$B$405</definedName>
    <definedName name="_xlnm.Extract" localSheetId="7">'@Pin Component List記載'!$G$3:$I$3</definedName>
  </definedNames>
  <calcPr calcId="162913"/>
</workbook>
</file>

<file path=xl/calcChain.xml><?xml version="1.0" encoding="utf-8"?>
<calcChain xmlns="http://schemas.openxmlformats.org/spreadsheetml/2006/main">
  <c r="B10" i="41" l="1"/>
  <c r="C10" i="41"/>
  <c r="B11" i="41"/>
  <c r="C11" i="41"/>
  <c r="B12" i="41"/>
  <c r="C12" i="41"/>
  <c r="B13" i="41"/>
  <c r="C13" i="41"/>
  <c r="B14" i="41"/>
  <c r="C14" i="41"/>
  <c r="B15" i="41"/>
  <c r="C15" i="41"/>
  <c r="B16" i="41"/>
  <c r="C16" i="41"/>
  <c r="B17" i="41"/>
  <c r="C17" i="41"/>
  <c r="B18" i="41"/>
  <c r="C18" i="41"/>
  <c r="B19" i="41"/>
  <c r="C19" i="41"/>
  <c r="B20" i="41"/>
  <c r="C20" i="41"/>
  <c r="B21" i="41"/>
  <c r="C21" i="41"/>
  <c r="B22" i="41"/>
  <c r="C22" i="41"/>
  <c r="B23" i="41"/>
  <c r="C23" i="41"/>
  <c r="B24" i="41"/>
  <c r="C24" i="41"/>
  <c r="B25" i="41"/>
  <c r="C25" i="41"/>
  <c r="B26" i="41"/>
  <c r="C26" i="41"/>
  <c r="B27" i="41"/>
  <c r="C27" i="41"/>
  <c r="B28" i="41"/>
  <c r="C28" i="41"/>
  <c r="B29" i="41"/>
  <c r="C29" i="41"/>
  <c r="B30" i="41"/>
  <c r="C30" i="41"/>
  <c r="B31" i="41"/>
  <c r="C31" i="41"/>
  <c r="B32" i="41"/>
  <c r="C32" i="41"/>
  <c r="B33" i="41"/>
  <c r="C33" i="41"/>
  <c r="B34" i="41"/>
  <c r="C34" i="41"/>
  <c r="B35" i="41"/>
  <c r="C35" i="41"/>
  <c r="B36" i="41"/>
  <c r="C36" i="41"/>
  <c r="B37" i="41"/>
  <c r="C37" i="41"/>
  <c r="B38" i="41"/>
  <c r="C38" i="41"/>
  <c r="B39" i="41"/>
  <c r="C39" i="41"/>
  <c r="B40" i="41"/>
  <c r="C40" i="41"/>
  <c r="B41" i="41"/>
  <c r="C41" i="41"/>
  <c r="B42" i="41"/>
  <c r="C42" i="41"/>
  <c r="B43" i="41"/>
  <c r="C43" i="41"/>
  <c r="B44" i="41"/>
  <c r="C44" i="41"/>
  <c r="B45" i="41"/>
  <c r="C45" i="41"/>
  <c r="B46" i="41"/>
  <c r="C46" i="41"/>
  <c r="B47" i="41"/>
  <c r="C47" i="41"/>
  <c r="B48" i="41"/>
  <c r="C48" i="41"/>
  <c r="B49" i="41"/>
  <c r="C49" i="41"/>
  <c r="B50" i="41"/>
  <c r="C50" i="41"/>
  <c r="B51" i="41"/>
  <c r="C51" i="41"/>
  <c r="B52" i="41"/>
  <c r="C52" i="41"/>
  <c r="B53" i="41"/>
  <c r="C53" i="41"/>
  <c r="B54" i="41"/>
  <c r="C54" i="41"/>
  <c r="B55" i="41"/>
  <c r="C55" i="41"/>
  <c r="B56" i="41"/>
  <c r="C56" i="41"/>
  <c r="B57" i="41"/>
  <c r="C57" i="41"/>
  <c r="B58" i="41"/>
  <c r="C58" i="41"/>
  <c r="B59" i="41"/>
  <c r="C59" i="41"/>
  <c r="B60" i="41"/>
  <c r="C60" i="41"/>
  <c r="B61" i="41"/>
  <c r="C61" i="41"/>
  <c r="B62" i="41"/>
  <c r="C62" i="41"/>
  <c r="B63" i="41"/>
  <c r="C63" i="41"/>
  <c r="B64" i="41"/>
  <c r="C64" i="41"/>
  <c r="B65" i="41"/>
  <c r="C65" i="41"/>
  <c r="B66" i="41"/>
  <c r="C66" i="41"/>
  <c r="B67" i="41"/>
  <c r="C67" i="41"/>
  <c r="B68" i="41"/>
  <c r="C68" i="41"/>
  <c r="B69" i="41"/>
  <c r="C69" i="41"/>
  <c r="B70" i="41"/>
  <c r="C70" i="41"/>
  <c r="B71" i="41"/>
  <c r="C71" i="41"/>
  <c r="B72" i="41"/>
  <c r="C72" i="41"/>
  <c r="B73" i="41"/>
  <c r="C73" i="41"/>
  <c r="B74" i="41"/>
  <c r="C74" i="41"/>
  <c r="B75" i="41"/>
  <c r="C75" i="41"/>
  <c r="B76" i="41"/>
  <c r="C76" i="41"/>
  <c r="B77" i="41"/>
  <c r="C77" i="41"/>
  <c r="B78" i="41"/>
  <c r="C78" i="41"/>
  <c r="B79" i="41"/>
  <c r="C79" i="41"/>
  <c r="B80" i="41"/>
  <c r="C80" i="41"/>
  <c r="B81" i="41"/>
  <c r="C81" i="41"/>
  <c r="B82" i="41"/>
  <c r="C82" i="41"/>
  <c r="B83" i="41"/>
  <c r="C83" i="41"/>
  <c r="B84" i="41"/>
  <c r="C84" i="41"/>
  <c r="B85" i="41"/>
  <c r="C85" i="41"/>
  <c r="B86" i="41"/>
  <c r="C86" i="41"/>
  <c r="B87" i="41"/>
  <c r="C87" i="41"/>
  <c r="B88" i="41"/>
  <c r="C88" i="41"/>
  <c r="B89" i="41"/>
  <c r="C89" i="41"/>
  <c r="B90" i="41"/>
  <c r="C90" i="41"/>
  <c r="B91" i="41"/>
  <c r="C91" i="41"/>
  <c r="B92" i="41"/>
  <c r="C92" i="41"/>
  <c r="B93" i="41"/>
  <c r="C93" i="41"/>
  <c r="B94" i="41"/>
  <c r="C94" i="41"/>
  <c r="B95" i="41"/>
  <c r="C95" i="41"/>
  <c r="B96" i="41"/>
  <c r="C96" i="41"/>
  <c r="B97" i="41"/>
  <c r="C97" i="41"/>
  <c r="B98" i="41"/>
  <c r="C98" i="41"/>
  <c r="B99" i="41"/>
  <c r="C99" i="41"/>
  <c r="B100" i="41"/>
  <c r="C100" i="41"/>
  <c r="B101" i="41"/>
  <c r="C101" i="41"/>
  <c r="B102" i="41"/>
  <c r="C102" i="41"/>
  <c r="B103" i="41"/>
  <c r="C103" i="41"/>
  <c r="B104" i="41"/>
  <c r="C104" i="41"/>
  <c r="B105" i="41"/>
  <c r="C105" i="41"/>
  <c r="B106" i="41"/>
  <c r="C106" i="41"/>
  <c r="B107" i="41"/>
  <c r="C107" i="41"/>
  <c r="B108" i="41"/>
  <c r="C108" i="41"/>
  <c r="B109" i="41"/>
  <c r="C109" i="41"/>
  <c r="B110" i="41"/>
  <c r="C110" i="41"/>
  <c r="B111" i="41"/>
  <c r="C111" i="41"/>
  <c r="B112" i="41"/>
  <c r="C112" i="41"/>
  <c r="B113" i="41"/>
  <c r="C113" i="41"/>
  <c r="B114" i="41"/>
  <c r="C114" i="41"/>
  <c r="B115" i="41"/>
  <c r="C115" i="41"/>
  <c r="B116" i="41"/>
  <c r="C116" i="41"/>
  <c r="B117" i="41"/>
  <c r="C117" i="41"/>
  <c r="B118" i="41"/>
  <c r="C118" i="41"/>
  <c r="B119" i="41"/>
  <c r="C119" i="41"/>
  <c r="B120" i="41"/>
  <c r="C120" i="41"/>
  <c r="B121" i="41"/>
  <c r="C121" i="41"/>
  <c r="B122" i="41"/>
  <c r="C122" i="41"/>
  <c r="B123" i="41"/>
  <c r="C123" i="41"/>
  <c r="B124" i="41"/>
  <c r="B125" i="41"/>
  <c r="B126" i="41"/>
  <c r="B127" i="41"/>
  <c r="B128" i="41"/>
  <c r="B129" i="41"/>
  <c r="B130" i="41"/>
  <c r="B131" i="41"/>
  <c r="B132" i="41"/>
  <c r="B133" i="41"/>
  <c r="B134" i="41"/>
  <c r="B135" i="41"/>
  <c r="B136" i="41"/>
  <c r="B137" i="41"/>
  <c r="B138" i="41"/>
  <c r="B139" i="41"/>
  <c r="B140" i="41"/>
  <c r="B141" i="41"/>
  <c r="B142" i="41"/>
  <c r="B143" i="41"/>
  <c r="B144" i="41"/>
  <c r="B145" i="41"/>
  <c r="B146" i="41"/>
  <c r="B147" i="41"/>
  <c r="B148" i="41"/>
  <c r="B149" i="41"/>
  <c r="B150" i="41"/>
  <c r="B151" i="41"/>
  <c r="B152" i="41"/>
  <c r="B153" i="41"/>
  <c r="B154" i="41"/>
  <c r="B155" i="41"/>
  <c r="B156" i="41"/>
  <c r="B157" i="41"/>
  <c r="B158" i="41"/>
  <c r="B159" i="41"/>
  <c r="B160" i="41"/>
  <c r="B161" i="41"/>
  <c r="B162" i="41"/>
  <c r="B163" i="41"/>
  <c r="B164" i="41"/>
  <c r="B165" i="41"/>
  <c r="B166" i="41"/>
  <c r="B167" i="41"/>
  <c r="B168" i="41"/>
  <c r="B169" i="41"/>
  <c r="B170" i="41"/>
  <c r="B171" i="41"/>
  <c r="B172" i="41"/>
  <c r="B173" i="41"/>
  <c r="B174" i="41"/>
  <c r="B175" i="41"/>
  <c r="B176" i="41"/>
  <c r="B177" i="41"/>
  <c r="B178" i="41"/>
  <c r="B179" i="41"/>
  <c r="B180" i="41"/>
  <c r="B181" i="41"/>
  <c r="B182" i="41"/>
  <c r="B183" i="41"/>
  <c r="B184" i="41"/>
  <c r="B185" i="41"/>
  <c r="B186" i="41"/>
  <c r="B187" i="41"/>
  <c r="B188" i="41"/>
  <c r="B189" i="41"/>
  <c r="B190" i="41"/>
  <c r="B191" i="41"/>
  <c r="B192" i="41"/>
  <c r="B193" i="41"/>
  <c r="B194" i="41"/>
  <c r="B195" i="41"/>
  <c r="B196" i="41"/>
  <c r="B197" i="41"/>
  <c r="B198" i="41"/>
  <c r="B199" i="41"/>
  <c r="B200" i="41"/>
  <c r="B201" i="41"/>
  <c r="B202" i="41"/>
  <c r="B203" i="41"/>
  <c r="B204" i="41"/>
  <c r="B205" i="41"/>
  <c r="B209" i="41"/>
  <c r="B210" i="41"/>
  <c r="B211" i="41"/>
  <c r="B212" i="41"/>
  <c r="B213" i="41"/>
  <c r="B214" i="41"/>
  <c r="B215" i="41"/>
  <c r="B216" i="41"/>
  <c r="B217" i="41"/>
  <c r="B218" i="41"/>
  <c r="B219" i="41"/>
  <c r="B220" i="41"/>
  <c r="B221" i="41"/>
  <c r="B222" i="41"/>
  <c r="B223" i="41"/>
  <c r="B224" i="41"/>
  <c r="B225" i="41"/>
  <c r="B226" i="41"/>
  <c r="B227" i="41"/>
  <c r="B228" i="41"/>
  <c r="B229" i="41"/>
  <c r="B230" i="41"/>
  <c r="B231" i="41"/>
  <c r="C231" i="41"/>
  <c r="B232" i="41"/>
  <c r="C232" i="41"/>
  <c r="B233" i="41"/>
  <c r="C233" i="41"/>
  <c r="B234" i="41"/>
  <c r="C234" i="41"/>
  <c r="B235" i="41"/>
  <c r="C235" i="41"/>
  <c r="B236" i="41"/>
  <c r="C236" i="41"/>
  <c r="B237" i="41"/>
  <c r="C237" i="41"/>
  <c r="B238" i="41"/>
  <c r="C238" i="41"/>
  <c r="B239" i="41"/>
  <c r="C239" i="41"/>
  <c r="B240" i="41"/>
  <c r="C240" i="41"/>
  <c r="B241" i="41"/>
  <c r="C241" i="41"/>
  <c r="B242" i="41"/>
  <c r="C242" i="41"/>
  <c r="B243" i="41"/>
  <c r="C243" i="41"/>
  <c r="B244" i="41"/>
  <c r="C244" i="41"/>
  <c r="B245" i="41"/>
  <c r="C245" i="41"/>
  <c r="B246" i="41"/>
  <c r="C246" i="41"/>
  <c r="B247" i="41"/>
  <c r="C247" i="41"/>
  <c r="B248" i="41"/>
  <c r="C248" i="41"/>
  <c r="B249" i="41"/>
  <c r="C249" i="41"/>
  <c r="B250" i="41"/>
  <c r="C250" i="41"/>
  <c r="B251" i="41"/>
  <c r="C251" i="41"/>
  <c r="B252" i="41"/>
  <c r="C252" i="41"/>
  <c r="B253" i="41"/>
  <c r="C253" i="41"/>
  <c r="B254" i="41"/>
  <c r="C254" i="41"/>
  <c r="B255" i="41"/>
  <c r="C255" i="41"/>
  <c r="B256" i="41"/>
  <c r="C256" i="41"/>
  <c r="B257" i="41"/>
  <c r="C257" i="41"/>
  <c r="B258" i="41"/>
  <c r="C258" i="41"/>
  <c r="B259" i="41"/>
  <c r="C259" i="41"/>
  <c r="B260" i="41"/>
  <c r="C260" i="41"/>
  <c r="B261" i="41"/>
  <c r="C261" i="41"/>
  <c r="B262" i="41"/>
  <c r="C262" i="41"/>
  <c r="B263" i="41"/>
  <c r="C263" i="41"/>
  <c r="B264" i="41"/>
  <c r="C264" i="41"/>
  <c r="B265" i="41"/>
  <c r="C265" i="41"/>
  <c r="B266" i="41"/>
  <c r="C266" i="41"/>
  <c r="B267" i="41"/>
  <c r="B268" i="41"/>
  <c r="B269" i="41"/>
  <c r="B270" i="41"/>
  <c r="C270" i="41"/>
  <c r="B271" i="41"/>
  <c r="C271" i="41"/>
  <c r="B272" i="41"/>
  <c r="C272" i="41"/>
  <c r="B273" i="41"/>
  <c r="C273" i="41"/>
  <c r="B274" i="41"/>
  <c r="C274" i="41"/>
  <c r="B275" i="41"/>
  <c r="C275" i="41"/>
  <c r="B276" i="41"/>
  <c r="C276" i="41"/>
  <c r="B277" i="41"/>
  <c r="C277" i="41"/>
  <c r="B278" i="41"/>
  <c r="C278" i="41"/>
  <c r="B279" i="41"/>
  <c r="C279" i="41"/>
  <c r="B280" i="41"/>
  <c r="C280" i="41"/>
  <c r="B281" i="41"/>
  <c r="C281" i="41"/>
  <c r="B282" i="41"/>
  <c r="C282" i="41"/>
  <c r="B283" i="41"/>
  <c r="C283" i="41"/>
  <c r="B284" i="41"/>
  <c r="C284" i="41"/>
  <c r="B285" i="41"/>
  <c r="C285" i="41"/>
  <c r="B286" i="41"/>
  <c r="C286" i="41"/>
  <c r="B287" i="41"/>
  <c r="C287" i="41"/>
  <c r="B288" i="41"/>
  <c r="C288" i="41"/>
  <c r="B289" i="41"/>
  <c r="C289" i="41"/>
  <c r="B290" i="41"/>
  <c r="C290" i="41"/>
  <c r="B291" i="41"/>
  <c r="C291" i="41"/>
  <c r="B292" i="41"/>
  <c r="C292" i="41"/>
  <c r="B293" i="41"/>
  <c r="C293" i="41"/>
  <c r="B294" i="41"/>
  <c r="C294" i="41"/>
  <c r="B295" i="41"/>
  <c r="C295" i="41"/>
  <c r="B296" i="41"/>
  <c r="C296" i="41"/>
  <c r="B297" i="41"/>
  <c r="C297" i="41"/>
  <c r="B298" i="41"/>
  <c r="C298" i="41"/>
  <c r="B299" i="41"/>
  <c r="C299" i="41"/>
  <c r="B300" i="41"/>
  <c r="C300" i="41"/>
  <c r="B301" i="41"/>
  <c r="C301" i="41"/>
  <c r="B302" i="41"/>
  <c r="C302" i="41"/>
  <c r="B303" i="41"/>
  <c r="C303" i="41"/>
  <c r="B304" i="41"/>
  <c r="C304" i="41"/>
  <c r="B305" i="41"/>
  <c r="C305" i="41"/>
  <c r="B306" i="41"/>
  <c r="C306" i="41"/>
  <c r="B307" i="41"/>
  <c r="C307" i="41"/>
  <c r="B308" i="41"/>
  <c r="C308" i="41"/>
  <c r="B309" i="41"/>
  <c r="C309" i="41"/>
  <c r="B310" i="41"/>
  <c r="C310" i="41"/>
  <c r="B311" i="41"/>
  <c r="C311" i="41"/>
  <c r="B312" i="41"/>
  <c r="C312" i="41"/>
  <c r="B313" i="41"/>
  <c r="C313" i="41"/>
  <c r="B314" i="41"/>
  <c r="C314" i="41"/>
  <c r="B315" i="41"/>
  <c r="C315" i="41"/>
  <c r="B316" i="41"/>
  <c r="C316" i="41"/>
  <c r="B317" i="41"/>
  <c r="C317" i="41"/>
  <c r="B318" i="41"/>
  <c r="C318" i="41"/>
  <c r="B319" i="41"/>
  <c r="C319" i="41"/>
  <c r="B320" i="41"/>
  <c r="C320" i="41"/>
  <c r="B321" i="41"/>
  <c r="C321" i="41"/>
  <c r="B322" i="41"/>
  <c r="C322" i="41"/>
  <c r="B323" i="41"/>
  <c r="C323" i="41"/>
  <c r="B324" i="41"/>
  <c r="C324" i="41"/>
  <c r="B325" i="41"/>
  <c r="C325" i="41"/>
  <c r="B326" i="41"/>
  <c r="C326" i="41"/>
  <c r="B327" i="41"/>
  <c r="C327" i="41"/>
  <c r="B328" i="41"/>
  <c r="C328" i="41"/>
  <c r="B329" i="41"/>
  <c r="C329" i="41"/>
  <c r="B330" i="41"/>
  <c r="C330" i="41"/>
  <c r="B331" i="41"/>
  <c r="C331" i="41"/>
  <c r="B332" i="41"/>
  <c r="C332" i="41"/>
  <c r="B333" i="41"/>
  <c r="C333" i="41"/>
  <c r="B334" i="41"/>
  <c r="C334" i="41"/>
  <c r="B335" i="41"/>
  <c r="C335" i="41"/>
  <c r="B336" i="41"/>
  <c r="C336" i="41"/>
  <c r="B337" i="41"/>
  <c r="C337" i="41"/>
  <c r="B338" i="41"/>
  <c r="C338" i="41"/>
  <c r="B339" i="41"/>
  <c r="C339" i="41"/>
  <c r="B340" i="41"/>
  <c r="C340" i="41"/>
  <c r="B341" i="41"/>
  <c r="C341" i="41"/>
  <c r="B342" i="41"/>
  <c r="C342" i="41"/>
  <c r="B343" i="41"/>
  <c r="C343" i="41"/>
  <c r="B344" i="41"/>
  <c r="C344" i="41"/>
  <c r="B345" i="41"/>
  <c r="C345" i="41"/>
  <c r="B346" i="41"/>
  <c r="C346" i="41"/>
  <c r="B347" i="41"/>
  <c r="C347" i="41"/>
  <c r="B348" i="41"/>
  <c r="C348" i="41"/>
  <c r="B349" i="41"/>
  <c r="C349" i="41"/>
  <c r="B350" i="41"/>
  <c r="C350" i="41"/>
  <c r="B351" i="41"/>
  <c r="C351" i="41"/>
  <c r="B352" i="41"/>
  <c r="C352" i="41"/>
  <c r="B353" i="41"/>
  <c r="C353" i="41"/>
  <c r="B354" i="41"/>
  <c r="C354" i="41"/>
  <c r="B355" i="41"/>
  <c r="C355" i="41"/>
  <c r="B356" i="41"/>
  <c r="C356" i="41"/>
  <c r="B357" i="41"/>
  <c r="C357" i="41"/>
  <c r="B358" i="41"/>
  <c r="C358" i="41"/>
  <c r="B359" i="41"/>
  <c r="C359" i="41"/>
  <c r="B360" i="41"/>
  <c r="C360" i="41"/>
  <c r="B361" i="41"/>
  <c r="C361" i="41"/>
  <c r="B362" i="41"/>
  <c r="C362" i="41"/>
  <c r="B363" i="41"/>
  <c r="C363" i="41"/>
  <c r="B364" i="41"/>
  <c r="C364" i="41"/>
  <c r="B365" i="41"/>
  <c r="C365" i="41"/>
  <c r="B366" i="41"/>
  <c r="C366" i="41"/>
  <c r="B367" i="41"/>
  <c r="C367" i="41"/>
  <c r="B368" i="41"/>
  <c r="C368" i="41"/>
  <c r="B369" i="41"/>
  <c r="C369" i="41"/>
  <c r="B370" i="41"/>
  <c r="C370" i="41"/>
  <c r="B371" i="41"/>
  <c r="C371" i="41"/>
  <c r="B372" i="41"/>
  <c r="C372" i="41"/>
  <c r="B373" i="41"/>
  <c r="C373" i="41"/>
  <c r="B374" i="41"/>
  <c r="C374" i="41"/>
  <c r="B375" i="41"/>
  <c r="C375" i="41"/>
  <c r="B376" i="41"/>
  <c r="C376" i="41"/>
  <c r="B377" i="41"/>
  <c r="C377" i="41"/>
  <c r="B378" i="41"/>
  <c r="C378" i="41"/>
  <c r="B379" i="41"/>
  <c r="C379" i="41"/>
  <c r="B380" i="41"/>
  <c r="C380" i="41"/>
  <c r="B381" i="41"/>
  <c r="C381" i="41"/>
  <c r="B382" i="41"/>
  <c r="C382" i="41"/>
  <c r="B383" i="41"/>
  <c r="C383" i="41"/>
  <c r="B384" i="41"/>
  <c r="C384" i="41"/>
  <c r="B385" i="41"/>
  <c r="C385" i="41"/>
  <c r="B386" i="41"/>
  <c r="C386" i="41"/>
  <c r="B387" i="41"/>
  <c r="C387" i="41"/>
  <c r="B388" i="41"/>
  <c r="C388" i="41"/>
  <c r="B389" i="41"/>
  <c r="C389" i="41"/>
  <c r="B390" i="41"/>
  <c r="C390" i="41"/>
  <c r="B391" i="41"/>
  <c r="C391" i="41"/>
  <c r="B392" i="41"/>
  <c r="C392" i="41"/>
  <c r="B393" i="41"/>
  <c r="C393" i="41"/>
  <c r="B394" i="41"/>
  <c r="C394" i="41"/>
  <c r="B395" i="41"/>
  <c r="C395" i="41"/>
  <c r="B396" i="41"/>
  <c r="C396" i="41"/>
  <c r="B397" i="41"/>
  <c r="C397" i="41"/>
  <c r="B398" i="41"/>
  <c r="C398" i="41"/>
  <c r="B399" i="41"/>
  <c r="C399" i="41"/>
  <c r="B400" i="41"/>
  <c r="C400" i="41"/>
  <c r="B401" i="41"/>
  <c r="C401" i="41"/>
  <c r="B402" i="41"/>
  <c r="C402" i="41"/>
  <c r="B403" i="41"/>
  <c r="C403" i="41"/>
  <c r="B404" i="41"/>
  <c r="C404" i="41"/>
  <c r="B405" i="41"/>
  <c r="C405" i="41"/>
  <c r="B406" i="41"/>
  <c r="C406" i="41"/>
  <c r="B407" i="41"/>
  <c r="C407" i="41"/>
  <c r="B408" i="41"/>
  <c r="C408" i="41"/>
  <c r="B409" i="41"/>
  <c r="C409" i="41"/>
  <c r="B410" i="41"/>
  <c r="C410" i="41"/>
  <c r="B411" i="41"/>
  <c r="C411" i="41"/>
  <c r="B412" i="41"/>
  <c r="C412" i="41"/>
  <c r="B413" i="41"/>
  <c r="C413" i="41"/>
  <c r="J297" i="41"/>
  <c r="J296" i="41"/>
  <c r="J295" i="41"/>
  <c r="J294" i="41"/>
  <c r="J293" i="41"/>
  <c r="J292" i="41"/>
  <c r="J291" i="41"/>
  <c r="J290" i="41"/>
  <c r="J289" i="41"/>
  <c r="J288" i="41"/>
  <c r="J287" i="41"/>
  <c r="J286" i="41"/>
  <c r="J285" i="41"/>
  <c r="J284" i="41"/>
  <c r="J283" i="41"/>
  <c r="J282" i="41"/>
  <c r="J281" i="41"/>
  <c r="J280" i="41"/>
  <c r="J279" i="41"/>
  <c r="J278" i="41"/>
  <c r="J277" i="41"/>
  <c r="J276" i="41"/>
  <c r="J275" i="41"/>
  <c r="J274" i="41"/>
  <c r="J273" i="41"/>
  <c r="J272" i="41"/>
  <c r="J271" i="41"/>
  <c r="J270" i="41"/>
  <c r="J269" i="41"/>
  <c r="J268" i="41"/>
  <c r="J267" i="41"/>
  <c r="J266" i="41"/>
  <c r="J265" i="41"/>
  <c r="J264" i="41"/>
  <c r="J263" i="41"/>
  <c r="J262" i="41"/>
  <c r="J261" i="41"/>
  <c r="J260" i="41"/>
  <c r="J259" i="41"/>
  <c r="J258" i="41"/>
  <c r="J257" i="41"/>
  <c r="J256" i="41"/>
  <c r="J255" i="41"/>
  <c r="J254" i="41"/>
  <c r="J253" i="41"/>
  <c r="J252" i="41"/>
  <c r="J251" i="41"/>
  <c r="J250" i="41"/>
  <c r="J249" i="41"/>
  <c r="J248" i="41"/>
  <c r="J247" i="41"/>
  <c r="J246" i="41"/>
  <c r="J245" i="41"/>
  <c r="J244" i="41"/>
  <c r="J243" i="41"/>
  <c r="J242" i="41"/>
  <c r="J241" i="41"/>
  <c r="J240" i="41"/>
  <c r="J239" i="41"/>
  <c r="J238" i="41"/>
  <c r="J237" i="41"/>
  <c r="J236" i="41"/>
  <c r="J235" i="41"/>
  <c r="J234" i="41"/>
  <c r="J233" i="41"/>
  <c r="J232" i="41"/>
  <c r="J231" i="41"/>
  <c r="J230" i="41"/>
  <c r="J229" i="41"/>
  <c r="J228" i="41"/>
  <c r="J227" i="41"/>
  <c r="J226" i="41"/>
  <c r="J225" i="41"/>
  <c r="J224" i="41"/>
  <c r="J223" i="41"/>
  <c r="J222" i="41"/>
  <c r="J221" i="41"/>
  <c r="J220" i="41"/>
  <c r="J219" i="41"/>
  <c r="J218" i="41"/>
  <c r="J217" i="41"/>
  <c r="J216" i="41"/>
  <c r="J215" i="41"/>
  <c r="J214" i="41"/>
  <c r="J213" i="41"/>
  <c r="J212" i="41"/>
  <c r="J211" i="41"/>
  <c r="J210" i="41"/>
  <c r="J209" i="41"/>
  <c r="J208" i="41"/>
  <c r="J207" i="41"/>
  <c r="J206" i="41"/>
  <c r="J205" i="41"/>
  <c r="J204" i="41"/>
  <c r="J203" i="41"/>
  <c r="J202" i="41"/>
  <c r="J201" i="41"/>
  <c r="J200" i="41"/>
  <c r="J199" i="41"/>
  <c r="J198" i="41"/>
  <c r="J197" i="41"/>
  <c r="J196" i="41"/>
  <c r="J195" i="41"/>
  <c r="J194" i="41"/>
  <c r="J193" i="41"/>
  <c r="J192" i="41"/>
  <c r="J191" i="41"/>
  <c r="J190" i="41"/>
  <c r="J189" i="41"/>
  <c r="J188" i="41"/>
  <c r="J187" i="41"/>
  <c r="J186" i="41"/>
  <c r="J185" i="41"/>
  <c r="J184" i="41"/>
  <c r="J183" i="41"/>
  <c r="J182" i="41"/>
  <c r="J181" i="41"/>
  <c r="J180" i="41"/>
  <c r="J179" i="41"/>
  <c r="J178" i="41"/>
  <c r="J177" i="41"/>
  <c r="J176" i="41"/>
  <c r="J175" i="41"/>
  <c r="J174" i="41"/>
  <c r="J173" i="41"/>
  <c r="J172" i="41"/>
  <c r="J171" i="41"/>
  <c r="J170" i="41"/>
  <c r="J169" i="41"/>
  <c r="J168" i="41"/>
  <c r="J167" i="41"/>
  <c r="J166" i="41"/>
  <c r="J165" i="41"/>
  <c r="J164" i="41"/>
  <c r="J163" i="41"/>
  <c r="J162" i="41"/>
  <c r="J161" i="41"/>
  <c r="J160" i="41"/>
  <c r="J159" i="41"/>
  <c r="J158" i="41"/>
  <c r="J157" i="41"/>
  <c r="J156" i="41"/>
  <c r="J155" i="41"/>
  <c r="J154" i="41"/>
  <c r="J153" i="41"/>
  <c r="J152" i="41"/>
  <c r="J151" i="41"/>
  <c r="J150" i="41"/>
  <c r="J149" i="41"/>
  <c r="J148" i="41"/>
  <c r="J147" i="41"/>
  <c r="J146" i="41"/>
  <c r="J145" i="41"/>
  <c r="J144" i="41"/>
  <c r="J143" i="41"/>
  <c r="J142" i="41"/>
  <c r="J141" i="41"/>
  <c r="J140" i="41"/>
  <c r="J139" i="41"/>
  <c r="J138" i="41"/>
  <c r="J137" i="41"/>
  <c r="J136" i="41"/>
  <c r="J135" i="41"/>
  <c r="J134" i="41"/>
  <c r="J133" i="41"/>
  <c r="J132" i="41"/>
  <c r="J131" i="41"/>
  <c r="J130" i="41"/>
  <c r="J129" i="41"/>
  <c r="J128" i="41"/>
  <c r="J127" i="41"/>
  <c r="J126" i="41"/>
  <c r="J125" i="41"/>
  <c r="J124" i="41"/>
  <c r="J123" i="41"/>
  <c r="J122" i="41"/>
  <c r="J121" i="41"/>
  <c r="J120" i="41"/>
  <c r="J119" i="41"/>
  <c r="J118" i="41"/>
  <c r="J117" i="41"/>
  <c r="J116" i="41"/>
  <c r="J115" i="41"/>
  <c r="J114" i="41"/>
  <c r="J113" i="41"/>
  <c r="J112" i="41"/>
  <c r="J111" i="41"/>
  <c r="J110" i="41"/>
  <c r="J109" i="41"/>
  <c r="J108" i="41"/>
  <c r="J107" i="41"/>
  <c r="J106" i="41"/>
  <c r="J105" i="41"/>
  <c r="J104" i="41"/>
  <c r="J103" i="41"/>
  <c r="J102" i="41"/>
  <c r="J101" i="41"/>
  <c r="J100" i="41"/>
  <c r="J99" i="41"/>
  <c r="J98" i="41"/>
  <c r="J97" i="41"/>
  <c r="J96" i="41"/>
  <c r="J95" i="41"/>
  <c r="J94" i="41"/>
  <c r="J93" i="41"/>
  <c r="J92" i="41"/>
  <c r="J91" i="41"/>
  <c r="J90" i="41"/>
  <c r="J89" i="41"/>
  <c r="J88" i="41"/>
  <c r="J87" i="41"/>
  <c r="J86" i="41"/>
  <c r="J85" i="41"/>
  <c r="J84" i="41"/>
  <c r="J83" i="41"/>
  <c r="J82" i="41"/>
  <c r="J81" i="41"/>
  <c r="J80" i="41"/>
  <c r="J79" i="41"/>
  <c r="J78" i="41"/>
  <c r="J77" i="41"/>
  <c r="J76" i="41"/>
  <c r="J75" i="41"/>
  <c r="J74" i="41"/>
  <c r="J73" i="41"/>
  <c r="J72" i="41"/>
  <c r="J71" i="41"/>
  <c r="J70" i="41"/>
  <c r="J69" i="41"/>
  <c r="J68" i="41"/>
  <c r="J67" i="41"/>
  <c r="J66" i="41"/>
  <c r="J65" i="41"/>
  <c r="J64" i="41"/>
  <c r="J63" i="41"/>
  <c r="J62" i="41"/>
  <c r="J61" i="41"/>
  <c r="J60" i="41"/>
  <c r="J59" i="41"/>
  <c r="J58" i="41"/>
  <c r="J57" i="41"/>
  <c r="J56" i="41"/>
  <c r="J55" i="41"/>
  <c r="J54" i="41"/>
  <c r="J53" i="41"/>
  <c r="J52" i="41"/>
  <c r="J51" i="41"/>
  <c r="J50" i="41"/>
  <c r="J49" i="41"/>
  <c r="J48" i="41"/>
  <c r="J47" i="41"/>
  <c r="J46" i="41"/>
  <c r="J45" i="41"/>
  <c r="J44" i="41"/>
  <c r="J43" i="41"/>
  <c r="J42" i="41"/>
  <c r="J41" i="41"/>
  <c r="J40" i="41"/>
  <c r="J39" i="41"/>
  <c r="J38" i="41"/>
  <c r="J37" i="41"/>
  <c r="J36" i="41"/>
  <c r="J35" i="41"/>
  <c r="J34" i="41"/>
  <c r="J33" i="41"/>
  <c r="J32" i="41"/>
  <c r="J31" i="41"/>
  <c r="J30" i="41"/>
  <c r="J29" i="41"/>
  <c r="J28" i="41"/>
  <c r="J27" i="41"/>
  <c r="J26" i="41"/>
  <c r="J25" i="41"/>
  <c r="J24" i="41"/>
  <c r="J23" i="41"/>
  <c r="J22" i="41"/>
  <c r="J21" i="41"/>
  <c r="J20" i="41"/>
  <c r="J19" i="41"/>
  <c r="J18" i="41"/>
  <c r="J17" i="41"/>
  <c r="J16" i="41"/>
  <c r="J15" i="41"/>
  <c r="J14" i="41"/>
  <c r="J13" i="41"/>
  <c r="J12" i="41"/>
  <c r="J11" i="41"/>
  <c r="J10" i="41"/>
  <c r="J9" i="41"/>
  <c r="J8" i="41"/>
  <c r="J7" i="41"/>
  <c r="J6" i="41"/>
  <c r="J5" i="41"/>
  <c r="J4" i="41"/>
  <c r="H71" i="40" l="1"/>
  <c r="I71" i="40"/>
  <c r="H72" i="40"/>
  <c r="I72" i="40"/>
  <c r="H73" i="40"/>
  <c r="I73" i="40"/>
  <c r="H74" i="40"/>
  <c r="I74" i="40"/>
  <c r="H75" i="40"/>
  <c r="I75" i="40"/>
  <c r="H76" i="40"/>
  <c r="I76" i="40"/>
  <c r="H77" i="40"/>
  <c r="I77" i="40"/>
  <c r="H78" i="40"/>
  <c r="I78" i="40"/>
  <c r="H79" i="40"/>
  <c r="I79" i="40"/>
  <c r="H80" i="40"/>
  <c r="I80" i="40"/>
  <c r="H81" i="40"/>
  <c r="I81" i="40"/>
  <c r="H82" i="40"/>
  <c r="I82" i="40"/>
  <c r="H83" i="40"/>
  <c r="I83" i="40"/>
  <c r="H84" i="40"/>
  <c r="I84" i="40"/>
  <c r="H85" i="40"/>
  <c r="I85" i="40"/>
  <c r="H86" i="40"/>
  <c r="I86" i="40"/>
  <c r="H87" i="40"/>
  <c r="I87" i="40"/>
  <c r="H88" i="40"/>
  <c r="I88" i="40"/>
  <c r="H89" i="40"/>
  <c r="I89" i="40"/>
  <c r="H90" i="40"/>
  <c r="I90" i="40"/>
  <c r="H91" i="40"/>
  <c r="I91" i="40"/>
  <c r="H92" i="40"/>
  <c r="I92" i="40"/>
  <c r="H93" i="40"/>
  <c r="I93" i="40"/>
  <c r="H94" i="40"/>
  <c r="I94" i="40"/>
  <c r="H95" i="40"/>
  <c r="I95" i="40"/>
  <c r="H96" i="40"/>
  <c r="I96" i="40"/>
  <c r="H97" i="40"/>
  <c r="I97" i="40"/>
  <c r="H98" i="40"/>
  <c r="I98" i="40"/>
  <c r="H99" i="40"/>
  <c r="I99" i="40"/>
  <c r="H100" i="40"/>
  <c r="I100" i="40"/>
  <c r="H101" i="40"/>
  <c r="I101" i="40"/>
  <c r="H102" i="40"/>
  <c r="I102" i="40"/>
  <c r="H103" i="40"/>
  <c r="I103" i="40"/>
  <c r="H104" i="40"/>
  <c r="I104" i="40"/>
  <c r="H105" i="40"/>
  <c r="I105" i="40"/>
  <c r="H279" i="40" l="1"/>
  <c r="H30" i="40" l="1"/>
  <c r="I5" i="40"/>
  <c r="C5" i="41" s="1"/>
  <c r="I6" i="40"/>
  <c r="C6" i="41" s="1"/>
  <c r="I7" i="40"/>
  <c r="C7" i="41" s="1"/>
  <c r="I8" i="40"/>
  <c r="C8" i="41" s="1"/>
  <c r="I9" i="40"/>
  <c r="C9" i="41" s="1"/>
  <c r="I10" i="40"/>
  <c r="I11" i="40"/>
  <c r="I12" i="40"/>
  <c r="I13" i="40"/>
  <c r="I14" i="40"/>
  <c r="I15" i="40"/>
  <c r="I16" i="40"/>
  <c r="I17" i="40"/>
  <c r="I18" i="40"/>
  <c r="I19" i="40"/>
  <c r="I20" i="40"/>
  <c r="I21" i="40"/>
  <c r="I22" i="40"/>
  <c r="I23" i="40"/>
  <c r="I24" i="40"/>
  <c r="I25" i="40"/>
  <c r="I26" i="40"/>
  <c r="I27" i="40"/>
  <c r="I28" i="40"/>
  <c r="I29" i="40"/>
  <c r="I30" i="40"/>
  <c r="I31" i="40"/>
  <c r="I32" i="40"/>
  <c r="I33" i="40"/>
  <c r="I34" i="40"/>
  <c r="I35" i="40"/>
  <c r="I36" i="40"/>
  <c r="I37" i="40"/>
  <c r="I38" i="40"/>
  <c r="I39" i="40"/>
  <c r="I40" i="40"/>
  <c r="I41" i="40"/>
  <c r="I42" i="40"/>
  <c r="I43" i="40"/>
  <c r="I44" i="40"/>
  <c r="I45" i="40"/>
  <c r="I46" i="40"/>
  <c r="I47" i="40"/>
  <c r="I48" i="40"/>
  <c r="I49" i="40"/>
  <c r="I50" i="40"/>
  <c r="I51" i="40"/>
  <c r="I52" i="40"/>
  <c r="I53" i="40"/>
  <c r="I54" i="40"/>
  <c r="I55" i="40"/>
  <c r="I56" i="40"/>
  <c r="I57" i="40"/>
  <c r="I58" i="40"/>
  <c r="I59" i="40"/>
  <c r="I60" i="40"/>
  <c r="I61" i="40"/>
  <c r="I62" i="40"/>
  <c r="I63" i="40"/>
  <c r="I64" i="40"/>
  <c r="I65" i="40"/>
  <c r="I66" i="40"/>
  <c r="I67" i="40"/>
  <c r="I68" i="40"/>
  <c r="I69" i="40"/>
  <c r="I70" i="40"/>
  <c r="I106" i="40"/>
  <c r="I107" i="40"/>
  <c r="I108" i="40"/>
  <c r="I109" i="40"/>
  <c r="I110" i="40"/>
  <c r="I111" i="40"/>
  <c r="I112" i="40"/>
  <c r="I113" i="40"/>
  <c r="I114" i="40"/>
  <c r="I115" i="40"/>
  <c r="I116" i="40"/>
  <c r="I117" i="40"/>
  <c r="I118" i="40"/>
  <c r="I119" i="40"/>
  <c r="I120" i="40"/>
  <c r="I121" i="40"/>
  <c r="I122" i="40"/>
  <c r="I123" i="40"/>
  <c r="I124" i="40"/>
  <c r="C124" i="41" s="1"/>
  <c r="I125" i="40"/>
  <c r="C125" i="41" s="1"/>
  <c r="I126" i="40"/>
  <c r="C126" i="41" s="1"/>
  <c r="I127" i="40"/>
  <c r="C127" i="41" s="1"/>
  <c r="I128" i="40"/>
  <c r="C128" i="41" s="1"/>
  <c r="I129" i="40"/>
  <c r="C129" i="41" s="1"/>
  <c r="I130" i="40"/>
  <c r="C130" i="41" s="1"/>
  <c r="I131" i="40"/>
  <c r="C131" i="41" s="1"/>
  <c r="I132" i="40"/>
  <c r="C132" i="41" s="1"/>
  <c r="I133" i="40"/>
  <c r="C133" i="41" s="1"/>
  <c r="I134" i="40"/>
  <c r="C134" i="41" s="1"/>
  <c r="I135" i="40"/>
  <c r="C135" i="41" s="1"/>
  <c r="I136" i="40"/>
  <c r="C136" i="41" s="1"/>
  <c r="I137" i="40"/>
  <c r="C137" i="41" s="1"/>
  <c r="I138" i="40"/>
  <c r="C138" i="41" s="1"/>
  <c r="I139" i="40"/>
  <c r="C139" i="41" s="1"/>
  <c r="I140" i="40"/>
  <c r="C140" i="41" s="1"/>
  <c r="I141" i="40"/>
  <c r="C141" i="41" s="1"/>
  <c r="I142" i="40"/>
  <c r="C142" i="41" s="1"/>
  <c r="I143" i="40"/>
  <c r="C143" i="41" s="1"/>
  <c r="I144" i="40"/>
  <c r="C144" i="41" s="1"/>
  <c r="I145" i="40"/>
  <c r="C145" i="41" s="1"/>
  <c r="I146" i="40"/>
  <c r="C146" i="41" s="1"/>
  <c r="I147" i="40"/>
  <c r="C147" i="41" s="1"/>
  <c r="I148" i="40"/>
  <c r="C148" i="41" s="1"/>
  <c r="I149" i="40"/>
  <c r="C149" i="41" s="1"/>
  <c r="I150" i="40"/>
  <c r="C150" i="41" s="1"/>
  <c r="I151" i="40"/>
  <c r="C151" i="41" s="1"/>
  <c r="I152" i="40"/>
  <c r="C152" i="41" s="1"/>
  <c r="I153" i="40"/>
  <c r="C153" i="41" s="1"/>
  <c r="I154" i="40"/>
  <c r="C154" i="41" s="1"/>
  <c r="I155" i="40"/>
  <c r="C155" i="41" s="1"/>
  <c r="I156" i="40"/>
  <c r="C156" i="41" s="1"/>
  <c r="I157" i="40"/>
  <c r="C157" i="41" s="1"/>
  <c r="I158" i="40"/>
  <c r="C158" i="41" s="1"/>
  <c r="I159" i="40"/>
  <c r="C159" i="41" s="1"/>
  <c r="I160" i="40"/>
  <c r="C160" i="41" s="1"/>
  <c r="I161" i="40"/>
  <c r="C161" i="41" s="1"/>
  <c r="I162" i="40"/>
  <c r="C162" i="41" s="1"/>
  <c r="I163" i="40"/>
  <c r="C163" i="41" s="1"/>
  <c r="I164" i="40"/>
  <c r="C164" i="41" s="1"/>
  <c r="I165" i="40"/>
  <c r="C165" i="41" s="1"/>
  <c r="I166" i="40"/>
  <c r="C166" i="41" s="1"/>
  <c r="I167" i="40"/>
  <c r="C167" i="41" s="1"/>
  <c r="I168" i="40"/>
  <c r="C168" i="41" s="1"/>
  <c r="I169" i="40"/>
  <c r="C169" i="41" s="1"/>
  <c r="I170" i="40"/>
  <c r="C170" i="41" s="1"/>
  <c r="I171" i="40"/>
  <c r="C171" i="41" s="1"/>
  <c r="I172" i="40"/>
  <c r="C172" i="41" s="1"/>
  <c r="I173" i="40"/>
  <c r="C173" i="41" s="1"/>
  <c r="I174" i="40"/>
  <c r="C174" i="41" s="1"/>
  <c r="I175" i="40"/>
  <c r="C175" i="41" s="1"/>
  <c r="I176" i="40"/>
  <c r="C176" i="41" s="1"/>
  <c r="I177" i="40"/>
  <c r="C177" i="41" s="1"/>
  <c r="I178" i="40"/>
  <c r="C178" i="41" s="1"/>
  <c r="I179" i="40"/>
  <c r="C179" i="41" s="1"/>
  <c r="I180" i="40"/>
  <c r="C180" i="41" s="1"/>
  <c r="I181" i="40"/>
  <c r="C181" i="41" s="1"/>
  <c r="I182" i="40"/>
  <c r="C182" i="41" s="1"/>
  <c r="I183" i="40"/>
  <c r="C183" i="41" s="1"/>
  <c r="I184" i="40"/>
  <c r="C184" i="41" s="1"/>
  <c r="I185" i="40"/>
  <c r="C185" i="41" s="1"/>
  <c r="I186" i="40"/>
  <c r="C186" i="41" s="1"/>
  <c r="I187" i="40"/>
  <c r="C187" i="41" s="1"/>
  <c r="I188" i="40"/>
  <c r="C188" i="41" s="1"/>
  <c r="I189" i="40"/>
  <c r="C189" i="41" s="1"/>
  <c r="I190" i="40"/>
  <c r="C190" i="41" s="1"/>
  <c r="I191" i="40"/>
  <c r="C191" i="41" s="1"/>
  <c r="I192" i="40"/>
  <c r="C192" i="41" s="1"/>
  <c r="I193" i="40"/>
  <c r="C193" i="41" s="1"/>
  <c r="I194" i="40"/>
  <c r="C194" i="41" s="1"/>
  <c r="I195" i="40"/>
  <c r="C195" i="41" s="1"/>
  <c r="I196" i="40"/>
  <c r="C196" i="41" s="1"/>
  <c r="I197" i="40"/>
  <c r="C197" i="41" s="1"/>
  <c r="I198" i="40"/>
  <c r="C198" i="41" s="1"/>
  <c r="I199" i="40"/>
  <c r="C199" i="41" s="1"/>
  <c r="I200" i="40"/>
  <c r="C200" i="41" s="1"/>
  <c r="I201" i="40"/>
  <c r="C201" i="41" s="1"/>
  <c r="I202" i="40"/>
  <c r="C202" i="41" s="1"/>
  <c r="I203" i="40"/>
  <c r="C203" i="41" s="1"/>
  <c r="I204" i="40"/>
  <c r="C204" i="41" s="1"/>
  <c r="I205" i="40"/>
  <c r="C205" i="41" s="1"/>
  <c r="I206" i="40"/>
  <c r="C206" i="41" s="1"/>
  <c r="I207" i="40"/>
  <c r="C207" i="41" s="1"/>
  <c r="I208" i="40"/>
  <c r="C208" i="41" s="1"/>
  <c r="I209" i="40"/>
  <c r="C209" i="41" s="1"/>
  <c r="I210" i="40"/>
  <c r="C210" i="41" s="1"/>
  <c r="I211" i="40"/>
  <c r="C211" i="41" s="1"/>
  <c r="I212" i="40"/>
  <c r="C212" i="41" s="1"/>
  <c r="I213" i="40"/>
  <c r="C213" i="41" s="1"/>
  <c r="I214" i="40"/>
  <c r="C214" i="41" s="1"/>
  <c r="I215" i="40"/>
  <c r="C215" i="41" s="1"/>
  <c r="I216" i="40"/>
  <c r="C216" i="41" s="1"/>
  <c r="I217" i="40"/>
  <c r="C217" i="41" s="1"/>
  <c r="I218" i="40"/>
  <c r="C218" i="41" s="1"/>
  <c r="I219" i="40"/>
  <c r="C219" i="41" s="1"/>
  <c r="I220" i="40"/>
  <c r="C220" i="41" s="1"/>
  <c r="I221" i="40"/>
  <c r="C221" i="41" s="1"/>
  <c r="I222" i="40"/>
  <c r="C222" i="41" s="1"/>
  <c r="I223" i="40"/>
  <c r="C223" i="41" s="1"/>
  <c r="I224" i="40"/>
  <c r="C224" i="41" s="1"/>
  <c r="I225" i="40"/>
  <c r="C225" i="41" s="1"/>
  <c r="I226" i="40"/>
  <c r="C226" i="41" s="1"/>
  <c r="I227" i="40"/>
  <c r="C227" i="41" s="1"/>
  <c r="I228" i="40"/>
  <c r="C228" i="41" s="1"/>
  <c r="I229" i="40"/>
  <c r="C229" i="41" s="1"/>
  <c r="I230" i="40"/>
  <c r="C230" i="41" s="1"/>
  <c r="I231" i="40"/>
  <c r="I232" i="40"/>
  <c r="I233" i="40"/>
  <c r="I234" i="40"/>
  <c r="I235" i="40"/>
  <c r="I236" i="40"/>
  <c r="I237" i="40"/>
  <c r="I238" i="40"/>
  <c r="I239" i="40"/>
  <c r="I240" i="40"/>
  <c r="I241" i="40"/>
  <c r="I242" i="40"/>
  <c r="I243" i="40"/>
  <c r="I244" i="40"/>
  <c r="I245" i="40"/>
  <c r="I246" i="40"/>
  <c r="I247" i="40"/>
  <c r="I248" i="40"/>
  <c r="I249" i="40"/>
  <c r="I250" i="40"/>
  <c r="I251" i="40"/>
  <c r="I252" i="40"/>
  <c r="I253" i="40"/>
  <c r="I254" i="40"/>
  <c r="I255" i="40"/>
  <c r="I256" i="40"/>
  <c r="I257" i="40"/>
  <c r="I258" i="40"/>
  <c r="I259" i="40"/>
  <c r="I260" i="40"/>
  <c r="I261" i="40"/>
  <c r="I262" i="40"/>
  <c r="I263" i="40"/>
  <c r="I264" i="40"/>
  <c r="I265" i="40"/>
  <c r="I266" i="40"/>
  <c r="I267" i="40"/>
  <c r="C267" i="41" s="1"/>
  <c r="I268" i="40"/>
  <c r="C268" i="41" s="1"/>
  <c r="I269" i="40"/>
  <c r="C269" i="41" s="1"/>
  <c r="I270" i="40"/>
  <c r="I271" i="40"/>
  <c r="I272" i="40"/>
  <c r="I273" i="40"/>
  <c r="I274" i="40"/>
  <c r="I275" i="40"/>
  <c r="I276" i="40"/>
  <c r="I277" i="40"/>
  <c r="I278" i="40"/>
  <c r="I279" i="40"/>
  <c r="I280" i="40"/>
  <c r="I281" i="40"/>
  <c r="I282" i="40"/>
  <c r="I283" i="40"/>
  <c r="I284" i="40"/>
  <c r="I285" i="40"/>
  <c r="I286" i="40"/>
  <c r="I287" i="40"/>
  <c r="I288" i="40"/>
  <c r="I289" i="40"/>
  <c r="I290" i="40"/>
  <c r="I291" i="40"/>
  <c r="I292" i="40"/>
  <c r="I293" i="40"/>
  <c r="I294" i="40"/>
  <c r="I295" i="40"/>
  <c r="I296" i="40"/>
  <c r="I297" i="40"/>
  <c r="I298" i="40"/>
  <c r="I299" i="40"/>
  <c r="I300" i="40"/>
  <c r="I301" i="40"/>
  <c r="I302" i="40"/>
  <c r="I303" i="40"/>
  <c r="I304" i="40"/>
  <c r="I305" i="40"/>
  <c r="I306" i="40"/>
  <c r="I307" i="40"/>
  <c r="I308" i="40"/>
  <c r="I309" i="40"/>
  <c r="I310" i="40"/>
  <c r="I311" i="40"/>
  <c r="I312" i="40"/>
  <c r="I313" i="40"/>
  <c r="I314" i="40"/>
  <c r="I315" i="40"/>
  <c r="I316" i="40"/>
  <c r="I317" i="40"/>
  <c r="I318" i="40"/>
  <c r="I319" i="40"/>
  <c r="I320" i="40"/>
  <c r="I321" i="40"/>
  <c r="I322" i="40"/>
  <c r="I323" i="40"/>
  <c r="I324" i="40"/>
  <c r="I325" i="40"/>
  <c r="I326" i="40"/>
  <c r="I327" i="40"/>
  <c r="I328" i="40"/>
  <c r="I329" i="40"/>
  <c r="I330" i="40"/>
  <c r="I331" i="40"/>
  <c r="I332" i="40"/>
  <c r="I333" i="40"/>
  <c r="I334" i="40"/>
  <c r="I335" i="40"/>
  <c r="I336" i="40"/>
  <c r="I337" i="40"/>
  <c r="I338" i="40"/>
  <c r="I339" i="40"/>
  <c r="I340" i="40"/>
  <c r="I341" i="40"/>
  <c r="I342" i="40"/>
  <c r="I343" i="40"/>
  <c r="I344" i="40"/>
  <c r="I345" i="40"/>
  <c r="I346" i="40"/>
  <c r="I347" i="40"/>
  <c r="I348" i="40"/>
  <c r="I349" i="40"/>
  <c r="I350" i="40"/>
  <c r="I351" i="40"/>
  <c r="I352" i="40"/>
  <c r="I353" i="40"/>
  <c r="I354" i="40"/>
  <c r="I355" i="40"/>
  <c r="I356" i="40"/>
  <c r="I357" i="40"/>
  <c r="I358" i="40"/>
  <c r="I359" i="40"/>
  <c r="I360" i="40"/>
  <c r="I361" i="40"/>
  <c r="I362" i="40"/>
  <c r="I363" i="40"/>
  <c r="I364" i="40"/>
  <c r="I365" i="40"/>
  <c r="I366" i="40"/>
  <c r="I367" i="40"/>
  <c r="I368" i="40"/>
  <c r="I369" i="40"/>
  <c r="I370" i="40"/>
  <c r="I371" i="40"/>
  <c r="I372" i="40"/>
  <c r="I373" i="40"/>
  <c r="I374" i="40"/>
  <c r="I375" i="40"/>
  <c r="I376" i="40"/>
  <c r="I377" i="40"/>
  <c r="I378" i="40"/>
  <c r="I379" i="40"/>
  <c r="I380" i="40"/>
  <c r="I381" i="40"/>
  <c r="I382" i="40"/>
  <c r="I383" i="40"/>
  <c r="I384" i="40"/>
  <c r="I385" i="40"/>
  <c r="I386" i="40"/>
  <c r="I387" i="40"/>
  <c r="I388" i="40"/>
  <c r="I389" i="40"/>
  <c r="I390" i="40"/>
  <c r="I391" i="40"/>
  <c r="I392" i="40"/>
  <c r="I393" i="40"/>
  <c r="I394" i="40"/>
  <c r="I395" i="40"/>
  <c r="I396" i="40"/>
  <c r="I397" i="40"/>
  <c r="I398" i="40"/>
  <c r="I399" i="40"/>
  <c r="I400" i="40"/>
  <c r="I401" i="40"/>
  <c r="I402" i="40"/>
  <c r="I403" i="40"/>
  <c r="I404" i="40"/>
  <c r="I405" i="40"/>
  <c r="I406" i="40"/>
  <c r="I407" i="40"/>
  <c r="I408" i="40"/>
  <c r="I409" i="40"/>
  <c r="I410" i="40"/>
  <c r="I411" i="40"/>
  <c r="I412" i="40"/>
  <c r="I413" i="40"/>
  <c r="I4" i="40"/>
  <c r="C4" i="41" s="1"/>
  <c r="H5" i="40"/>
  <c r="B5" i="41" s="1"/>
  <c r="H6" i="40"/>
  <c r="B6" i="41" s="1"/>
  <c r="H7" i="40"/>
  <c r="B7" i="41" s="1"/>
  <c r="H8" i="40"/>
  <c r="B8" i="41" s="1"/>
  <c r="H9" i="40"/>
  <c r="B9" i="41" s="1"/>
  <c r="H10" i="40"/>
  <c r="H11" i="40"/>
  <c r="H12" i="40"/>
  <c r="H13" i="40"/>
  <c r="H14" i="40"/>
  <c r="H15" i="40"/>
  <c r="H16" i="40"/>
  <c r="H17" i="40"/>
  <c r="H18" i="40"/>
  <c r="H19" i="40"/>
  <c r="H20" i="40"/>
  <c r="H21" i="40"/>
  <c r="H22" i="40"/>
  <c r="H23" i="40"/>
  <c r="H24" i="40"/>
  <c r="H25" i="40"/>
  <c r="H26" i="40"/>
  <c r="H27" i="40"/>
  <c r="H28" i="40"/>
  <c r="H29" i="40"/>
  <c r="H31" i="40"/>
  <c r="H32" i="40"/>
  <c r="H33" i="40"/>
  <c r="H34" i="40"/>
  <c r="H35" i="40"/>
  <c r="H36" i="40"/>
  <c r="H37" i="40"/>
  <c r="H38" i="40"/>
  <c r="H39" i="40"/>
  <c r="H40" i="40"/>
  <c r="H41" i="40"/>
  <c r="H42" i="40"/>
  <c r="H43" i="40"/>
  <c r="H44" i="40"/>
  <c r="H45" i="40"/>
  <c r="H46" i="40"/>
  <c r="H47" i="40"/>
  <c r="H48" i="40"/>
  <c r="H49" i="40"/>
  <c r="H50" i="40"/>
  <c r="H51" i="40"/>
  <c r="H52" i="40"/>
  <c r="H53" i="40"/>
  <c r="H54" i="40"/>
  <c r="H55" i="40"/>
  <c r="H56" i="40"/>
  <c r="H57" i="40"/>
  <c r="H58" i="40"/>
  <c r="H59" i="40"/>
  <c r="H60" i="40"/>
  <c r="H61" i="40"/>
  <c r="H62" i="40"/>
  <c r="H63" i="40"/>
  <c r="H64" i="40"/>
  <c r="H65" i="40"/>
  <c r="H66" i="40"/>
  <c r="H67" i="40"/>
  <c r="H68" i="40"/>
  <c r="H69" i="40"/>
  <c r="H70" i="40"/>
  <c r="H106" i="40"/>
  <c r="H107" i="40"/>
  <c r="H108" i="40"/>
  <c r="H109" i="40"/>
  <c r="H110" i="40"/>
  <c r="H111" i="40"/>
  <c r="H112" i="40"/>
  <c r="H113" i="40"/>
  <c r="H114" i="40"/>
  <c r="H115" i="40"/>
  <c r="H116" i="40"/>
  <c r="H117" i="40"/>
  <c r="H118" i="40"/>
  <c r="H119" i="40"/>
  <c r="H120" i="40"/>
  <c r="H121" i="40"/>
  <c r="H122" i="40"/>
  <c r="H123" i="40"/>
  <c r="H124" i="40"/>
  <c r="H125" i="40"/>
  <c r="H126" i="40"/>
  <c r="H127" i="40"/>
  <c r="H128" i="40"/>
  <c r="H129" i="40"/>
  <c r="H130" i="40"/>
  <c r="H131" i="40"/>
  <c r="H132" i="40"/>
  <c r="H133" i="40"/>
  <c r="H134" i="40"/>
  <c r="H135" i="40"/>
  <c r="H136" i="40"/>
  <c r="H137" i="40"/>
  <c r="H138" i="40"/>
  <c r="H139" i="40"/>
  <c r="H140" i="40"/>
  <c r="H141" i="40"/>
  <c r="H142" i="40"/>
  <c r="H143" i="40"/>
  <c r="H144" i="40"/>
  <c r="H145" i="40"/>
  <c r="H146" i="40"/>
  <c r="H147" i="40"/>
  <c r="H148" i="40"/>
  <c r="H149" i="40"/>
  <c r="H150" i="40"/>
  <c r="H151" i="40"/>
  <c r="H152" i="40"/>
  <c r="H153" i="40"/>
  <c r="H154" i="40"/>
  <c r="H155" i="40"/>
  <c r="H156" i="40"/>
  <c r="H157" i="40"/>
  <c r="H158" i="40"/>
  <c r="H159" i="40"/>
  <c r="H160" i="40"/>
  <c r="H161" i="40"/>
  <c r="H162" i="40"/>
  <c r="H163" i="40"/>
  <c r="H164" i="40"/>
  <c r="H165" i="40"/>
  <c r="H166" i="40"/>
  <c r="H167" i="40"/>
  <c r="H168" i="40"/>
  <c r="H169" i="40"/>
  <c r="H170" i="40"/>
  <c r="H171" i="40"/>
  <c r="H172" i="40"/>
  <c r="H173" i="40"/>
  <c r="H174" i="40"/>
  <c r="H175" i="40"/>
  <c r="H176" i="40"/>
  <c r="H177" i="40"/>
  <c r="H178" i="40"/>
  <c r="H179" i="40"/>
  <c r="H180" i="40"/>
  <c r="H181" i="40"/>
  <c r="H182" i="40"/>
  <c r="H183" i="40"/>
  <c r="H184" i="40"/>
  <c r="H185" i="40"/>
  <c r="H186" i="40"/>
  <c r="H187" i="40"/>
  <c r="H188" i="40"/>
  <c r="H189" i="40"/>
  <c r="H190" i="40"/>
  <c r="H191" i="40"/>
  <c r="H192" i="40"/>
  <c r="H193" i="40"/>
  <c r="H194" i="40"/>
  <c r="H195" i="40"/>
  <c r="H196" i="40"/>
  <c r="H197" i="40"/>
  <c r="H198" i="40"/>
  <c r="H199" i="40"/>
  <c r="H200" i="40"/>
  <c r="H201" i="40"/>
  <c r="H202" i="40"/>
  <c r="H203" i="40"/>
  <c r="H204" i="40"/>
  <c r="H205" i="40"/>
  <c r="H206" i="40"/>
  <c r="B206" i="41" s="1"/>
  <c r="H207" i="40"/>
  <c r="B207" i="41" s="1"/>
  <c r="H208" i="40"/>
  <c r="B208" i="41" s="1"/>
  <c r="H209" i="40"/>
  <c r="H210" i="40"/>
  <c r="H211" i="40"/>
  <c r="H212" i="40"/>
  <c r="H213" i="40"/>
  <c r="H214" i="40"/>
  <c r="H215" i="40"/>
  <c r="H216" i="40"/>
  <c r="H217" i="40"/>
  <c r="H218" i="40"/>
  <c r="H219" i="40"/>
  <c r="H220" i="40"/>
  <c r="H221" i="40"/>
  <c r="H222" i="40"/>
  <c r="H223" i="40"/>
  <c r="H224" i="40"/>
  <c r="H225" i="40"/>
  <c r="H226" i="40"/>
  <c r="H227" i="40"/>
  <c r="H228" i="40"/>
  <c r="H229" i="40"/>
  <c r="H230" i="40"/>
  <c r="H231" i="40"/>
  <c r="H232" i="40"/>
  <c r="H233" i="40"/>
  <c r="H234" i="40"/>
  <c r="H235" i="40"/>
  <c r="H236" i="40"/>
  <c r="H237" i="40"/>
  <c r="H238" i="40"/>
  <c r="H239" i="40"/>
  <c r="H240" i="40"/>
  <c r="H241" i="40"/>
  <c r="H242" i="40"/>
  <c r="H243" i="40"/>
  <c r="H244" i="40"/>
  <c r="H245" i="40"/>
  <c r="H246" i="40"/>
  <c r="H247" i="40"/>
  <c r="H248" i="40"/>
  <c r="H249" i="40"/>
  <c r="H250" i="40"/>
  <c r="H251" i="40"/>
  <c r="H252" i="40"/>
  <c r="H253" i="40"/>
  <c r="H254" i="40"/>
  <c r="H255" i="40"/>
  <c r="H256" i="40"/>
  <c r="H257" i="40"/>
  <c r="H258" i="40"/>
  <c r="H259" i="40"/>
  <c r="H260" i="40"/>
  <c r="H261" i="40"/>
  <c r="H262" i="40"/>
  <c r="H263" i="40"/>
  <c r="H264" i="40"/>
  <c r="H265" i="40"/>
  <c r="H266" i="40"/>
  <c r="H267" i="40"/>
  <c r="H268" i="40"/>
  <c r="H269" i="40"/>
  <c r="H270" i="40"/>
  <c r="H271" i="40"/>
  <c r="H272" i="40"/>
  <c r="H273" i="40"/>
  <c r="H274" i="40"/>
  <c r="H275" i="40"/>
  <c r="H276" i="40"/>
  <c r="H277" i="40"/>
  <c r="H278" i="40"/>
  <c r="H280" i="40"/>
  <c r="H281" i="40"/>
  <c r="H282" i="40"/>
  <c r="H283" i="40"/>
  <c r="H284" i="40"/>
  <c r="H285" i="40"/>
  <c r="H286" i="40"/>
  <c r="H287" i="40"/>
  <c r="H288" i="40"/>
  <c r="H289" i="40"/>
  <c r="H290" i="40"/>
  <c r="H291" i="40"/>
  <c r="H292" i="40"/>
  <c r="H293" i="40"/>
  <c r="H294" i="40"/>
  <c r="H295" i="40"/>
  <c r="H296" i="40"/>
  <c r="H297" i="40"/>
  <c r="H298" i="40"/>
  <c r="H299" i="40"/>
  <c r="H300" i="40"/>
  <c r="H301" i="40"/>
  <c r="H302" i="40"/>
  <c r="H303" i="40"/>
  <c r="H304" i="40"/>
  <c r="H305" i="40"/>
  <c r="H306" i="40"/>
  <c r="H307" i="40"/>
  <c r="H308" i="40"/>
  <c r="H309" i="40"/>
  <c r="H310" i="40"/>
  <c r="H311" i="40"/>
  <c r="H312" i="40"/>
  <c r="H313" i="40"/>
  <c r="H314" i="40"/>
  <c r="H315" i="40"/>
  <c r="H316" i="40"/>
  <c r="H317" i="40"/>
  <c r="H318" i="40"/>
  <c r="H319" i="40"/>
  <c r="H320" i="40"/>
  <c r="H321" i="40"/>
  <c r="H322" i="40"/>
  <c r="H323" i="40"/>
  <c r="H324" i="40"/>
  <c r="H325" i="40"/>
  <c r="H326" i="40"/>
  <c r="H327" i="40"/>
  <c r="H328" i="40"/>
  <c r="H329" i="40"/>
  <c r="H330" i="40"/>
  <c r="H331" i="40"/>
  <c r="H332" i="40"/>
  <c r="H333" i="40"/>
  <c r="H334" i="40"/>
  <c r="H335" i="40"/>
  <c r="H336" i="40"/>
  <c r="H337" i="40"/>
  <c r="H338" i="40"/>
  <c r="H339" i="40"/>
  <c r="H340" i="40"/>
  <c r="H341" i="40"/>
  <c r="H342" i="40"/>
  <c r="H343" i="40"/>
  <c r="H344" i="40"/>
  <c r="H345" i="40"/>
  <c r="H346" i="40"/>
  <c r="H347" i="40"/>
  <c r="H348" i="40"/>
  <c r="H349" i="40"/>
  <c r="H350" i="40"/>
  <c r="H351" i="40"/>
  <c r="H352" i="40"/>
  <c r="H353" i="40"/>
  <c r="H354" i="40"/>
  <c r="H355" i="40"/>
  <c r="H356" i="40"/>
  <c r="H357" i="40"/>
  <c r="H358" i="40"/>
  <c r="H359" i="40"/>
  <c r="H360" i="40"/>
  <c r="H361" i="40"/>
  <c r="H362" i="40"/>
  <c r="H363" i="40"/>
  <c r="H364" i="40"/>
  <c r="H365" i="40"/>
  <c r="H366" i="40"/>
  <c r="H367" i="40"/>
  <c r="H368" i="40"/>
  <c r="H369" i="40"/>
  <c r="H370" i="40"/>
  <c r="H371" i="40"/>
  <c r="H372" i="40"/>
  <c r="H373" i="40"/>
  <c r="H374" i="40"/>
  <c r="H375" i="40"/>
  <c r="H376" i="40"/>
  <c r="H377" i="40"/>
  <c r="H378" i="40"/>
  <c r="H379" i="40"/>
  <c r="H380" i="40"/>
  <c r="H381" i="40"/>
  <c r="H382" i="40"/>
  <c r="H383" i="40"/>
  <c r="H384" i="40"/>
  <c r="H385" i="40"/>
  <c r="H386" i="40"/>
  <c r="H387" i="40"/>
  <c r="H388" i="40"/>
  <c r="H389" i="40"/>
  <c r="H390" i="40"/>
  <c r="H391" i="40"/>
  <c r="H392" i="40"/>
  <c r="H393" i="40"/>
  <c r="H394" i="40"/>
  <c r="H395" i="40"/>
  <c r="H396" i="40"/>
  <c r="H397" i="40"/>
  <c r="H398" i="40"/>
  <c r="H399" i="40"/>
  <c r="H400" i="40"/>
  <c r="H401" i="40"/>
  <c r="H402" i="40"/>
  <c r="H403" i="40"/>
  <c r="H404" i="40"/>
  <c r="H405" i="40"/>
  <c r="H406" i="40"/>
  <c r="H407" i="40"/>
  <c r="H408" i="40"/>
  <c r="H409" i="40"/>
  <c r="H410" i="40"/>
  <c r="H411" i="40"/>
  <c r="H412" i="40"/>
  <c r="H413" i="40"/>
  <c r="H4" i="40"/>
  <c r="B4" i="41" s="1"/>
</calcChain>
</file>

<file path=xl/comments1.xml><?xml version="1.0" encoding="utf-8"?>
<comments xmlns="http://schemas.openxmlformats.org/spreadsheetml/2006/main">
  <authors>
    <author>MS60 CCLi0</author>
  </authors>
  <commentList>
    <comment ref="A1" authorId="0" shapeId="0">
      <text>
        <r>
          <rPr>
            <sz val="9"/>
            <color indexed="81"/>
            <rFont val="Tahoma"/>
            <family val="2"/>
          </rPr>
          <t>The package name must have a one-to-one relationship with the part number on the second page (Package Type). In addition, the first half is the name of the show for customers, and the ones in parentheses are used for distinction.</t>
        </r>
      </text>
    </comment>
    <comment ref="N1" authorId="0" shapeId="0">
      <text>
        <r>
          <rPr>
            <sz val="9"/>
            <color indexed="81"/>
            <rFont val="Tahoma"/>
            <family val="2"/>
          </rPr>
          <t>If there are different packages and different function definitions, please follow this format. The package must be the same as before</t>
        </r>
        <r>
          <rPr>
            <sz val="9"/>
            <color indexed="81"/>
            <rFont val="細明體"/>
            <family val="3"/>
            <charset val="136"/>
          </rPr>
          <t>。</t>
        </r>
      </text>
    </comment>
    <comment ref="Q1" authorId="0" shapeId="0">
      <text>
        <r>
          <rPr>
            <sz val="9"/>
            <color indexed="81"/>
            <rFont val="Tahoma"/>
            <family val="2"/>
          </rPr>
          <t>The value after the MFP is meaningful, and its value should have a corresponding relationship with the martix of the following Bit.
E.g.:
P2_ALT[7]  P2_MFP[7] P2.7  Function
0                0                      GPIO P2.7
1                0                      SPI_CLK0
1                1                      RTS1
In the above example, P2.7 has three MFP functions, they will be filled in excel:
MFP0          MFP2          MFP3
P2.7            SPI_CLK0    RTS1
Bit Martix:
Bit1            Bit0
P2_ALT[7]   P2_MFP[7]
Please note that use the field name, but use the bit of the entire register to represent it.
Follow above the format, use square brackets to enclose the corresponding bit.</t>
        </r>
      </text>
    </comment>
    <comment ref="X1" authorId="0" shapeId="0">
      <text>
        <r>
          <rPr>
            <sz val="9"/>
            <color indexed="81"/>
            <rFont val="Tahoma"/>
            <family val="2"/>
          </rPr>
          <t>The Bits related to this Multi function Pin are arranged from left to right in the order of MSB to LSB. For example, if there are at most 5 related bits, start from Bit4. For this example has at most 4 related bits, start from Bit3.</t>
        </r>
      </text>
    </comment>
    <comment ref="F2" authorId="0" shapeId="0">
      <text>
        <r>
          <rPr>
            <sz val="9"/>
            <color indexed="81"/>
            <rFont val="Tahoma"/>
            <family val="2"/>
          </rPr>
          <t>Tools will display PIN NAME, PAD NAME column is for internal reference only</t>
        </r>
      </text>
    </comment>
    <comment ref="I2" authorId="0" shapeId="0">
      <text>
        <r>
          <rPr>
            <sz val="9"/>
            <color indexed="81"/>
            <rFont val="Tahoma"/>
            <family val="2"/>
          </rPr>
          <t>SD0_*: names with the same prefix means it belongs to the same group in pinConfig tool</t>
        </r>
      </text>
    </comment>
    <comment ref="S2" authorId="0" shapeId="0">
      <text>
        <r>
          <rPr>
            <sz val="9"/>
            <color indexed="81"/>
            <rFont val="Tahoma"/>
            <family val="2"/>
          </rPr>
          <t>Analog pin function list:
If there are multiple analog pin function in MFP1, List all of them to these columns and fill analog* keyword to MFP1 column.
E.g.: Analog0 -&gt; EADC0_CH5 or ACMP1_N
EADC0_CH5 and ACMP1_N will show in tool UI or pin diagram. Analog* is a tag to represent that the MFP value has multiple functions and will not show in tool UI or pin diagram.</t>
        </r>
      </text>
    </comment>
    <comment ref="AA3" authorId="0" shapeId="0">
      <text>
        <r>
          <rPr>
            <sz val="9"/>
            <color indexed="81"/>
            <rFont val="Tahoma"/>
            <family val="2"/>
          </rPr>
          <t>Format: Register[Bit]
Don't use Field Name</t>
        </r>
      </text>
    </comment>
    <comment ref="K4" authorId="0" shapeId="0">
      <text>
        <r>
          <rPr>
            <sz val="9"/>
            <color indexed="81"/>
            <rFont val="Tahoma"/>
            <family val="2"/>
          </rPr>
          <t>If there is a situation where a certain MFP function is only available in a specific package, please use parentheses to add some packages after the function name. If there are more than two packages, use the underscore _ to distinguish them. The package must be consistent with the package as before.</t>
        </r>
      </text>
    </comment>
    <comment ref="C16" authorId="0" shapeId="0">
      <text>
        <r>
          <rPr>
            <sz val="9"/>
            <color indexed="81"/>
            <rFont val="Tahoma"/>
            <family val="2"/>
          </rPr>
          <t>The order of the GPIO pins can be arbitrary and does not have to be in incremental form, but each pin must be specified.</t>
        </r>
      </text>
    </comment>
    <comment ref="F16" authorId="0" shapeId="0">
      <text>
        <r>
          <rPr>
            <sz val="9"/>
            <color indexed="81"/>
            <rFont val="Tahoma"/>
            <family val="2"/>
          </rPr>
          <t>The format of GPIO is: Px.xx.
There should be no other words in the back, for example:
PF.0 (X32KI). Should be changed to PF.0</t>
        </r>
      </text>
    </comment>
    <comment ref="I20" authorId="0" shapeId="0">
      <text>
        <r>
          <rPr>
            <sz val="9"/>
            <color indexed="81"/>
            <rFont val="Tahoma"/>
            <family val="2"/>
          </rPr>
          <t>Function should start with Group and be distinguished by the bottom line _. You want to be grouped together not for this rule. E.g:
BRAKE00, BRAKE01, BRAKE10, BRAKE11 want to use BRAKE as its Group. For the cases, the designer must add a new page (Special Group Name), and then specifically describe these cases.</t>
        </r>
      </text>
    </comment>
    <comment ref="F75" authorId="0" shapeId="0">
      <text>
        <r>
          <rPr>
            <sz val="9"/>
            <color indexed="81"/>
            <rFont val="Tahoma"/>
            <family val="2"/>
          </rPr>
          <t>NC_ToolNotShow keyword: the pin does not show on UI or diagram</t>
        </r>
      </text>
    </comment>
    <comment ref="F78" authorId="0" shapeId="0">
      <text>
        <r>
          <rPr>
            <sz val="9"/>
            <color indexed="81"/>
            <rFont val="Tahoma"/>
            <family val="2"/>
          </rPr>
          <t>NC keyword: the pin function does not be used</t>
        </r>
      </text>
    </comment>
  </commentList>
</comments>
</file>

<file path=xl/comments2.xml><?xml version="1.0" encoding="utf-8"?>
<comments xmlns="http://schemas.openxmlformats.org/spreadsheetml/2006/main">
  <authors>
    <author>MS60 CCLi0</author>
  </authors>
  <commentList>
    <comment ref="F4" authorId="0" shapeId="0">
      <text>
        <r>
          <rPr>
            <sz val="9"/>
            <color indexed="81"/>
            <rFont val="Tahoma"/>
            <family val="2"/>
          </rPr>
          <t>List all part no. and package in mapping table</t>
        </r>
      </text>
    </comment>
    <comment ref="E12" authorId="0" shapeId="0">
      <text>
        <r>
          <rPr>
            <sz val="9"/>
            <color indexed="81"/>
            <rFont val="Tahoma"/>
            <family val="2"/>
          </rPr>
          <t>Package name mapping table
The name should be the same with package name in MFP worksheet</t>
        </r>
      </text>
    </comment>
    <comment ref="E13" authorId="0" shapeId="0">
      <text>
        <r>
          <rPr>
            <sz val="9"/>
            <color indexed="81"/>
            <rFont val="Tahoma"/>
            <family val="2"/>
          </rPr>
          <t>The name corresponds to the package name of part no. above</t>
        </r>
      </text>
    </comment>
    <comment ref="E15" authorId="0" shapeId="0">
      <text>
        <r>
          <rPr>
            <sz val="9"/>
            <color indexed="81"/>
            <rFont val="Tahoma"/>
            <family val="2"/>
          </rPr>
          <t>List the power pin of Vbat or VDDIO</t>
        </r>
      </text>
    </comment>
  </commentList>
</comments>
</file>

<file path=xl/comments3.xml><?xml version="1.0" encoding="utf-8"?>
<comments xmlns="http://schemas.openxmlformats.org/spreadsheetml/2006/main">
  <authors>
    <author>MS60 CCLi0</author>
  </authors>
  <commentList>
    <comment ref="G1" authorId="0" shapeId="0">
      <text>
        <r>
          <rPr>
            <sz val="9"/>
            <color indexed="81"/>
            <rFont val="Tahoma"/>
            <family val="2"/>
          </rPr>
          <t>Fill in the corresponding multi-function pin worksheet name</t>
        </r>
      </text>
    </comment>
    <comment ref="G2" authorId="0" shapeId="0">
      <text>
        <r>
          <rPr>
            <sz val="9"/>
            <color indexed="81"/>
            <rFont val="Tahoma"/>
            <family val="2"/>
          </rPr>
          <t>Fill in the corresponding part no. in Package Type worksheet</t>
        </r>
      </text>
    </comment>
    <comment ref="G3" authorId="0" shapeId="0">
      <text>
        <r>
          <rPr>
            <sz val="9"/>
            <color indexed="81"/>
            <rFont val="Tahoma"/>
            <family val="2"/>
          </rPr>
          <t>Fill in the corresponding package in Package Type worksheet. The package name should be the same with the package name in multi-function pin worksheet</t>
        </r>
      </text>
    </comment>
    <comment ref="H3" authorId="0" shapeId="0">
      <text>
        <r>
          <rPr>
            <sz val="9"/>
            <color indexed="81"/>
            <rFont val="Tahoma"/>
            <family val="2"/>
          </rPr>
          <t>List the pin number of each direction if package pin is asymmetric
D10R14U10L14: 
10pin in down side
14pin in right side
10pin in up side
14pin in left side</t>
        </r>
      </text>
    </comment>
    <comment ref="B4" authorId="0" shapeId="0">
      <text>
        <r>
          <rPr>
            <sz val="9"/>
            <color indexed="81"/>
            <rFont val="Tahoma"/>
            <family val="2"/>
          </rPr>
          <t>Some IP didn't support in certain package. (lack of pin counts) Need to list here.</t>
        </r>
      </text>
    </comment>
  </commentList>
</comments>
</file>

<file path=xl/sharedStrings.xml><?xml version="1.0" encoding="utf-8"?>
<sst xmlns="http://schemas.openxmlformats.org/spreadsheetml/2006/main" count="6020" uniqueCount="2336">
  <si>
    <t>MFP1</t>
    <phoneticPr fontId="13" type="noConversion"/>
  </si>
  <si>
    <t>MFP2</t>
    <phoneticPr fontId="13" type="noConversion"/>
  </si>
  <si>
    <t>MFP3</t>
    <phoneticPr fontId="13" type="noConversion"/>
  </si>
  <si>
    <t>MFP5</t>
    <phoneticPr fontId="13" type="noConversion"/>
  </si>
  <si>
    <t>MFP6</t>
    <phoneticPr fontId="13" type="noConversion"/>
  </si>
  <si>
    <t>MFP7</t>
    <phoneticPr fontId="13" type="noConversion"/>
  </si>
  <si>
    <t>MFP31</t>
    <phoneticPr fontId="13" type="noConversion"/>
  </si>
  <si>
    <t>Pin Name</t>
    <phoneticPr fontId="13" type="noConversion"/>
  </si>
  <si>
    <t>Bit3</t>
    <phoneticPr fontId="13" type="noConversion"/>
  </si>
  <si>
    <t>Bit2</t>
    <phoneticPr fontId="13" type="noConversion"/>
  </si>
  <si>
    <t>Bit1</t>
    <phoneticPr fontId="13" type="noConversion"/>
  </si>
  <si>
    <t>Bit0</t>
    <phoneticPr fontId="13" type="noConversion"/>
  </si>
  <si>
    <t>MFPA[3]</t>
    <phoneticPr fontId="13" type="noConversion"/>
  </si>
  <si>
    <t>MFPA[2]</t>
    <phoneticPr fontId="13" type="noConversion"/>
  </si>
  <si>
    <t>MFPA[1]</t>
    <phoneticPr fontId="13" type="noConversion"/>
  </si>
  <si>
    <t>MFPA[0]</t>
    <phoneticPr fontId="13" type="noConversion"/>
  </si>
  <si>
    <t>ALT1[1]</t>
    <phoneticPr fontId="13" type="noConversion"/>
  </si>
  <si>
    <t>MFP1[1]</t>
    <phoneticPr fontId="13" type="noConversion"/>
  </si>
  <si>
    <t>ALT[5]</t>
    <phoneticPr fontId="13" type="noConversion"/>
  </si>
  <si>
    <t>SPI0_SCLK_O</t>
    <phoneticPr fontId="13" type="noConversion"/>
  </si>
  <si>
    <t xml:space="preserve">I2C0_CL </t>
    <phoneticPr fontId="13" type="noConversion"/>
  </si>
  <si>
    <t>PC.1</t>
  </si>
  <si>
    <t xml:space="preserve">I2C0_DA </t>
    <phoneticPr fontId="13" type="noConversion"/>
  </si>
  <si>
    <t>PC.2</t>
  </si>
  <si>
    <t>PC.3</t>
  </si>
  <si>
    <t>PC.4</t>
  </si>
  <si>
    <t>PC.6</t>
  </si>
  <si>
    <t>PC.7</t>
  </si>
  <si>
    <t>PC.8</t>
  </si>
  <si>
    <t>PC.9</t>
  </si>
  <si>
    <t>PC.11</t>
  </si>
  <si>
    <t>PC.12</t>
  </si>
  <si>
    <t>PC.13</t>
  </si>
  <si>
    <t>PD.1</t>
  </si>
  <si>
    <t>PD.2</t>
  </si>
  <si>
    <t>PD.3</t>
  </si>
  <si>
    <t>PD.4</t>
  </si>
  <si>
    <t>PD.5</t>
  </si>
  <si>
    <t>PD.6</t>
  </si>
  <si>
    <t>PD.7</t>
  </si>
  <si>
    <t>PD.8</t>
  </si>
  <si>
    <t>PD.10</t>
  </si>
  <si>
    <t>PD.11</t>
  </si>
  <si>
    <t>PD.12</t>
  </si>
  <si>
    <t>RTC_CKO</t>
    <phoneticPr fontId="13" type="noConversion"/>
  </si>
  <si>
    <t>PE.1</t>
  </si>
  <si>
    <t>PE.2</t>
  </si>
  <si>
    <t>PE.3</t>
  </si>
  <si>
    <t>PE.4</t>
  </si>
  <si>
    <t>PE.5</t>
  </si>
  <si>
    <t>PE.6</t>
  </si>
  <si>
    <t>PE.7</t>
  </si>
  <si>
    <t>PA.9</t>
  </si>
  <si>
    <t>PA.10</t>
  </si>
  <si>
    <t>PA.11</t>
  </si>
  <si>
    <t>PA.12</t>
  </si>
  <si>
    <t>I2C0_CL</t>
    <phoneticPr fontId="13" type="noConversion"/>
  </si>
  <si>
    <t>PA.13</t>
  </si>
  <si>
    <t>I2C0_DA</t>
    <phoneticPr fontId="13" type="noConversion"/>
  </si>
  <si>
    <t>PA.14</t>
  </si>
  <si>
    <t>PA.15</t>
  </si>
  <si>
    <t>PB.1</t>
  </si>
  <si>
    <t>PB.2</t>
  </si>
  <si>
    <t>PB.3</t>
  </si>
  <si>
    <t>Group Name</t>
    <phoneticPr fontId="13" type="noConversion"/>
  </si>
  <si>
    <t xml:space="preserve">MFP Function </t>
    <phoneticPr fontId="13" type="noConversion"/>
  </si>
  <si>
    <t>MFP8(LQFP64)</t>
    <phoneticPr fontId="13" type="noConversion"/>
  </si>
  <si>
    <t>MFP8(LQFP128)</t>
    <phoneticPr fontId="13" type="noConversion"/>
  </si>
  <si>
    <t>GPB[5]</t>
  </si>
  <si>
    <t>PB.5</t>
  </si>
  <si>
    <t>GPB[4]</t>
  </si>
  <si>
    <t>PB.4</t>
  </si>
  <si>
    <t>GPB[3]</t>
  </si>
  <si>
    <t>GPB[2]</t>
  </si>
  <si>
    <t>GPC[12]</t>
  </si>
  <si>
    <t>GPC[11]</t>
  </si>
  <si>
    <t>GPC[10]</t>
  </si>
  <si>
    <t>PC.10</t>
  </si>
  <si>
    <t>GPC[9]</t>
  </si>
  <si>
    <t>GPB[1]</t>
  </si>
  <si>
    <t>GPB[0]</t>
  </si>
  <si>
    <t>PB.0</t>
  </si>
  <si>
    <t>VSSPST</t>
  </si>
  <si>
    <t>VDDPST</t>
  </si>
  <si>
    <t>GPA[11]</t>
  </si>
  <si>
    <t>GPA[10]</t>
  </si>
  <si>
    <t>GPA[9]</t>
  </si>
  <si>
    <t>GPA[8]</t>
  </si>
  <si>
    <t>PA.8</t>
  </si>
  <si>
    <t>GPC[13]</t>
  </si>
  <si>
    <t>GPD[12]</t>
  </si>
  <si>
    <t>GPD[11]</t>
  </si>
  <si>
    <t>GPD[10]</t>
  </si>
  <si>
    <t>GPG[0]</t>
  </si>
  <si>
    <t>PG.0</t>
  </si>
  <si>
    <t>GPG[1]</t>
  </si>
  <si>
    <t>PG.1</t>
  </si>
  <si>
    <t>GPG[2]</t>
  </si>
  <si>
    <t>PG.2</t>
  </si>
  <si>
    <t>GPG[3]</t>
  </si>
  <si>
    <t>PG.3</t>
  </si>
  <si>
    <t>GPG[4]</t>
  </si>
  <si>
    <t>PG.4</t>
  </si>
  <si>
    <t>GPF[11]</t>
  </si>
  <si>
    <t>PF.11</t>
  </si>
  <si>
    <t>GPF[10]</t>
  </si>
  <si>
    <t>PF.10</t>
  </si>
  <si>
    <t>GPF[9]</t>
  </si>
  <si>
    <t>PF.9</t>
  </si>
  <si>
    <t>GPF[8]</t>
  </si>
  <si>
    <t>PF.8</t>
  </si>
  <si>
    <t>GPF[7]</t>
  </si>
  <si>
    <t>PF.7</t>
  </si>
  <si>
    <t>GPF[6]</t>
  </si>
  <si>
    <t>PF.6</t>
  </si>
  <si>
    <t>VBAT</t>
  </si>
  <si>
    <t>GPF[5]</t>
  </si>
  <si>
    <t>PF.5</t>
  </si>
  <si>
    <t>GPF[4]</t>
  </si>
  <si>
    <t>PF.4</t>
  </si>
  <si>
    <t>GPH[0]</t>
  </si>
  <si>
    <t>PH.0</t>
  </si>
  <si>
    <t>GPH[1]</t>
  </si>
  <si>
    <t>PH.1</t>
  </si>
  <si>
    <t>GPH[2]</t>
  </si>
  <si>
    <t>PH.2</t>
  </si>
  <si>
    <t>GPH[3]</t>
  </si>
  <si>
    <t>PH.3</t>
  </si>
  <si>
    <t>GPH[4]</t>
  </si>
  <si>
    <t>PH.4</t>
  </si>
  <si>
    <t>GPH[5]</t>
  </si>
  <si>
    <t>PH.5</t>
  </si>
  <si>
    <t>GPH[6]</t>
  </si>
  <si>
    <t>PH.6</t>
  </si>
  <si>
    <t>GPH[7]</t>
  </si>
  <si>
    <t>PH.7</t>
  </si>
  <si>
    <t>GPF[3]</t>
  </si>
  <si>
    <t>PF.3</t>
  </si>
  <si>
    <t>GPF[2]</t>
  </si>
  <si>
    <t>PF.2</t>
  </si>
  <si>
    <t>GPE[8]</t>
  </si>
  <si>
    <t>PE.8</t>
  </si>
  <si>
    <t>GPE[9]</t>
  </si>
  <si>
    <t>PE.9</t>
  </si>
  <si>
    <t>GPE[10]</t>
  </si>
  <si>
    <t>PE.10</t>
  </si>
  <si>
    <t>GPE[11]</t>
  </si>
  <si>
    <t>PE.11</t>
  </si>
  <si>
    <t>GPE[12]</t>
  </si>
  <si>
    <t>PE.12</t>
  </si>
  <si>
    <t>GPE[13]</t>
  </si>
  <si>
    <t>PE.13</t>
  </si>
  <si>
    <t>GPC[8]</t>
  </si>
  <si>
    <t>GPC[7]</t>
  </si>
  <si>
    <t>GPC[6]</t>
  </si>
  <si>
    <t>GPA[7]</t>
  </si>
  <si>
    <t>PA.7</t>
  </si>
  <si>
    <t>GPA[6]</t>
  </si>
  <si>
    <t>PA.6</t>
  </si>
  <si>
    <t>LDO_CAP</t>
  </si>
  <si>
    <t>GPA[5]</t>
  </si>
  <si>
    <t>PA.5</t>
  </si>
  <si>
    <t>GPA[4]</t>
  </si>
  <si>
    <t>PA.4</t>
  </si>
  <si>
    <t>GPA[3]</t>
  </si>
  <si>
    <t>PA.3</t>
  </si>
  <si>
    <t>GPA[2]</t>
  </si>
  <si>
    <t>PA.2</t>
  </si>
  <si>
    <t>GPA[1]</t>
  </si>
  <si>
    <t>PA.1</t>
  </si>
  <si>
    <t>GPA[0]</t>
  </si>
  <si>
    <t>PA.0</t>
  </si>
  <si>
    <t>VDDPST_IO18</t>
  </si>
  <si>
    <t>GPE[14]</t>
  </si>
  <si>
    <t>PE.14</t>
  </si>
  <si>
    <t>GPE[15]</t>
  </si>
  <si>
    <t>PE.15</t>
  </si>
  <si>
    <t>nRESET</t>
  </si>
  <si>
    <t>GPF[0]</t>
  </si>
  <si>
    <t>PF.0</t>
  </si>
  <si>
    <t>GPF[1]</t>
  </si>
  <si>
    <t>GPD[9]</t>
  </si>
  <si>
    <t>GPD[8]</t>
  </si>
  <si>
    <t>GPC[4]</t>
  </si>
  <si>
    <t>GPC[3]</t>
  </si>
  <si>
    <t>GPC[2]</t>
  </si>
  <si>
    <t>GPC[1]</t>
  </si>
  <si>
    <t>GPC[0]</t>
  </si>
  <si>
    <t>PC.0</t>
  </si>
  <si>
    <t>GPG[9]</t>
  </si>
  <si>
    <t>PG.9</t>
  </si>
  <si>
    <t>GPG[10]</t>
  </si>
  <si>
    <t>PG.10</t>
  </si>
  <si>
    <t>GPG[11]</t>
  </si>
  <si>
    <t>PG.11</t>
  </si>
  <si>
    <t>GPG[12]</t>
  </si>
  <si>
    <t>PG.12</t>
  </si>
  <si>
    <t>GPG[13]</t>
  </si>
  <si>
    <t>PG.13</t>
  </si>
  <si>
    <t>GPG[14]</t>
  </si>
  <si>
    <t>PG.14</t>
  </si>
  <si>
    <t>GPG[15]</t>
  </si>
  <si>
    <t>PG.15</t>
  </si>
  <si>
    <t>GPD[7]</t>
  </si>
  <si>
    <t>GPD[6]</t>
  </si>
  <si>
    <t>GPD[5]</t>
  </si>
  <si>
    <t>GPD[4]</t>
  </si>
  <si>
    <t>GPD[3]</t>
  </si>
  <si>
    <t>GPD[2]</t>
  </si>
  <si>
    <t>GPD[1]</t>
  </si>
  <si>
    <t>GPD[0]</t>
  </si>
  <si>
    <t>PD.0</t>
  </si>
  <si>
    <t>GPD[13]</t>
  </si>
  <si>
    <t>PD.13</t>
  </si>
  <si>
    <t>GPA[12]</t>
  </si>
  <si>
    <t>GPA[13]</t>
  </si>
  <si>
    <t>GPA[14]</t>
  </si>
  <si>
    <t>GPA[15]</t>
  </si>
  <si>
    <t>HSUSB_VDD12_CAP</t>
  </si>
  <si>
    <t>GPE[7]</t>
  </si>
  <si>
    <t>GPE[6]</t>
  </si>
  <si>
    <t>GPE[5]</t>
  </si>
  <si>
    <t>GPE[4]</t>
  </si>
  <si>
    <t>GPE[3]</t>
  </si>
  <si>
    <t>GPE[2]</t>
  </si>
  <si>
    <t>GPE[1]</t>
  </si>
  <si>
    <t>GPE[0]</t>
  </si>
  <si>
    <t>PE.0</t>
  </si>
  <si>
    <t>GPH[8]</t>
  </si>
  <si>
    <t>PH.8</t>
  </si>
  <si>
    <t>GPH[9]</t>
  </si>
  <si>
    <t>PH.9</t>
  </si>
  <si>
    <t>GPH[10]</t>
  </si>
  <si>
    <t>PH.10</t>
  </si>
  <si>
    <t>GPH[11]</t>
  </si>
  <si>
    <t>PH.11</t>
  </si>
  <si>
    <t>GPD[14]</t>
  </si>
  <si>
    <t>PD.14</t>
  </si>
  <si>
    <t>GPG[5]]</t>
  </si>
  <si>
    <t>PG.5</t>
  </si>
  <si>
    <t>VSS</t>
  </si>
  <si>
    <t>VDD</t>
  </si>
  <si>
    <t>VDDIO</t>
  </si>
  <si>
    <t>HSUSB_VRES</t>
  </si>
  <si>
    <t>HSUSB_VDD33</t>
  </si>
  <si>
    <t>HSUSB_VBUS</t>
  </si>
  <si>
    <t>HSUSB_D-</t>
  </si>
  <si>
    <t>HSUSB_VSS</t>
  </si>
  <si>
    <t>HSUSB_D+</t>
  </si>
  <si>
    <t>HSUSB_ID</t>
  </si>
  <si>
    <t>NC_ToolNotShow</t>
  </si>
  <si>
    <t>NC</t>
    <phoneticPr fontId="13" type="noConversion"/>
  </si>
  <si>
    <t>Analog0</t>
  </si>
  <si>
    <t>EBI_ADR0</t>
  </si>
  <si>
    <t>SD0_DAT3</t>
  </si>
  <si>
    <t>EMAC_RMII_REFCLK</t>
  </si>
  <si>
    <t>Analog1</t>
  </si>
  <si>
    <t>EBI_ADR1</t>
  </si>
  <si>
    <t>SD0_DAT2</t>
  </si>
  <si>
    <t>EMAC_RMII_RXD0</t>
  </si>
  <si>
    <t>Analog2</t>
  </si>
  <si>
    <t>EBI_ADR2</t>
  </si>
  <si>
    <t>SD0_DAT1</t>
  </si>
  <si>
    <t>EMAC_RMII_RXD1</t>
  </si>
  <si>
    <t>Analog3</t>
  </si>
  <si>
    <t>EBI_ADR3</t>
  </si>
  <si>
    <t>SD0_DAT0</t>
  </si>
  <si>
    <t>EMAC_RMII_CRSDV</t>
  </si>
  <si>
    <t>EBI_ADR4</t>
  </si>
  <si>
    <t>UART0_TXD</t>
  </si>
  <si>
    <t>I2C0_SCL</t>
  </si>
  <si>
    <t>EBI_ADR5</t>
  </si>
  <si>
    <t>UART0_RXD</t>
  </si>
  <si>
    <t>I2C0_SDA</t>
  </si>
  <si>
    <t>EBI_ADR6</t>
  </si>
  <si>
    <t>EBI_ADR7</t>
  </si>
  <si>
    <t>Analog4</t>
  </si>
  <si>
    <t>EBI_ADR8</t>
  </si>
  <si>
    <t>SD0_CLK</t>
  </si>
  <si>
    <t>EMAC_RMII_RXERR</t>
  </si>
  <si>
    <t>Analog5</t>
  </si>
  <si>
    <t>EBI_ADR9</t>
  </si>
  <si>
    <t>SD0_CMD</t>
  </si>
  <si>
    <t>Analog6</t>
  </si>
  <si>
    <t>EBI_nRD</t>
  </si>
  <si>
    <t>SC2_PWR</t>
  </si>
  <si>
    <t>SPI2_SS</t>
  </si>
  <si>
    <t>Analog7</t>
  </si>
  <si>
    <t>EBI_nWR</t>
  </si>
  <si>
    <t>SC2_RST</t>
  </si>
  <si>
    <t>SPI2_CLK</t>
  </si>
  <si>
    <t>EBI_MCLK</t>
  </si>
  <si>
    <t>SC2_DAT</t>
  </si>
  <si>
    <t>SPI2_MISO</t>
  </si>
  <si>
    <t>EBI_ALE</t>
  </si>
  <si>
    <t>SC2_CLK</t>
  </si>
  <si>
    <t>SPI2_MOSI</t>
  </si>
  <si>
    <t>EBI_ADR10</t>
  </si>
  <si>
    <t>SC2_nCD</t>
  </si>
  <si>
    <t>SPI2_I2SMCLK</t>
  </si>
  <si>
    <t>EBI_nCS0</t>
  </si>
  <si>
    <t>EBI_nCS1</t>
  </si>
  <si>
    <t>UART1_TXD</t>
  </si>
  <si>
    <t>CAN0_TXD</t>
  </si>
  <si>
    <t>EBI_nCS2</t>
  </si>
  <si>
    <t>UART1_RXD</t>
  </si>
  <si>
    <t>CAN0_RXD</t>
  </si>
  <si>
    <t>EBI_ADR11</t>
  </si>
  <si>
    <t>I2C0_SMBAL</t>
  </si>
  <si>
    <t>EBI_ADR12</t>
  </si>
  <si>
    <t>I2C0_SMBSUS</t>
  </si>
  <si>
    <t>EBI_ADR13</t>
  </si>
  <si>
    <t>EBI_ADR14</t>
  </si>
  <si>
    <t>EBI_ADR15</t>
  </si>
  <si>
    <t>SC0_nCD</t>
  </si>
  <si>
    <t>I2S0_BCLK</t>
  </si>
  <si>
    <t>EBI_ADR16</t>
  </si>
  <si>
    <t>SC0_PWR</t>
  </si>
  <si>
    <t>I2S0_MCLK</t>
  </si>
  <si>
    <t>EBI_ADR17</t>
  </si>
  <si>
    <t>SC0_RST</t>
  </si>
  <si>
    <t>I2S0_DI</t>
  </si>
  <si>
    <t>EBI_ADR18</t>
  </si>
  <si>
    <t>SC0_DAT</t>
  </si>
  <si>
    <t>I2S0_DO</t>
  </si>
  <si>
    <t>EBI_ADR19</t>
  </si>
  <si>
    <t>SC0_CLK</t>
  </si>
  <si>
    <t>I2S0_LRCK</t>
  </si>
  <si>
    <t>UART2_RXD</t>
  </si>
  <si>
    <t>UART2_nCTS</t>
  </si>
  <si>
    <t>UART2_TXD</t>
  </si>
  <si>
    <t>UART2_nRTS</t>
  </si>
  <si>
    <t>UART5_TXD</t>
  </si>
  <si>
    <t>UART5_RXD</t>
  </si>
  <si>
    <t>UART5_nRTS</t>
  </si>
  <si>
    <t>SPI1_I2SMCLK</t>
  </si>
  <si>
    <t>UART5_nCTS</t>
  </si>
  <si>
    <t>SPI1_MISO</t>
  </si>
  <si>
    <t>SPI1_MOSI</t>
  </si>
  <si>
    <t>SPI1_CLK</t>
  </si>
  <si>
    <t>SPI1_SS</t>
  </si>
  <si>
    <t>EMAC_RMII_MDC</t>
  </si>
  <si>
    <t>EMAC_RMII_MDIO</t>
  </si>
  <si>
    <t>EMAC_RMII_TXD0</t>
  </si>
  <si>
    <t>EMAC_RMII_TXD1</t>
  </si>
  <si>
    <t>EMAC_RMII_TXEN</t>
  </si>
  <si>
    <t>EMAC_PPS</t>
  </si>
  <si>
    <t>EBI_AD9</t>
  </si>
  <si>
    <t>EBI_AD8</t>
  </si>
  <si>
    <t>EBI_AD7</t>
  </si>
  <si>
    <t>EBI_AD6</t>
  </si>
  <si>
    <t>SPIM_D2</t>
  </si>
  <si>
    <t>QSPI0_MISO1</t>
  </si>
  <si>
    <t>SPIM_D3</t>
  </si>
  <si>
    <t>QSPI0_MOSI1</t>
  </si>
  <si>
    <t>SPI0_I2SMCLK</t>
  </si>
  <si>
    <t>SPIM_SS</t>
  </si>
  <si>
    <t>QSPI0_SS</t>
  </si>
  <si>
    <t>SPI0_SS</t>
  </si>
  <si>
    <t>SPIM_CLK</t>
  </si>
  <si>
    <t>QSPI0_CLK</t>
  </si>
  <si>
    <t>SPI0_CLK</t>
  </si>
  <si>
    <t>SPIM_MISO</t>
  </si>
  <si>
    <t>QSPI0_MISO0</t>
  </si>
  <si>
    <t>SPI0_MISO</t>
  </si>
  <si>
    <t>SPIM_MOSI</t>
  </si>
  <si>
    <t>QSPI0_MOSI0</t>
  </si>
  <si>
    <t>SPI0_MOSI</t>
  </si>
  <si>
    <t>I2C1_SCL</t>
  </si>
  <si>
    <t>I2C1_SDA</t>
  </si>
  <si>
    <t>I2C2_SCL</t>
  </si>
  <si>
    <t>I2C2_SDA</t>
  </si>
  <si>
    <t>EBI_AD5</t>
  </si>
  <si>
    <t>EBI_AD4</t>
  </si>
  <si>
    <t>EBI_AD3</t>
  </si>
  <si>
    <t>EBI_AD2</t>
  </si>
  <si>
    <t>EBI_AD1</t>
  </si>
  <si>
    <t>EBI_AD0</t>
  </si>
  <si>
    <t>SD1_DAT3</t>
  </si>
  <si>
    <t>SD1_DAT2</t>
  </si>
  <si>
    <t>SD1_DAT1</t>
  </si>
  <si>
    <t>SD1_DAT0</t>
  </si>
  <si>
    <t>SD1_CMD</t>
  </si>
  <si>
    <t>SD1_CLK</t>
  </si>
  <si>
    <t>SD1_nCD</t>
  </si>
  <si>
    <t>USCI0_CTL0</t>
  </si>
  <si>
    <t>EBI_AD10</t>
  </si>
  <si>
    <t>USCI0_CTL1</t>
  </si>
  <si>
    <t>EBI_AD11</t>
  </si>
  <si>
    <t>USCI0_DAT1</t>
  </si>
  <si>
    <t>EBI_AD12</t>
  </si>
  <si>
    <t>USCI0_DAT0</t>
  </si>
  <si>
    <t>EBI_AD13</t>
  </si>
  <si>
    <t>USCI0_CLK</t>
  </si>
  <si>
    <t>SD0_nCD</t>
  </si>
  <si>
    <t>UART4_TXD</t>
  </si>
  <si>
    <t>UART4_RXD</t>
  </si>
  <si>
    <t>EBI_AD14</t>
  </si>
  <si>
    <t>EBI_AD15</t>
  </si>
  <si>
    <t>SPI3_I2SMCLK</t>
  </si>
  <si>
    <t>SC1_nCD</t>
  </si>
  <si>
    <t>SPI3_SS</t>
  </si>
  <si>
    <t>SC1_PWR</t>
  </si>
  <si>
    <t>MFP1</t>
  </si>
  <si>
    <t>ADC</t>
  </si>
  <si>
    <t>ACMP0</t>
  </si>
  <si>
    <t>ACMP1</t>
  </si>
  <si>
    <t>EADC0_CH5</t>
  </si>
  <si>
    <t>EADC0_CH4</t>
  </si>
  <si>
    <t>ACMP1_P1</t>
  </si>
  <si>
    <t>EADC0_CH3</t>
  </si>
  <si>
    <t>ACMP0_N</t>
  </si>
  <si>
    <t>ACMP0_P1</t>
  </si>
  <si>
    <t>ACMP0_P0</t>
  </si>
  <si>
    <t>ACMP1_P0</t>
  </si>
  <si>
    <t>Part No.</t>
  </si>
  <si>
    <t xml:space="preserve">All </t>
    <phoneticPr fontId="13" type="noConversion"/>
  </si>
  <si>
    <t>MFP</t>
    <phoneticPr fontId="13" type="noConversion"/>
  </si>
  <si>
    <t>LCD_SEG33</t>
    <phoneticPr fontId="13" type="noConversion"/>
  </si>
  <si>
    <t>LCD_SEG32</t>
    <phoneticPr fontId="13" type="noConversion"/>
  </si>
  <si>
    <t>LCD_SEG31</t>
    <phoneticPr fontId="13" type="noConversion"/>
  </si>
  <si>
    <t>LCD_SEG30</t>
    <phoneticPr fontId="13" type="noConversion"/>
  </si>
  <si>
    <t>LCD_SEG29</t>
    <phoneticPr fontId="13" type="noConversion"/>
  </si>
  <si>
    <t>LCD_SEG28</t>
    <phoneticPr fontId="13" type="noConversion"/>
  </si>
  <si>
    <t>LCD_SEG27</t>
    <phoneticPr fontId="13" type="noConversion"/>
  </si>
  <si>
    <t>LCD_SEG26</t>
    <phoneticPr fontId="13" type="noConversion"/>
  </si>
  <si>
    <t>LCD_SEG24</t>
    <phoneticPr fontId="13" type="noConversion"/>
  </si>
  <si>
    <t>LCD_SEG25</t>
    <phoneticPr fontId="13" type="noConversion"/>
  </si>
  <si>
    <t>LCD_SEG23</t>
    <phoneticPr fontId="13" type="noConversion"/>
  </si>
  <si>
    <t>LCD_SEG22</t>
    <phoneticPr fontId="13" type="noConversion"/>
  </si>
  <si>
    <t>LCD_SEG21</t>
    <phoneticPr fontId="13" type="noConversion"/>
  </si>
  <si>
    <t>LCD_SEG20</t>
    <phoneticPr fontId="13" type="noConversion"/>
  </si>
  <si>
    <t>LCD_SEG19</t>
    <phoneticPr fontId="13" type="noConversion"/>
  </si>
  <si>
    <t>LCD_SEG18</t>
    <phoneticPr fontId="13" type="noConversion"/>
  </si>
  <si>
    <t>LCD_SEG17</t>
    <phoneticPr fontId="13" type="noConversion"/>
  </si>
  <si>
    <t>LCD_SEG16</t>
    <phoneticPr fontId="13" type="noConversion"/>
  </si>
  <si>
    <t>LCD_SEG15</t>
    <phoneticPr fontId="13" type="noConversion"/>
  </si>
  <si>
    <t>LCD_SEG14</t>
    <phoneticPr fontId="13" type="noConversion"/>
  </si>
  <si>
    <t>LCD_SEG13</t>
    <phoneticPr fontId="13" type="noConversion"/>
  </si>
  <si>
    <t>LCD_SEG9</t>
    <phoneticPr fontId="13" type="noConversion"/>
  </si>
  <si>
    <t>LCD_SEG10</t>
    <phoneticPr fontId="13" type="noConversion"/>
  </si>
  <si>
    <t>LCD_SEG11</t>
    <phoneticPr fontId="13" type="noConversion"/>
  </si>
  <si>
    <t>LCD_SEG12</t>
    <phoneticPr fontId="13" type="noConversion"/>
  </si>
  <si>
    <t>MFP8(ULQFP128)</t>
    <phoneticPr fontId="13" type="noConversion"/>
  </si>
  <si>
    <t>SPI0_SS[ULQFP64(7*7)]</t>
    <phoneticPr fontId="13" type="noConversion"/>
  </si>
  <si>
    <t>LQFP64(7*7)</t>
    <phoneticPr fontId="13" type="noConversion"/>
  </si>
  <si>
    <t>ULQFP64(7*7)</t>
    <phoneticPr fontId="13" type="noConversion"/>
  </si>
  <si>
    <t>LQFP128(14*14)</t>
    <phoneticPr fontId="13" type="noConversion"/>
  </si>
  <si>
    <t>ULQFP128(14*14)</t>
    <phoneticPr fontId="13" type="noConversion"/>
  </si>
  <si>
    <t>BRAKE00</t>
  </si>
  <si>
    <t>BRAKE01</t>
  </si>
  <si>
    <t>MFP4</t>
    <phoneticPr fontId="13" type="noConversion"/>
  </si>
  <si>
    <t>PAD Name</t>
    <phoneticPr fontId="13" type="noConversion"/>
  </si>
  <si>
    <t>PAD#</t>
  </si>
  <si>
    <t>HQFP80
(14*14)</t>
  </si>
  <si>
    <t>HQFP100
(14*14)</t>
  </si>
  <si>
    <t>HQFP128
(18*18)</t>
  </si>
  <si>
    <t>HQFP144
(20*20)</t>
  </si>
  <si>
    <t>PAD NAME</t>
  </si>
  <si>
    <t>PIN NAME</t>
  </si>
  <si>
    <t>MFP2</t>
  </si>
  <si>
    <t>MFP3</t>
  </si>
  <si>
    <t>MFP4</t>
  </si>
  <si>
    <t>MFP5</t>
  </si>
  <si>
    <t>MFP6</t>
  </si>
  <si>
    <t>MFP7</t>
  </si>
  <si>
    <t>GP9[6]</t>
  </si>
  <si>
    <t>VDD50</t>
  </si>
  <si>
    <t>GP9[7]</t>
  </si>
  <si>
    <t>GP0[0]</t>
  </si>
  <si>
    <t>IRQ00</t>
  </si>
  <si>
    <t>TM20A</t>
  </si>
  <si>
    <t>TRCCLK</t>
  </si>
  <si>
    <t>GP0[1]</t>
  </si>
  <si>
    <t>IRQ01</t>
  </si>
  <si>
    <t>TM20B</t>
  </si>
  <si>
    <t>TRCSWO</t>
  </si>
  <si>
    <t>GP0[2]</t>
  </si>
  <si>
    <t>IRQ02</t>
  </si>
  <si>
    <t>TM00A</t>
  </si>
  <si>
    <t>TRCD0</t>
  </si>
  <si>
    <t>GP0[3]</t>
  </si>
  <si>
    <t>IRQ03</t>
  </si>
  <si>
    <t>TM00B</t>
  </si>
  <si>
    <t>TRCD1</t>
  </si>
  <si>
    <t>GP0[4]</t>
  </si>
  <si>
    <t>IRQ04</t>
  </si>
  <si>
    <t>TM01A</t>
  </si>
  <si>
    <t>TRCD2</t>
  </si>
  <si>
    <t>GP0[5]</t>
  </si>
  <si>
    <t>IRQ05</t>
  </si>
  <si>
    <t>TM01B</t>
  </si>
  <si>
    <t>TRCD3</t>
  </si>
  <si>
    <t>GP0[6]</t>
  </si>
  <si>
    <t>IRQ06</t>
  </si>
  <si>
    <t>TM02A</t>
  </si>
  <si>
    <t>CRX1B</t>
  </si>
  <si>
    <t>GP0[7]</t>
  </si>
  <si>
    <t>IRQ07</t>
  </si>
  <si>
    <t>TM02B</t>
  </si>
  <si>
    <t>CTX1B</t>
  </si>
  <si>
    <t>NRST</t>
  </si>
  <si>
    <t>GP6[0]</t>
  </si>
  <si>
    <t>TM03A</t>
  </si>
  <si>
    <t>GPWMST5</t>
  </si>
  <si>
    <t>GP6[1]</t>
  </si>
  <si>
    <t>TM03B</t>
  </si>
  <si>
    <t>GPWMST6</t>
  </si>
  <si>
    <t>SBT4D</t>
  </si>
  <si>
    <t>GP6[2]</t>
  </si>
  <si>
    <t>TM04A</t>
  </si>
  <si>
    <t>GPWMST7</t>
  </si>
  <si>
    <t>SBT4C</t>
  </si>
  <si>
    <t>GP6[3]</t>
  </si>
  <si>
    <t>TM04B</t>
  </si>
  <si>
    <t>GPWMST8</t>
  </si>
  <si>
    <t>SBCS4CD</t>
  </si>
  <si>
    <t>SBCS7CD</t>
  </si>
  <si>
    <t>TEST</t>
  </si>
  <si>
    <t>GP6[4]</t>
  </si>
  <si>
    <t>TM05A</t>
  </si>
  <si>
    <t>GP6[5]</t>
  </si>
  <si>
    <t>TM05B</t>
  </si>
  <si>
    <t>SWDCLK</t>
  </si>
  <si>
    <t>SWDD</t>
  </si>
  <si>
    <t>OSCI</t>
  </si>
  <si>
    <t>OSCO</t>
  </si>
  <si>
    <t>VPP</t>
  </si>
  <si>
    <t>VOUT12</t>
  </si>
  <si>
    <t>NDMOD</t>
  </si>
  <si>
    <t>GPWM60</t>
  </si>
  <si>
    <t>GPWM61</t>
  </si>
  <si>
    <t>GPWM70</t>
  </si>
  <si>
    <t>GPWM71</t>
  </si>
  <si>
    <t>GP6[6]</t>
  </si>
  <si>
    <t>GP6[7]</t>
  </si>
  <si>
    <t>GPWM80</t>
  </si>
  <si>
    <t>GPWM81</t>
  </si>
  <si>
    <t>GP8[0]</t>
  </si>
  <si>
    <t>GP8[1]</t>
  </si>
  <si>
    <t>GPWM01</t>
  </si>
  <si>
    <t>GP8[2]</t>
  </si>
  <si>
    <t>GPWM10</t>
  </si>
  <si>
    <t>GP8[3]</t>
  </si>
  <si>
    <t>GPWM11</t>
  </si>
  <si>
    <t>GP8[4]</t>
  </si>
  <si>
    <t>GPWM20</t>
  </si>
  <si>
    <t>GP8[5]</t>
  </si>
  <si>
    <t>GPWM21</t>
  </si>
  <si>
    <t>GP8[6]</t>
  </si>
  <si>
    <t>TM06A</t>
  </si>
  <si>
    <t>GP8[7]</t>
  </si>
  <si>
    <t>TM06B</t>
  </si>
  <si>
    <t>GP9[0]</t>
  </si>
  <si>
    <t>GPWM30</t>
  </si>
  <si>
    <t>GP9[1]</t>
  </si>
  <si>
    <t>GPWM31</t>
  </si>
  <si>
    <t>GP9[2]</t>
  </si>
  <si>
    <t>GPWM40</t>
  </si>
  <si>
    <t>GP9[3]</t>
  </si>
  <si>
    <t>GPWM41</t>
  </si>
  <si>
    <t>GP9[4]</t>
  </si>
  <si>
    <t>GPWM50</t>
  </si>
  <si>
    <t>GP9[5]</t>
  </si>
  <si>
    <t>GPWM51</t>
  </si>
  <si>
    <t>GP1[0]</t>
  </si>
  <si>
    <t>IRQ08</t>
  </si>
  <si>
    <t>TM21A</t>
  </si>
  <si>
    <t>CMPOT00</t>
  </si>
  <si>
    <t>CTX1A</t>
  </si>
  <si>
    <t>GP1[1]</t>
  </si>
  <si>
    <t>IRQ09</t>
  </si>
  <si>
    <t>TM21B</t>
  </si>
  <si>
    <t>CMPOT10</t>
  </si>
  <si>
    <t>CRX1A</t>
  </si>
  <si>
    <t>GP1[2]</t>
  </si>
  <si>
    <t>IRQ10</t>
  </si>
  <si>
    <t>TM07A</t>
  </si>
  <si>
    <t>GP1[3]</t>
  </si>
  <si>
    <t>IRQ11</t>
  </si>
  <si>
    <t>TM07B</t>
  </si>
  <si>
    <t>GPWMST9</t>
  </si>
  <si>
    <t>GP1[4]</t>
  </si>
  <si>
    <t>IRQ12</t>
  </si>
  <si>
    <t>TM08A</t>
  </si>
  <si>
    <t>GPWMST1</t>
  </si>
  <si>
    <t>GPWMSTA</t>
  </si>
  <si>
    <t>GP1[5]</t>
  </si>
  <si>
    <t>IRQ13</t>
  </si>
  <si>
    <t>TM08B</t>
  </si>
  <si>
    <t>GPWMST2</t>
  </si>
  <si>
    <t>GP1[6]</t>
  </si>
  <si>
    <t>GP1[7]</t>
  </si>
  <si>
    <t>GP7[0]</t>
  </si>
  <si>
    <t>GPWM90</t>
  </si>
  <si>
    <t>TM09A</t>
  </si>
  <si>
    <t>GP7[1]</t>
  </si>
  <si>
    <t>GPWM91</t>
  </si>
  <si>
    <t>TM09B</t>
  </si>
  <si>
    <t>GP7[2]</t>
  </si>
  <si>
    <t>GPWMA0</t>
  </si>
  <si>
    <t>TM10A</t>
  </si>
  <si>
    <t>GP7[3]</t>
  </si>
  <si>
    <t>GPWMA1</t>
  </si>
  <si>
    <t>TM10B</t>
  </si>
  <si>
    <t>GPWMB0</t>
  </si>
  <si>
    <t>GPWMB1</t>
  </si>
  <si>
    <t>AVSS</t>
  </si>
  <si>
    <t>AVDD50</t>
  </si>
  <si>
    <t>ADIN24</t>
  </si>
  <si>
    <t>ADIN25</t>
  </si>
  <si>
    <t>ADIN26</t>
  </si>
  <si>
    <t>ADIN18</t>
  </si>
  <si>
    <t>ADIN19</t>
  </si>
  <si>
    <t>ADIN20</t>
  </si>
  <si>
    <t>ADIN21</t>
  </si>
  <si>
    <t>ADIN22</t>
  </si>
  <si>
    <t>ADIN23</t>
  </si>
  <si>
    <t>ADIN10</t>
  </si>
  <si>
    <t>ADIN11</t>
  </si>
  <si>
    <t>ADIN12</t>
  </si>
  <si>
    <t>ADIN13</t>
  </si>
  <si>
    <t>ADIN14</t>
  </si>
  <si>
    <t>ADIN15</t>
  </si>
  <si>
    <t>ADIN27</t>
  </si>
  <si>
    <t>ADIN28</t>
  </si>
  <si>
    <t>ADIN04</t>
  </si>
  <si>
    <t>GPC[5]</t>
  </si>
  <si>
    <t>ADIN05</t>
  </si>
  <si>
    <t>ADIN06</t>
  </si>
  <si>
    <t>ADIN07</t>
  </si>
  <si>
    <t>ADIN29</t>
  </si>
  <si>
    <t>ADIN30</t>
  </si>
  <si>
    <t>ADIN31</t>
  </si>
  <si>
    <t>AVDD</t>
  </si>
  <si>
    <t>GPB[6]</t>
  </si>
  <si>
    <t>GPB[7]</t>
  </si>
  <si>
    <t>GP3[4]</t>
  </si>
  <si>
    <t>SBT1B</t>
  </si>
  <si>
    <t>GP3[5]</t>
  </si>
  <si>
    <t>SBT1A</t>
  </si>
  <si>
    <t>GP3[6]</t>
  </si>
  <si>
    <t>GP4[0]</t>
  </si>
  <si>
    <t>SBT2B</t>
  </si>
  <si>
    <t>GP4[1]</t>
  </si>
  <si>
    <t>SBT2A</t>
  </si>
  <si>
    <t>GP4[2]</t>
  </si>
  <si>
    <t>GP5[2]</t>
  </si>
  <si>
    <t>TM23A</t>
  </si>
  <si>
    <t>CMPOT01</t>
  </si>
  <si>
    <t>SBT5B</t>
  </si>
  <si>
    <t>GP5[3]</t>
  </si>
  <si>
    <t>TM23B</t>
  </si>
  <si>
    <t>CMPOT11</t>
  </si>
  <si>
    <t>SBT5A</t>
  </si>
  <si>
    <t>GP5[4]</t>
  </si>
  <si>
    <t>TM24A</t>
  </si>
  <si>
    <t>CMPOT21</t>
  </si>
  <si>
    <t>GP5[5]</t>
  </si>
  <si>
    <t>TM24B</t>
  </si>
  <si>
    <t>CMPOT31</t>
  </si>
  <si>
    <t>SBT6B</t>
  </si>
  <si>
    <t>GP5[6]</t>
  </si>
  <si>
    <t>TM25A</t>
  </si>
  <si>
    <t>CMPOT41</t>
  </si>
  <si>
    <t>SBT6A</t>
  </si>
  <si>
    <t>GP5[7]</t>
  </si>
  <si>
    <t>TM25B</t>
  </si>
  <si>
    <t>GP7[4]</t>
  </si>
  <si>
    <t>TM11A</t>
  </si>
  <si>
    <t>GPWMST3</t>
  </si>
  <si>
    <t>GP7[5]</t>
  </si>
  <si>
    <t>TM11B</t>
  </si>
  <si>
    <t>GPWMST4</t>
  </si>
  <si>
    <t>GP7[6]</t>
  </si>
  <si>
    <t>GP7[7]</t>
  </si>
  <si>
    <t>GP3[0]</t>
  </si>
  <si>
    <t>CMPOT20</t>
  </si>
  <si>
    <t>GP3[1]</t>
  </si>
  <si>
    <t>CMPOT30</t>
  </si>
  <si>
    <t>GP3[2]</t>
  </si>
  <si>
    <t>CMPOT40</t>
  </si>
  <si>
    <t>GP2[0]</t>
  </si>
  <si>
    <t>IRQ14</t>
  </si>
  <si>
    <t>TM12A</t>
  </si>
  <si>
    <t>GP2[1]</t>
  </si>
  <si>
    <t>IRQ15</t>
  </si>
  <si>
    <t>TM12B</t>
  </si>
  <si>
    <t>GP2[2]</t>
  </si>
  <si>
    <t>IRQ16</t>
  </si>
  <si>
    <t>GP5[0]</t>
  </si>
  <si>
    <t>TM22A</t>
  </si>
  <si>
    <t>CTX0B</t>
  </si>
  <si>
    <t>GP5[1]</t>
  </si>
  <si>
    <t>TM22B</t>
  </si>
  <si>
    <t>CRX0B</t>
  </si>
  <si>
    <t>GP2[4]</t>
  </si>
  <si>
    <t>IRQ17</t>
  </si>
  <si>
    <t>CRX0A</t>
  </si>
  <si>
    <t>ADTRG0</t>
  </si>
  <si>
    <t>GP2[5]</t>
  </si>
  <si>
    <t>IRQ18</t>
  </si>
  <si>
    <t>SBT4B</t>
  </si>
  <si>
    <t>ADTRG1</t>
  </si>
  <si>
    <t>GP2[6]</t>
  </si>
  <si>
    <t>IRQ19</t>
  </si>
  <si>
    <t>SBT4A</t>
  </si>
  <si>
    <t>TM13A</t>
  </si>
  <si>
    <t>ADTRG2</t>
  </si>
  <si>
    <t>GP2[7]</t>
  </si>
  <si>
    <t>SBCS7AB</t>
  </si>
  <si>
    <t>TM13B</t>
  </si>
  <si>
    <t>GP4[4]</t>
  </si>
  <si>
    <t>SBT3B</t>
  </si>
  <si>
    <t>GP4[5]</t>
  </si>
  <si>
    <t>SBT3A</t>
  </si>
  <si>
    <t>GP4[6]</t>
  </si>
  <si>
    <t>GP4[7]</t>
  </si>
  <si>
    <t>P9.6</t>
  </si>
  <si>
    <t>P9.7</t>
  </si>
  <si>
    <t>P0.0</t>
  </si>
  <si>
    <t>P0.1</t>
  </si>
  <si>
    <t>P0.2</t>
  </si>
  <si>
    <t>P0.3</t>
  </si>
  <si>
    <t>P0.4</t>
  </si>
  <si>
    <t>P0.5</t>
  </si>
  <si>
    <t>P0.6</t>
  </si>
  <si>
    <t>P0.7</t>
  </si>
  <si>
    <t>P6.0</t>
  </si>
  <si>
    <t>P6.1</t>
  </si>
  <si>
    <t>P6.2</t>
  </si>
  <si>
    <t>P6.3</t>
  </si>
  <si>
    <t>P6.4</t>
  </si>
  <si>
    <t>P6.5</t>
  </si>
  <si>
    <t>P6.6</t>
  </si>
  <si>
    <t>P6.7</t>
  </si>
  <si>
    <t>P8.0</t>
  </si>
  <si>
    <t>P8.1</t>
  </si>
  <si>
    <t>P8.2</t>
  </si>
  <si>
    <t>P8.3</t>
  </si>
  <si>
    <t>P8.4</t>
  </si>
  <si>
    <t>P8.5</t>
  </si>
  <si>
    <t>P8.6</t>
  </si>
  <si>
    <t>P8.7</t>
  </si>
  <si>
    <t>P9.0</t>
  </si>
  <si>
    <t>P9.1</t>
  </si>
  <si>
    <t>P9.2</t>
  </si>
  <si>
    <t>P9.3</t>
  </si>
  <si>
    <t>P9.4</t>
  </si>
  <si>
    <t>P9.5</t>
  </si>
  <si>
    <t>P1.0</t>
  </si>
  <si>
    <t>P1.1</t>
  </si>
  <si>
    <t>P1.2</t>
  </si>
  <si>
    <t>P1.3</t>
  </si>
  <si>
    <t>P1.4</t>
  </si>
  <si>
    <t>P1.5</t>
  </si>
  <si>
    <t>P1.6</t>
  </si>
  <si>
    <t>P1.7</t>
  </si>
  <si>
    <t>P7.0</t>
  </si>
  <si>
    <t>P7.1</t>
  </si>
  <si>
    <t>P7.2</t>
  </si>
  <si>
    <t>P7.3</t>
  </si>
  <si>
    <t>PF.1</t>
  </si>
  <si>
    <t>PC.5</t>
  </si>
  <si>
    <t>PB.6</t>
  </si>
  <si>
    <t>PB.7</t>
  </si>
  <si>
    <t>P3.4</t>
  </si>
  <si>
    <t>P3.5</t>
  </si>
  <si>
    <t>P3.6</t>
  </si>
  <si>
    <t>P4.0</t>
  </si>
  <si>
    <t>P4.1</t>
  </si>
  <si>
    <t>P4.2</t>
  </si>
  <si>
    <t>P5.2</t>
  </si>
  <si>
    <t>P5.3</t>
  </si>
  <si>
    <t>P5.4</t>
  </si>
  <si>
    <t>P5.5</t>
  </si>
  <si>
    <t>P5.6</t>
  </si>
  <si>
    <t>P5.7</t>
  </si>
  <si>
    <t>P7.4</t>
  </si>
  <si>
    <t>P7.5</t>
  </si>
  <si>
    <t>P7.6</t>
  </si>
  <si>
    <t>P7.7</t>
  </si>
  <si>
    <t>P3.0</t>
  </si>
  <si>
    <t>P3.1</t>
  </si>
  <si>
    <t>P3.2</t>
  </si>
  <si>
    <t>P2.0</t>
  </si>
  <si>
    <t>P2.1</t>
  </si>
  <si>
    <t>P2.2</t>
  </si>
  <si>
    <t>P5.0</t>
  </si>
  <si>
    <t>P5.1</t>
  </si>
  <si>
    <t>P2.4</t>
  </si>
  <si>
    <t>P2.5</t>
  </si>
  <si>
    <t>P2.6</t>
  </si>
  <si>
    <t>P2.7</t>
  </si>
  <si>
    <t>P4.4</t>
  </si>
  <si>
    <t>P4.5</t>
  </si>
  <si>
    <t>P4.6</t>
  </si>
  <si>
    <t>P4.7</t>
  </si>
  <si>
    <t>IOP0MD[0]</t>
  </si>
  <si>
    <t>P9.6</t>
    <phoneticPr fontId="56"/>
  </si>
  <si>
    <t>IOP9MD[0]</t>
  </si>
  <si>
    <t>IOP6MD[0]</t>
  </si>
  <si>
    <t>IOPAMD[0]</t>
  </si>
  <si>
    <t>IOP8MD[0]</t>
  </si>
  <si>
    <t>IOP1MD[0]</t>
  </si>
  <si>
    <t>IOP7MD[0]</t>
  </si>
  <si>
    <t>IOPBMD[0]</t>
  </si>
  <si>
    <t>IOPFMD[0]</t>
  </si>
  <si>
    <t>IOPEMD[0]</t>
  </si>
  <si>
    <t>IOPDMD[0]</t>
  </si>
  <si>
    <t>IOPCMD[0]</t>
  </si>
  <si>
    <t>IOP3MD[0]</t>
  </si>
  <si>
    <t>IOP4MD[0]</t>
  </si>
  <si>
    <t>IOP5MD[0]</t>
  </si>
  <si>
    <t>IOP2MD[0]</t>
  </si>
  <si>
    <t>IOP9MD[1]</t>
  </si>
  <si>
    <t>IOP9MD[3]</t>
  </si>
  <si>
    <t>IOP9MD[2]</t>
  </si>
  <si>
    <t>NC_ToolNotShow</t>
    <phoneticPr fontId="56"/>
  </si>
  <si>
    <t>Define in code</t>
    <phoneticPr fontId="56"/>
  </si>
  <si>
    <t>IOP0MD</t>
    <phoneticPr fontId="13" type="noConversion"/>
  </si>
  <si>
    <t>Port Control Register</t>
    <phoneticPr fontId="13" type="noConversion"/>
  </si>
  <si>
    <t>Address</t>
    <phoneticPr fontId="13" type="noConversion"/>
  </si>
  <si>
    <t>IOP1MD</t>
  </si>
  <si>
    <t>0x40100084</t>
    <phoneticPr fontId="13" type="noConversion"/>
  </si>
  <si>
    <t>0x40100080</t>
    <phoneticPr fontId="13" type="noConversion"/>
  </si>
  <si>
    <t>IOP2MD</t>
  </si>
  <si>
    <t>IOP3MD</t>
  </si>
  <si>
    <t>IOP4MD</t>
  </si>
  <si>
    <t>IOP5MD</t>
  </si>
  <si>
    <t>IOP6MD</t>
  </si>
  <si>
    <t>IOP7MD</t>
  </si>
  <si>
    <t>IOP8MD</t>
  </si>
  <si>
    <t>IOP9MD</t>
  </si>
  <si>
    <t>IOPAMD</t>
    <phoneticPr fontId="56"/>
  </si>
  <si>
    <t>0x40100088</t>
    <phoneticPr fontId="56"/>
  </si>
  <si>
    <t>0x4010008C</t>
    <phoneticPr fontId="56"/>
  </si>
  <si>
    <t>0x40100090</t>
    <phoneticPr fontId="56"/>
  </si>
  <si>
    <t>0x40100194</t>
    <phoneticPr fontId="56"/>
  </si>
  <si>
    <t>0x40100198</t>
    <phoneticPr fontId="56"/>
  </si>
  <si>
    <t>0x4010019C</t>
    <phoneticPr fontId="56"/>
  </si>
  <si>
    <t>0x401001A0</t>
    <phoneticPr fontId="56"/>
  </si>
  <si>
    <t>0x401001A4</t>
    <phoneticPr fontId="56"/>
  </si>
  <si>
    <t>0x401001A8</t>
    <phoneticPr fontId="56"/>
  </si>
  <si>
    <t>IOPBMD</t>
    <phoneticPr fontId="56"/>
  </si>
  <si>
    <t>0x401001AC</t>
    <phoneticPr fontId="56"/>
  </si>
  <si>
    <t>IOPCMD</t>
    <phoneticPr fontId="56"/>
  </si>
  <si>
    <t>IOPDMD</t>
    <phoneticPr fontId="56"/>
  </si>
  <si>
    <t>IOPEMD</t>
    <phoneticPr fontId="56"/>
  </si>
  <si>
    <t>IOPFMD</t>
    <phoneticPr fontId="56"/>
  </si>
  <si>
    <t>0x401001B0</t>
  </si>
  <si>
    <t>0x401001B4</t>
  </si>
  <si>
    <t>0x401001B8</t>
  </si>
  <si>
    <t>0x401001BC</t>
  </si>
  <si>
    <t>IOP0MD[3]</t>
  </si>
  <si>
    <t>IOP0MD[2]</t>
  </si>
  <si>
    <t>IOP0MD[1]</t>
  </si>
  <si>
    <t>IOP6MD[1]</t>
  </si>
  <si>
    <t>IOPAMD[1]</t>
  </si>
  <si>
    <t>IOP8MD[1]</t>
  </si>
  <si>
    <t>IOP1MD[1]</t>
  </si>
  <si>
    <t>IOP7MD[1]</t>
  </si>
  <si>
    <t>IOPBMD[1]</t>
  </si>
  <si>
    <t>IOPFMD[1]</t>
  </si>
  <si>
    <t>IOPEMD[1]</t>
  </si>
  <si>
    <t>IOPDMD[1]</t>
  </si>
  <si>
    <t>IOPCMD[1]</t>
  </si>
  <si>
    <t>IOP3MD[1]</t>
  </si>
  <si>
    <t>IOP4MD[1]</t>
  </si>
  <si>
    <t>IOP5MD[1]</t>
  </si>
  <si>
    <t>IOP2MD[1]</t>
  </si>
  <si>
    <t>IOP6MD[2]</t>
  </si>
  <si>
    <t>IOPAMD[2]</t>
  </si>
  <si>
    <t>IOP8MD[2]</t>
  </si>
  <si>
    <t>IOP1MD[2]</t>
  </si>
  <si>
    <t>IOP7MD[2]</t>
  </si>
  <si>
    <t>IOPBMD[2]</t>
  </si>
  <si>
    <t>IOPFMD[2]</t>
  </si>
  <si>
    <t>IOPEMD[2]</t>
  </si>
  <si>
    <t>IOPDMD[2]</t>
  </si>
  <si>
    <t>IOPCMD[2]</t>
  </si>
  <si>
    <t>IOP3MD[2]</t>
  </si>
  <si>
    <t>IOP4MD[2]</t>
  </si>
  <si>
    <t>IOP5MD[2]</t>
  </si>
  <si>
    <t>IOP2MD[2]</t>
  </si>
  <si>
    <t>IOP6MD[3]</t>
  </si>
  <si>
    <t>IOPAMD[3]</t>
  </si>
  <si>
    <t>IOP8MD[3]</t>
  </si>
  <si>
    <t>IOP1MD[3]</t>
  </si>
  <si>
    <t>IOP7MD[3]</t>
  </si>
  <si>
    <t>IOPBMD[3]</t>
  </si>
  <si>
    <t>IOPFMD[3]</t>
  </si>
  <si>
    <t>IOPEMD[3]</t>
  </si>
  <si>
    <t>IOPDMD[3]</t>
  </si>
  <si>
    <t>IOPCMD[3]</t>
  </si>
  <si>
    <t>IOP3MD[3]</t>
  </si>
  <si>
    <t>IOP4MD[3]</t>
  </si>
  <si>
    <t>IOP5MD[3]</t>
  </si>
  <si>
    <t>IOP2MD[3]</t>
  </si>
  <si>
    <t>HQFP80</t>
  </si>
  <si>
    <t>HQFP100</t>
  </si>
  <si>
    <t>HQFP128</t>
  </si>
  <si>
    <t>HQFP144</t>
  </si>
  <si>
    <t>HQFP 80 (14x14)</t>
  </si>
  <si>
    <t>HQFP100  (14x14)</t>
  </si>
  <si>
    <t>HQFP 128 (18x18)</t>
  </si>
  <si>
    <t>HQFP144 (20x20)</t>
  </si>
  <si>
    <t>HQFP128
(18*18)</t>
    <phoneticPr fontId="13" type="noConversion"/>
  </si>
  <si>
    <t>MFP</t>
  </si>
  <si>
    <t>VDDPST</t>
    <phoneticPr fontId="56"/>
  </si>
  <si>
    <t>AVDD50</t>
    <phoneticPr fontId="56"/>
  </si>
  <si>
    <t>AVDD50</t>
    <phoneticPr fontId="13" type="noConversion"/>
  </si>
  <si>
    <t>VOUT12</t>
    <phoneticPr fontId="56"/>
  </si>
  <si>
    <t>VOUT30</t>
    <phoneticPr fontId="56"/>
  </si>
  <si>
    <t>VOUT30</t>
    <phoneticPr fontId="13" type="noConversion"/>
  </si>
  <si>
    <t>VDD50</t>
    <phoneticPr fontId="13" type="noConversion"/>
  </si>
  <si>
    <t>no specific power domin</t>
    <phoneticPr fontId="13" type="noConversion"/>
  </si>
  <si>
    <t>Timer</t>
    <phoneticPr fontId="13" type="noConversion"/>
  </si>
  <si>
    <t>TM22</t>
  </si>
  <si>
    <t>TM22</t>
    <phoneticPr fontId="13" type="noConversion"/>
  </si>
  <si>
    <t>GPWM7</t>
  </si>
  <si>
    <t>GPWM8</t>
  </si>
  <si>
    <t>GPWMB</t>
  </si>
  <si>
    <t>GPWMA</t>
  </si>
  <si>
    <t>CAN0</t>
    <phoneticPr fontId="13" type="noConversion"/>
  </si>
  <si>
    <t>SPI3</t>
  </si>
  <si>
    <t>UART3</t>
  </si>
  <si>
    <t>CAN</t>
    <phoneticPr fontId="13" type="noConversion"/>
  </si>
  <si>
    <t>CAN1</t>
    <phoneticPr fontId="13" type="noConversion"/>
  </si>
  <si>
    <t>SMBUS</t>
  </si>
  <si>
    <t>SMBUS</t>
    <phoneticPr fontId="13" type="noConversion"/>
  </si>
  <si>
    <t>VGA</t>
    <phoneticPr fontId="13" type="noConversion"/>
  </si>
  <si>
    <t>VGA1</t>
  </si>
  <si>
    <t>VGA1</t>
    <phoneticPr fontId="13" type="noConversion"/>
  </si>
  <si>
    <t>VGA2</t>
  </si>
  <si>
    <t>Serial Interface</t>
    <phoneticPr fontId="13" type="noConversion"/>
  </si>
  <si>
    <t>Power Control PWM</t>
    <phoneticPr fontId="13" type="noConversion"/>
  </si>
  <si>
    <t>Analog8</t>
  </si>
  <si>
    <t>ADIN16</t>
  </si>
  <si>
    <t>VGAP2</t>
  </si>
  <si>
    <t>CMPIN4</t>
  </si>
  <si>
    <t>ADIN17</t>
  </si>
  <si>
    <t>VGAN2</t>
  </si>
  <si>
    <t>ADIN08</t>
  </si>
  <si>
    <t>VGAN1</t>
  </si>
  <si>
    <t>ADIN09</t>
  </si>
  <si>
    <t>VGAP1</t>
  </si>
  <si>
    <t>CMPIN3</t>
  </si>
  <si>
    <t>ADIN00</t>
  </si>
  <si>
    <t>ADIN01</t>
  </si>
  <si>
    <t>ADIN02</t>
  </si>
  <si>
    <t>CMPIN1</t>
  </si>
  <si>
    <t>ADIN03</t>
  </si>
  <si>
    <t>CMPIN2</t>
  </si>
  <si>
    <t>SBO1A</t>
  </si>
  <si>
    <t>TX1A</t>
  </si>
  <si>
    <t>RX1</t>
  </si>
  <si>
    <t>LRX1</t>
  </si>
  <si>
    <t>SBO2A</t>
  </si>
  <si>
    <t>TX2A</t>
  </si>
  <si>
    <t>SBI2</t>
  </si>
  <si>
    <t>RX2</t>
  </si>
  <si>
    <t>SDA0A</t>
  </si>
  <si>
    <t>SBO3A</t>
  </si>
  <si>
    <t>TX3A</t>
  </si>
  <si>
    <t>SBI3</t>
  </si>
  <si>
    <t>RX3</t>
  </si>
  <si>
    <t>UART</t>
  </si>
  <si>
    <t>IIC</t>
  </si>
  <si>
    <t>SBO1B</t>
  </si>
  <si>
    <t>TX1B</t>
  </si>
  <si>
    <t>LTX1B</t>
  </si>
  <si>
    <t>SBO2B</t>
  </si>
  <si>
    <t>TX2B</t>
  </si>
  <si>
    <t>RX6</t>
  </si>
  <si>
    <t>SCL0B</t>
  </si>
  <si>
    <t>SDA0B</t>
  </si>
  <si>
    <t>SBI4AB</t>
  </si>
  <si>
    <t>RX4AB</t>
  </si>
  <si>
    <t>SBO4A</t>
  </si>
  <si>
    <t>TX4A</t>
  </si>
  <si>
    <t>SBO3B</t>
  </si>
  <si>
    <t>TX3B</t>
  </si>
  <si>
    <t>SBI4CD</t>
  </si>
  <si>
    <t>RX4CD</t>
  </si>
  <si>
    <t>SBO4C</t>
  </si>
  <si>
    <t>TX4C</t>
  </si>
  <si>
    <t>TX5A</t>
  </si>
  <si>
    <t>SBI5</t>
  </si>
  <si>
    <t>RX5</t>
  </si>
  <si>
    <t>TX6A</t>
  </si>
  <si>
    <t>RX7AB</t>
  </si>
  <si>
    <t>SBO4B</t>
  </si>
  <si>
    <t>TX4B</t>
  </si>
  <si>
    <t>RX7CD</t>
  </si>
  <si>
    <t>SBO4D</t>
  </si>
  <si>
    <t>TX4D</t>
  </si>
  <si>
    <t>SBO5B</t>
  </si>
  <si>
    <t>TX5B</t>
  </si>
  <si>
    <t>SBO6B</t>
  </si>
  <si>
    <t>TX6B</t>
  </si>
  <si>
    <t>SBO7A</t>
  </si>
  <si>
    <t>TX7A</t>
  </si>
  <si>
    <t>SDA7A</t>
  </si>
  <si>
    <t>SBT7A</t>
  </si>
  <si>
    <t>SCL7A</t>
  </si>
  <si>
    <t>SBO7C</t>
  </si>
  <si>
    <t>TX7C</t>
  </si>
  <si>
    <t>SDA7C</t>
  </si>
  <si>
    <t>SBT7C</t>
  </si>
  <si>
    <t>SCL7C</t>
  </si>
  <si>
    <t>SBT7B</t>
  </si>
  <si>
    <t>SCL7B</t>
  </si>
  <si>
    <t>SBO7B</t>
  </si>
  <si>
    <t>TX7B</t>
  </si>
  <si>
    <t>SDA7B</t>
  </si>
  <si>
    <t>SBT7D</t>
  </si>
  <si>
    <t>SCL7D</t>
  </si>
  <si>
    <t>SBO7D</t>
  </si>
  <si>
    <t>TX7D</t>
  </si>
  <si>
    <t>SDA7D</t>
  </si>
  <si>
    <t>KM1M7AF0</t>
  </si>
  <si>
    <t>KM1M7AF1</t>
  </si>
  <si>
    <t>KM1M7AF5</t>
  </si>
  <si>
    <t>KM1M7AF6</t>
  </si>
  <si>
    <t>ACMP1_N</t>
    <phoneticPr fontId="56"/>
  </si>
  <si>
    <t>EADC0_CH2</t>
    <phoneticPr fontId="56"/>
  </si>
  <si>
    <t>EADC0_CH1</t>
    <phoneticPr fontId="56"/>
  </si>
  <si>
    <t>EADC0_CH0</t>
    <phoneticPr fontId="56"/>
  </si>
  <si>
    <t>SD0_DAT3</t>
    <phoneticPr fontId="56"/>
  </si>
  <si>
    <t>機能</t>
    <phoneticPr fontId="58"/>
  </si>
  <si>
    <t>端子設定</t>
    <phoneticPr fontId="58"/>
  </si>
  <si>
    <t>表示名案</t>
    <phoneticPr fontId="58"/>
  </si>
  <si>
    <t>端子機能名</t>
    <rPh sb="2" eb="4">
      <t>キノウ</t>
    </rPh>
    <rPh sb="4" eb="5">
      <t>メイ</t>
    </rPh>
    <phoneticPr fontId="58"/>
  </si>
  <si>
    <t>共通名</t>
    <rPh sb="0" eb="3">
      <t>キョウツウメイ</t>
    </rPh>
    <phoneticPr fontId="58"/>
  </si>
  <si>
    <t>外部割込み</t>
    <phoneticPr fontId="58"/>
  </si>
  <si>
    <t>IRQ</t>
    <phoneticPr fontId="58"/>
  </si>
  <si>
    <t>16 ビットタイマ</t>
    <phoneticPr fontId="58"/>
  </si>
  <si>
    <t>TM00</t>
    <phoneticPr fontId="58"/>
  </si>
  <si>
    <t>TM00A</t>
    <phoneticPr fontId="58"/>
  </si>
  <si>
    <t>TM05B</t>
    <phoneticPr fontId="58"/>
  </si>
  <si>
    <t>TM06A</t>
    <phoneticPr fontId="58"/>
  </si>
  <si>
    <t>TM23A</t>
    <phoneticPr fontId="58"/>
  </si>
  <si>
    <t>TM25A</t>
    <phoneticPr fontId="58"/>
  </si>
  <si>
    <t>パワー制御用PWM</t>
    <phoneticPr fontId="58"/>
  </si>
  <si>
    <t>GPWM0</t>
  </si>
  <si>
    <t>GPWM00</t>
    <phoneticPr fontId="58"/>
  </si>
  <si>
    <t>GPWM1</t>
  </si>
  <si>
    <t>GPWM2</t>
  </si>
  <si>
    <t>GPWM3</t>
  </si>
  <si>
    <t>GPWM4</t>
  </si>
  <si>
    <t>GPWM5</t>
  </si>
  <si>
    <t>GPWM6</t>
  </si>
  <si>
    <t>GPWM9</t>
  </si>
  <si>
    <t>GPWMA</t>
    <phoneticPr fontId="58"/>
  </si>
  <si>
    <t>GPWMB</t>
    <phoneticPr fontId="58"/>
  </si>
  <si>
    <t>パワー制御用PWMモニタ</t>
    <phoneticPr fontId="58"/>
  </si>
  <si>
    <t>GPWMST0</t>
    <phoneticPr fontId="58"/>
  </si>
  <si>
    <t>GPWMSTB</t>
    <phoneticPr fontId="58"/>
  </si>
  <si>
    <t>同期式SIF/SPI</t>
    <phoneticPr fontId="58"/>
  </si>
  <si>
    <t>SPI0</t>
  </si>
  <si>
    <t>SBO0A</t>
    <phoneticPr fontId="58"/>
  </si>
  <si>
    <t>SBO0B</t>
    <phoneticPr fontId="58"/>
  </si>
  <si>
    <t>SBT0A</t>
    <phoneticPr fontId="58"/>
  </si>
  <si>
    <t>SBT0B</t>
    <phoneticPr fontId="58"/>
  </si>
  <si>
    <t>SPI1</t>
  </si>
  <si>
    <t>SPI2</t>
    <phoneticPr fontId="58"/>
  </si>
  <si>
    <t>SPI3</t>
    <phoneticPr fontId="58"/>
  </si>
  <si>
    <t>SPI4</t>
  </si>
  <si>
    <t>SBCS4AB</t>
    <phoneticPr fontId="58"/>
  </si>
  <si>
    <t>SPI5</t>
  </si>
  <si>
    <t>SBO5A</t>
    <phoneticPr fontId="58"/>
  </si>
  <si>
    <t>SPI6</t>
  </si>
  <si>
    <t>SBO6A</t>
    <phoneticPr fontId="58"/>
  </si>
  <si>
    <t>SPI7</t>
  </si>
  <si>
    <t>UART1</t>
    <phoneticPr fontId="58"/>
  </si>
  <si>
    <t>UART2</t>
  </si>
  <si>
    <t>UART4</t>
  </si>
  <si>
    <t>UART5</t>
  </si>
  <si>
    <t>UART6</t>
  </si>
  <si>
    <t>UART7</t>
  </si>
  <si>
    <t>LIN</t>
    <phoneticPr fontId="58"/>
  </si>
  <si>
    <t>LTX1A</t>
    <phoneticPr fontId="58"/>
  </si>
  <si>
    <t>IIC0</t>
    <phoneticPr fontId="58"/>
  </si>
  <si>
    <t>SCL0A</t>
    <phoneticPr fontId="58"/>
  </si>
  <si>
    <t>IIC7</t>
    <phoneticPr fontId="58"/>
  </si>
  <si>
    <t>CAN FD</t>
    <phoneticPr fontId="58"/>
  </si>
  <si>
    <t>CAN0</t>
    <phoneticPr fontId="58"/>
  </si>
  <si>
    <t>CTX0A</t>
    <phoneticPr fontId="58"/>
  </si>
  <si>
    <t>CAN1</t>
    <phoneticPr fontId="58"/>
  </si>
  <si>
    <t>SM Bus</t>
  </si>
  <si>
    <t>SMBUS</t>
    <phoneticPr fontId="58"/>
  </si>
  <si>
    <t>A/D 入力</t>
  </si>
  <si>
    <t>A/D モニタ</t>
    <phoneticPr fontId="58"/>
  </si>
  <si>
    <t>ADTRG0</t>
    <phoneticPr fontId="58"/>
  </si>
  <si>
    <t>VGA 入力</t>
  </si>
  <si>
    <t>VGAN0</t>
    <phoneticPr fontId="58"/>
  </si>
  <si>
    <t>VGA1</t>
    <phoneticPr fontId="58"/>
  </si>
  <si>
    <t>VGA2</t>
    <phoneticPr fontId="58"/>
  </si>
  <si>
    <t>コンパレータ入力</t>
    <phoneticPr fontId="58"/>
  </si>
  <si>
    <t>CMPIN0</t>
    <phoneticPr fontId="58"/>
  </si>
  <si>
    <t>コンパレータ出力</t>
    <phoneticPr fontId="58"/>
  </si>
  <si>
    <t>D/A 出力</t>
    <phoneticPr fontId="58"/>
  </si>
  <si>
    <t>DAC</t>
  </si>
  <si>
    <t>I/O ポート</t>
  </si>
  <si>
    <t>P0</t>
    <phoneticPr fontId="58"/>
  </si>
  <si>
    <t>P1</t>
    <phoneticPr fontId="58"/>
  </si>
  <si>
    <t>P2</t>
  </si>
  <si>
    <t>P3</t>
  </si>
  <si>
    <t>P4</t>
  </si>
  <si>
    <t>P5</t>
  </si>
  <si>
    <t>P6</t>
  </si>
  <si>
    <t>P7</t>
  </si>
  <si>
    <t>P8</t>
  </si>
  <si>
    <t>P9</t>
  </si>
  <si>
    <t>PA</t>
    <phoneticPr fontId="58"/>
  </si>
  <si>
    <t>PB</t>
    <phoneticPr fontId="58"/>
  </si>
  <si>
    <t>PC</t>
    <phoneticPr fontId="58"/>
  </si>
  <si>
    <t>PD</t>
    <phoneticPr fontId="58"/>
  </si>
  <si>
    <t>PE</t>
    <phoneticPr fontId="58"/>
  </si>
  <si>
    <t>PF</t>
    <phoneticPr fontId="58"/>
  </si>
  <si>
    <t>Analog9</t>
  </si>
  <si>
    <t>Analog10</t>
  </si>
  <si>
    <t>Analog11</t>
  </si>
  <si>
    <t>Analog12</t>
  </si>
  <si>
    <t>Analog13</t>
  </si>
  <si>
    <t>Analog14</t>
  </si>
  <si>
    <t>Analog15</t>
  </si>
  <si>
    <t>Analog16</t>
  </si>
  <si>
    <t>Analog17</t>
  </si>
  <si>
    <t>Analog18</t>
  </si>
  <si>
    <t>Analog19</t>
  </si>
  <si>
    <t>Analog20</t>
  </si>
  <si>
    <t>Analog21</t>
  </si>
  <si>
    <t>Analog22</t>
  </si>
  <si>
    <t>Analog23</t>
  </si>
  <si>
    <t>Analog24</t>
  </si>
  <si>
    <t>Analog25</t>
  </si>
  <si>
    <t>Analog26</t>
  </si>
  <si>
    <t>Analog27</t>
  </si>
  <si>
    <t>Analog28</t>
  </si>
  <si>
    <t>Analog29</t>
  </si>
  <si>
    <t>Analog30</t>
  </si>
  <si>
    <t>Analog31</t>
  </si>
  <si>
    <t>Serial111</t>
  </si>
  <si>
    <t>Serial112</t>
  </si>
  <si>
    <t>Serial113</t>
  </si>
  <si>
    <t>Serial114</t>
  </si>
  <si>
    <t>Serial102</t>
  </si>
  <si>
    <t>Serial103</t>
  </si>
  <si>
    <t>Serial104</t>
  </si>
  <si>
    <t>Serial105</t>
  </si>
  <si>
    <t>Serial106</t>
  </si>
  <si>
    <t>Serial108</t>
  </si>
  <si>
    <t>Serial109</t>
  </si>
  <si>
    <t>Serial202</t>
  </si>
  <si>
    <t>Serial203</t>
  </si>
  <si>
    <t>Serial204</t>
  </si>
  <si>
    <t>Serial302</t>
  </si>
  <si>
    <t>Serial303</t>
  </si>
  <si>
    <t>Serial304</t>
  </si>
  <si>
    <t>Serial305</t>
  </si>
  <si>
    <t>Serial306</t>
  </si>
  <si>
    <t>Serial307</t>
  </si>
  <si>
    <t>Serial308</t>
  </si>
  <si>
    <t>Serial309</t>
  </si>
  <si>
    <t>Serial311</t>
  </si>
  <si>
    <t>Serial312</t>
  </si>
  <si>
    <t>Serial402</t>
  </si>
  <si>
    <t>Serial403</t>
  </si>
  <si>
    <t>Serial404</t>
  </si>
  <si>
    <t>Serial406</t>
  </si>
  <si>
    <t>Serial407</t>
  </si>
  <si>
    <t>Serial408</t>
  </si>
  <si>
    <t>NC</t>
    <phoneticPr fontId="56"/>
  </si>
  <si>
    <t>Bit0</t>
  </si>
  <si>
    <t>IOP9MD[24]</t>
  </si>
  <si>
    <t>IOP9MD[28]</t>
  </si>
  <si>
    <t>IOP0MD[4]</t>
  </si>
  <si>
    <t>IOP0MD[8]</t>
  </si>
  <si>
    <t>IOP0MD[12]</t>
  </si>
  <si>
    <t>IOP0MD[16]</t>
  </si>
  <si>
    <t>IOP0MD[20]</t>
  </si>
  <si>
    <t>IOP0MD[24]</t>
  </si>
  <si>
    <t>IOP0MD[28]</t>
  </si>
  <si>
    <t>IOP6MD[4]</t>
  </si>
  <si>
    <t>IOP6MD[8]</t>
  </si>
  <si>
    <t>IOP6MD[12]</t>
  </si>
  <si>
    <t>IOP6MD[16]</t>
  </si>
  <si>
    <t>IOP6MD[20]</t>
  </si>
  <si>
    <t>IOPAMD[4]</t>
  </si>
  <si>
    <t>IOPAMD[8]</t>
  </si>
  <si>
    <t>IOPAMD[12]</t>
  </si>
  <si>
    <t>IOP6MD[24]</t>
  </si>
  <si>
    <t>IOP6MD[28]</t>
  </si>
  <si>
    <t>IOPAMD[16]</t>
  </si>
  <si>
    <t>IOPAMD[20]</t>
  </si>
  <si>
    <t>IOPAMD[24]</t>
  </si>
  <si>
    <t>IOPAMD[28]</t>
  </si>
  <si>
    <t>IOP8MD[4]</t>
  </si>
  <si>
    <t>IOP8MD[8]</t>
  </si>
  <si>
    <t>IOP8MD[12]</t>
  </si>
  <si>
    <t>IOP8MD[16]</t>
  </si>
  <si>
    <t>IOP8MD[20]</t>
  </si>
  <si>
    <t>IOP8MD[24]</t>
  </si>
  <si>
    <t>IOP8MD[28]</t>
  </si>
  <si>
    <t>IOP9MD[4]</t>
  </si>
  <si>
    <t>IOP9MD[8]</t>
  </si>
  <si>
    <t>IOP9MD[12]</t>
  </si>
  <si>
    <t>IOP9MD[16]</t>
  </si>
  <si>
    <t>IOP9MD[20]</t>
  </si>
  <si>
    <t>IOP1MD[4]</t>
  </si>
  <si>
    <t>IOP1MD[8]</t>
  </si>
  <si>
    <t>IOP1MD[12]</t>
  </si>
  <si>
    <t>IOP1MD[16]</t>
  </si>
  <si>
    <t>IOP1MD[20]</t>
  </si>
  <si>
    <t>IOP1MD[24]</t>
  </si>
  <si>
    <t>IOP1MD[28]</t>
  </si>
  <si>
    <t>IOP7MD[4]</t>
  </si>
  <si>
    <t>IOP7MD[8]</t>
  </si>
  <si>
    <t>IOP7MD[12]</t>
  </si>
  <si>
    <t>IOPBMD[4]</t>
  </si>
  <si>
    <t>IOPBMD[8]</t>
  </si>
  <si>
    <t>IOPBMD[12]</t>
  </si>
  <si>
    <t>IOPBMD[16]</t>
  </si>
  <si>
    <t>IOPFMD[4]</t>
  </si>
  <si>
    <t>IOPFMD[8]</t>
  </si>
  <si>
    <t>IOPEMD[8]</t>
  </si>
  <si>
    <t>IOPEMD[12]</t>
  </si>
  <si>
    <t>IOPEMD[16]</t>
  </si>
  <si>
    <t>IOPEMD[20]</t>
  </si>
  <si>
    <t>IOPEMD[24]</t>
  </si>
  <si>
    <t>IOPEMD[28]</t>
  </si>
  <si>
    <t>IOPEMD[4]</t>
  </si>
  <si>
    <t>IOPDMD[4]</t>
  </si>
  <si>
    <t>IOPDMD[8]</t>
  </si>
  <si>
    <t>IOPDMD[12]</t>
  </si>
  <si>
    <t>IOPDMD[16]</t>
  </si>
  <si>
    <t>IOPDMD[20]</t>
  </si>
  <si>
    <t>IOPDMD[24]</t>
  </si>
  <si>
    <t>IOPDMD[28]</t>
  </si>
  <si>
    <t>IOPFMD[12]</t>
  </si>
  <si>
    <t>IOPFMD[16]</t>
  </si>
  <si>
    <t>IOPCMD[4]</t>
  </si>
  <si>
    <t>IOPCMD[8]</t>
  </si>
  <si>
    <t>IOPCMD[12]</t>
  </si>
  <si>
    <t>IOPCMD[16]</t>
  </si>
  <si>
    <t>IOPCMD[20]</t>
  </si>
  <si>
    <t>IOPCMD[24]</t>
  </si>
  <si>
    <t>IOPCMD[28]</t>
  </si>
  <si>
    <t>IOPFMD[20]</t>
  </si>
  <si>
    <t>IOPFMD[24]</t>
  </si>
  <si>
    <t>IOPFMD[28]</t>
  </si>
  <si>
    <t>IOPBMD[24]</t>
  </si>
  <si>
    <t>IOPBMD[28]</t>
  </si>
  <si>
    <t>IOP3MD[16]</t>
  </si>
  <si>
    <t>IOP3MD[20]</t>
  </si>
  <si>
    <t>IOP3MD[24]</t>
  </si>
  <si>
    <t>IOP4MD[4]</t>
  </si>
  <si>
    <t>IOP4MD[8]</t>
  </si>
  <si>
    <t>IOP5MD[8]</t>
  </si>
  <si>
    <t>IOP5MD[12]</t>
  </si>
  <si>
    <t>IOP5MD[16]</t>
  </si>
  <si>
    <t>IOP5MD[20]</t>
  </si>
  <si>
    <t>IOP5MD[24]</t>
  </si>
  <si>
    <t>IOP5MD[28]</t>
  </si>
  <si>
    <t>IOP7MD[16]</t>
  </si>
  <si>
    <t>IOP7MD[20]</t>
  </si>
  <si>
    <t>IOP7MD[24]</t>
  </si>
  <si>
    <t>IOP7MD[28]</t>
  </si>
  <si>
    <t>IOP3MD[4]</t>
  </si>
  <si>
    <t>IOP3MD[8]</t>
  </si>
  <si>
    <t>IOP2MD[4]</t>
  </si>
  <si>
    <t>IOP2MD[8]</t>
  </si>
  <si>
    <t>IOP5MD[4]</t>
  </si>
  <si>
    <t>IOP2MD[16]</t>
  </si>
  <si>
    <t>IOP2MD[20]</t>
  </si>
  <si>
    <t>IOP2MD[24]</t>
  </si>
  <si>
    <t>IOP2MD[28]</t>
  </si>
  <si>
    <t>IOP4MD[16]</t>
  </si>
  <si>
    <t>IOP4MD[20]</t>
  </si>
  <si>
    <t>IOP4MD[24]</t>
  </si>
  <si>
    <t>IOP4MD[28]</t>
  </si>
  <si>
    <t>IOP9MD[25]</t>
  </si>
  <si>
    <t/>
  </si>
  <si>
    <t>IOP9MD[29]</t>
  </si>
  <si>
    <t>IOP0MD[5]</t>
  </si>
  <si>
    <t>IOP0MD[9]</t>
  </si>
  <si>
    <t>IOP0MD[13]</t>
  </si>
  <si>
    <t>IOP0MD[17]</t>
  </si>
  <si>
    <t>IOP0MD[21]</t>
  </si>
  <si>
    <t>IOP0MD[25]</t>
  </si>
  <si>
    <t>IOP0MD[29]</t>
  </si>
  <si>
    <t>IOP6MD[5]</t>
  </si>
  <si>
    <t>IOP6MD[9]</t>
  </si>
  <si>
    <t>IOP6MD[13]</t>
  </si>
  <si>
    <t>IOP6MD[17]</t>
  </si>
  <si>
    <t>IOP6MD[21]</t>
  </si>
  <si>
    <t>IOPAMD[5]</t>
  </si>
  <si>
    <t>IOPAMD[9]</t>
  </si>
  <si>
    <t>IOPAMD[13]</t>
  </si>
  <si>
    <t>IOP6MD[25]</t>
  </si>
  <si>
    <t>IOP6MD[29]</t>
  </si>
  <si>
    <t>IOPAMD[17]</t>
  </si>
  <si>
    <t>IOPAMD[21]</t>
  </si>
  <si>
    <t>IOPAMD[25]</t>
  </si>
  <si>
    <t>IOPAMD[29]</t>
  </si>
  <si>
    <t>IOP8MD[5]</t>
  </si>
  <si>
    <t>IOP8MD[9]</t>
  </si>
  <si>
    <t>IOP8MD[13]</t>
  </si>
  <si>
    <t>IOP8MD[17]</t>
  </si>
  <si>
    <t>IOP8MD[21]</t>
  </si>
  <si>
    <t>IOP8MD[25]</t>
  </si>
  <si>
    <t>IOP8MD[29]</t>
  </si>
  <si>
    <t>IOP9MD[5]</t>
  </si>
  <si>
    <t>IOP9MD[9]</t>
  </si>
  <si>
    <t>IOP9MD[13]</t>
  </si>
  <si>
    <t>IOP9MD[17]</t>
  </si>
  <si>
    <t>IOP9MD[21]</t>
  </si>
  <si>
    <t>IOP1MD[5]</t>
  </si>
  <si>
    <t>IOP1MD[9]</t>
  </si>
  <si>
    <t>IOP1MD[13]</t>
  </si>
  <si>
    <t>IOP1MD[17]</t>
  </si>
  <si>
    <t>IOP1MD[21]</t>
  </si>
  <si>
    <t>IOP1MD[25]</t>
  </si>
  <si>
    <t>IOP1MD[29]</t>
  </si>
  <si>
    <t>IOP7MD[5]</t>
  </si>
  <si>
    <t>IOP7MD[9]</t>
  </si>
  <si>
    <t>IOP7MD[13]</t>
  </si>
  <si>
    <t>IOPBMD[5]</t>
  </si>
  <si>
    <t>IOPBMD[9]</t>
  </si>
  <si>
    <t>IOPBMD[13]</t>
  </si>
  <si>
    <t>IOPBMD[17]</t>
  </si>
  <si>
    <t>IOPFMD[5]</t>
  </si>
  <si>
    <t>IOPFMD[9]</t>
  </si>
  <si>
    <t>IOPEMD[9]</t>
  </si>
  <si>
    <t>IOPEMD[13]</t>
  </si>
  <si>
    <t>IOPEMD[17]</t>
  </si>
  <si>
    <t>IOPEMD[21]</t>
  </si>
  <si>
    <t>IOPEMD[25]</t>
  </si>
  <si>
    <t>IOPEMD[29]</t>
  </si>
  <si>
    <t>IOPEMD[5]</t>
  </si>
  <si>
    <t>IOPDMD[5]</t>
  </si>
  <si>
    <t>IOPDMD[9]</t>
  </si>
  <si>
    <t>IOPDMD[13]</t>
  </si>
  <si>
    <t>IOPDMD[17]</t>
  </si>
  <si>
    <t>IOPDMD[21]</t>
  </si>
  <si>
    <t>IOPDMD[25]</t>
  </si>
  <si>
    <t>IOPDMD[29]</t>
  </si>
  <si>
    <t>IOPFMD[13]</t>
  </si>
  <si>
    <t>IOPFMD[17]</t>
  </si>
  <si>
    <t>IOPCMD[5]</t>
  </si>
  <si>
    <t>IOPCMD[9]</t>
  </si>
  <si>
    <t>IOPCMD[13]</t>
  </si>
  <si>
    <t>IOPCMD[17]</t>
  </si>
  <si>
    <t>IOPCMD[21]</t>
  </si>
  <si>
    <t>IOPCMD[25]</t>
  </si>
  <si>
    <t>IOPCMD[29]</t>
  </si>
  <si>
    <t>IOPFMD[21]</t>
  </si>
  <si>
    <t>IOPFMD[25]</t>
  </si>
  <si>
    <t>IOPFMD[29]</t>
  </si>
  <si>
    <t>IOPBMD[25]</t>
  </si>
  <si>
    <t>IOPBMD[29]</t>
  </si>
  <si>
    <t>IOP3MD[17]</t>
  </si>
  <si>
    <t>IOP3MD[21]</t>
  </si>
  <si>
    <t>IOP3MD[25]</t>
  </si>
  <si>
    <t>IOP4MD[5]</t>
  </si>
  <si>
    <t>IOP4MD[9]</t>
  </si>
  <si>
    <t>IOP5MD[9]</t>
  </si>
  <si>
    <t>IOP5MD[13]</t>
  </si>
  <si>
    <t>IOP5MD[17]</t>
  </si>
  <si>
    <t>IOP5MD[21]</t>
  </si>
  <si>
    <t>IOP5MD[25]</t>
  </si>
  <si>
    <t>IOP5MD[29]</t>
  </si>
  <si>
    <t>IOP7MD[17]</t>
  </si>
  <si>
    <t>IOP7MD[21]</t>
  </si>
  <si>
    <t>IOP7MD[25]</t>
  </si>
  <si>
    <t>IOP7MD[29]</t>
  </si>
  <si>
    <t>IOP3MD[5]</t>
  </si>
  <si>
    <t>IOP3MD[9]</t>
  </si>
  <si>
    <t>IOP2MD[5]</t>
  </si>
  <si>
    <t>IOP2MD[9]</t>
  </si>
  <si>
    <t>IOP5MD[5]</t>
  </si>
  <si>
    <t>IOP2MD[17]</t>
  </si>
  <si>
    <t>IOP2MD[21]</t>
  </si>
  <si>
    <t>IOP2MD[25]</t>
  </si>
  <si>
    <t>IOP2MD[29]</t>
  </si>
  <si>
    <t>IOP4MD[17]</t>
  </si>
  <si>
    <t>IOP4MD[21]</t>
  </si>
  <si>
    <t>IOP4MD[25]</t>
  </si>
  <si>
    <t>IOP4MD[29]</t>
  </si>
  <si>
    <t>IOP9MD[26]</t>
  </si>
  <si>
    <t>IOP9MD[30]</t>
  </si>
  <si>
    <t>IOP0MD[6]</t>
  </si>
  <si>
    <t>IOP0MD[10]</t>
  </si>
  <si>
    <t>IOP0MD[14]</t>
  </si>
  <si>
    <t>IOP0MD[18]</t>
  </si>
  <si>
    <t>IOP0MD[22]</t>
  </si>
  <si>
    <t>IOP0MD[26]</t>
  </si>
  <si>
    <t>IOP0MD[30]</t>
  </si>
  <si>
    <t>IOP6MD[6]</t>
  </si>
  <si>
    <t>IOP6MD[10]</t>
  </si>
  <si>
    <t>IOP6MD[14]</t>
  </si>
  <si>
    <t>IOP6MD[18]</t>
  </si>
  <si>
    <t>IOP6MD[22]</t>
  </si>
  <si>
    <t>IOPAMD[6]</t>
  </si>
  <si>
    <t>IOPAMD[10]</t>
  </si>
  <si>
    <t>IOPAMD[14]</t>
  </si>
  <si>
    <t>IOP6MD[26]</t>
  </si>
  <si>
    <t>IOP6MD[30]</t>
  </si>
  <si>
    <t>IOPAMD[18]</t>
  </si>
  <si>
    <t>IOPAMD[22]</t>
  </si>
  <si>
    <t>IOPAMD[26]</t>
  </si>
  <si>
    <t>IOPAMD[30]</t>
  </si>
  <si>
    <t>IOP8MD[6]</t>
  </si>
  <si>
    <t>IOP8MD[10]</t>
  </si>
  <si>
    <t>IOP8MD[14]</t>
  </si>
  <si>
    <t>IOP8MD[18]</t>
  </si>
  <si>
    <t>IOP8MD[22]</t>
  </si>
  <si>
    <t>IOP8MD[26]</t>
  </si>
  <si>
    <t>IOP8MD[30]</t>
  </si>
  <si>
    <t>IOP9MD[6]</t>
  </si>
  <si>
    <t>IOP9MD[10]</t>
  </si>
  <si>
    <t>IOP9MD[14]</t>
  </si>
  <si>
    <t>IOP9MD[18]</t>
  </si>
  <si>
    <t>IOP9MD[22]</t>
  </si>
  <si>
    <t>IOP1MD[6]</t>
  </si>
  <si>
    <t>IOP1MD[10]</t>
  </si>
  <si>
    <t>IOP1MD[14]</t>
  </si>
  <si>
    <t>IOP1MD[18]</t>
  </si>
  <si>
    <t>IOP1MD[22]</t>
  </si>
  <si>
    <t>IOP1MD[26]</t>
  </si>
  <si>
    <t>IOP1MD[30]</t>
  </si>
  <si>
    <t>IOP7MD[6]</t>
  </si>
  <si>
    <t>IOP7MD[10]</t>
  </si>
  <si>
    <t>IOP7MD[14]</t>
  </si>
  <si>
    <t>IOPBMD[6]</t>
  </si>
  <si>
    <t>IOPBMD[10]</t>
  </si>
  <si>
    <t>IOPBMD[14]</t>
  </si>
  <si>
    <t>IOPBMD[18]</t>
  </si>
  <si>
    <t>IOPFMD[6]</t>
  </si>
  <si>
    <t>IOPFMD[10]</t>
  </si>
  <si>
    <t>IOPEMD[10]</t>
  </si>
  <si>
    <t>IOPEMD[14]</t>
  </si>
  <si>
    <t>IOPEMD[18]</t>
  </si>
  <si>
    <t>IOPEMD[22]</t>
  </si>
  <si>
    <t>IOPEMD[26]</t>
  </si>
  <si>
    <t>IOPEMD[30]</t>
  </si>
  <si>
    <t>IOPEMD[6]</t>
  </si>
  <si>
    <t>IOPDMD[6]</t>
  </si>
  <si>
    <t>IOPDMD[10]</t>
  </si>
  <si>
    <t>IOPDMD[14]</t>
  </si>
  <si>
    <t>IOPDMD[18]</t>
  </si>
  <si>
    <t>IOPDMD[22]</t>
  </si>
  <si>
    <t>IOPDMD[26]</t>
  </si>
  <si>
    <t>IOPDMD[30]</t>
  </si>
  <si>
    <t>IOPFMD[14]</t>
  </si>
  <si>
    <t>IOPFMD[18]</t>
  </si>
  <si>
    <t>IOPCMD[6]</t>
  </si>
  <si>
    <t>IOPCMD[10]</t>
  </si>
  <si>
    <t>IOPCMD[14]</t>
  </si>
  <si>
    <t>IOPCMD[18]</t>
  </si>
  <si>
    <t>IOPCMD[22]</t>
  </si>
  <si>
    <t>IOPCMD[26]</t>
  </si>
  <si>
    <t>IOPCMD[30]</t>
  </si>
  <si>
    <t>IOPFMD[22]</t>
  </si>
  <si>
    <t>IOPFMD[26]</t>
  </si>
  <si>
    <t>IOPFMD[30]</t>
  </si>
  <si>
    <t>IOPBMD[26]</t>
  </si>
  <si>
    <t>IOPBMD[30]</t>
  </si>
  <si>
    <t>IOP3MD[18]</t>
  </si>
  <si>
    <t>IOP3MD[22]</t>
  </si>
  <si>
    <t>IOP3MD[26]</t>
  </si>
  <si>
    <t>IOP4MD[6]</t>
  </si>
  <si>
    <t>IOP4MD[10]</t>
  </si>
  <si>
    <t>IOP5MD[10]</t>
  </si>
  <si>
    <t>IOP5MD[14]</t>
  </si>
  <si>
    <t>IOP5MD[18]</t>
  </si>
  <si>
    <t>IOP5MD[22]</t>
  </si>
  <si>
    <t>IOP5MD[26]</t>
  </si>
  <si>
    <t>IOP5MD[30]</t>
  </si>
  <si>
    <t>IOP7MD[18]</t>
  </si>
  <si>
    <t>IOP7MD[22]</t>
  </si>
  <si>
    <t>IOP7MD[26]</t>
  </si>
  <si>
    <t>IOP7MD[30]</t>
  </si>
  <si>
    <t>IOP3MD[6]</t>
  </si>
  <si>
    <t>IOP3MD[10]</t>
  </si>
  <si>
    <t>IOP2MD[6]</t>
  </si>
  <si>
    <t>IOP2MD[10]</t>
  </si>
  <si>
    <t>IOP5MD[6]</t>
  </si>
  <si>
    <t>IOP2MD[18]</t>
  </si>
  <si>
    <t>IOP2MD[22]</t>
  </si>
  <si>
    <t>IOP2MD[26]</t>
  </si>
  <si>
    <t>IOP2MD[30]</t>
  </si>
  <si>
    <t>IOP4MD[18]</t>
  </si>
  <si>
    <t>IOP4MD[22]</t>
  </si>
  <si>
    <t>IOP4MD[26]</t>
  </si>
  <si>
    <t>IOP4MD[30]</t>
  </si>
  <si>
    <t>IOP9MD[27]</t>
  </si>
  <si>
    <t>IOP9MD[31]</t>
  </si>
  <si>
    <t>IOP0MD[7]</t>
  </si>
  <si>
    <t>IOP0MD[11]</t>
  </si>
  <si>
    <t>IOP0MD[15]</t>
  </si>
  <si>
    <t>IOP0MD[19]</t>
  </si>
  <si>
    <t>IOP0MD[23]</t>
  </si>
  <si>
    <t>IOP0MD[27]</t>
  </si>
  <si>
    <t>IOP0MD[31]</t>
  </si>
  <si>
    <t>IOP6MD[7]</t>
  </si>
  <si>
    <t>IOP6MD[11]</t>
  </si>
  <si>
    <t>IOP6MD[15]</t>
  </si>
  <si>
    <t>IOP6MD[19]</t>
  </si>
  <si>
    <t>IOP6MD[23]</t>
  </si>
  <si>
    <t>IOPAMD[7]</t>
  </si>
  <si>
    <t>IOPAMD[11]</t>
  </si>
  <si>
    <t>IOPAMD[15]</t>
  </si>
  <si>
    <t>IOP6MD[27]</t>
  </si>
  <si>
    <t>IOP6MD[31]</t>
  </si>
  <si>
    <t>IOPAMD[19]</t>
  </si>
  <si>
    <t>IOPAMD[23]</t>
  </si>
  <si>
    <t>IOPAMD[27]</t>
  </si>
  <si>
    <t>IOPAMD[31]</t>
  </si>
  <si>
    <t>IOP8MD[7]</t>
  </si>
  <si>
    <t>IOP8MD[11]</t>
  </si>
  <si>
    <t>IOP8MD[15]</t>
  </si>
  <si>
    <t>IOP8MD[19]</t>
  </si>
  <si>
    <t>IOP8MD[23]</t>
  </si>
  <si>
    <t>IOP8MD[27]</t>
  </si>
  <si>
    <t>IOP8MD[31]</t>
  </si>
  <si>
    <t>IOP9MD[7]</t>
  </si>
  <si>
    <t>IOP9MD[11]</t>
  </si>
  <si>
    <t>IOP9MD[15]</t>
  </si>
  <si>
    <t>IOP9MD[19]</t>
  </si>
  <si>
    <t>IOP9MD[23]</t>
  </si>
  <si>
    <t>IOP1MD[7]</t>
  </si>
  <si>
    <t>IOP1MD[11]</t>
  </si>
  <si>
    <t>IOP1MD[15]</t>
  </si>
  <si>
    <t>IOP1MD[19]</t>
  </si>
  <si>
    <t>IOP1MD[23]</t>
  </si>
  <si>
    <t>IOP1MD[27]</t>
  </si>
  <si>
    <t>IOP1MD[31]</t>
  </si>
  <si>
    <t>IOP7MD[7]</t>
  </si>
  <si>
    <t>IOP7MD[11]</t>
  </si>
  <si>
    <t>IOP7MD[15]</t>
  </si>
  <si>
    <t>IOPBMD[7]</t>
  </si>
  <si>
    <t>IOPBMD[11]</t>
  </si>
  <si>
    <t>IOPBMD[15]</t>
  </si>
  <si>
    <t>IOPBMD[19]</t>
  </si>
  <si>
    <t>IOPFMD[7]</t>
  </si>
  <si>
    <t>IOPFMD[11]</t>
  </si>
  <si>
    <t>IOPEMD[11]</t>
  </si>
  <si>
    <t>IOPEMD[15]</t>
  </si>
  <si>
    <t>IOPEMD[19]</t>
  </si>
  <si>
    <t>IOPEMD[23]</t>
  </si>
  <si>
    <t>IOPEMD[27]</t>
  </si>
  <si>
    <t>IOPEMD[31]</t>
  </si>
  <si>
    <t>IOPEMD[7]</t>
  </si>
  <si>
    <t>IOPDMD[7]</t>
  </si>
  <si>
    <t>IOPDMD[11]</t>
  </si>
  <si>
    <t>IOPDMD[15]</t>
  </si>
  <si>
    <t>IOPDMD[19]</t>
  </si>
  <si>
    <t>IOPDMD[23]</t>
  </si>
  <si>
    <t>IOPDMD[27]</t>
  </si>
  <si>
    <t>IOPDMD[31]</t>
  </si>
  <si>
    <t>IOPFMD[15]</t>
  </si>
  <si>
    <t>IOPFMD[19]</t>
  </si>
  <si>
    <t>IOPCMD[7]</t>
  </si>
  <si>
    <t>IOPCMD[11]</t>
  </si>
  <si>
    <t>IOPCMD[15]</t>
  </si>
  <si>
    <t>IOPCMD[19]</t>
  </si>
  <si>
    <t>IOPCMD[23]</t>
  </si>
  <si>
    <t>IOPCMD[27]</t>
  </si>
  <si>
    <t>IOPCMD[31]</t>
  </si>
  <si>
    <t>IOPFMD[23]</t>
  </si>
  <si>
    <t>IOPFMD[27]</t>
  </si>
  <si>
    <t>IOPFMD[31]</t>
  </si>
  <si>
    <t>IOPBMD[27]</t>
  </si>
  <si>
    <t>IOPBMD[31]</t>
  </si>
  <si>
    <t>IOP3MD[19]</t>
  </si>
  <si>
    <t>IOP3MD[23]</t>
  </si>
  <si>
    <t>IOP3MD[27]</t>
  </si>
  <si>
    <t>IOP4MD[7]</t>
  </si>
  <si>
    <t>IOP4MD[11]</t>
  </si>
  <si>
    <t>IOP5MD[11]</t>
  </si>
  <si>
    <t>IOP5MD[15]</t>
  </si>
  <si>
    <t>IOP5MD[19]</t>
  </si>
  <si>
    <t>IOP5MD[23]</t>
  </si>
  <si>
    <t>IOP5MD[27]</t>
  </si>
  <si>
    <t>IOP5MD[31]</t>
  </si>
  <si>
    <t>IOP7MD[19]</t>
  </si>
  <si>
    <t>IOP7MD[23]</t>
  </si>
  <si>
    <t>IOP7MD[27]</t>
  </si>
  <si>
    <t>IOP7MD[31]</t>
  </si>
  <si>
    <t>IOP3MD[7]</t>
  </si>
  <si>
    <t>IOP3MD[11]</t>
  </si>
  <si>
    <t>IOP2MD[7]</t>
  </si>
  <si>
    <t>IOP2MD[11]</t>
  </si>
  <si>
    <t>IOP5MD[7]</t>
  </si>
  <si>
    <t>IOP2MD[19]</t>
  </si>
  <si>
    <t>IOP2MD[23]</t>
  </si>
  <si>
    <t>IOP2MD[27]</t>
  </si>
  <si>
    <t>IOP2MD[31]</t>
  </si>
  <si>
    <t>IOP4MD[19]</t>
  </si>
  <si>
    <t>IOP4MD[23]</t>
  </si>
  <si>
    <t>IOP4MD[27]</t>
  </si>
  <si>
    <t>IOP4MD[31]</t>
  </si>
  <si>
    <t>Serial409</t>
  </si>
  <si>
    <t>Serial410</t>
  </si>
  <si>
    <t>デバッガ</t>
    <phoneticPr fontId="56"/>
  </si>
  <si>
    <t>グループ名</t>
    <phoneticPr fontId="58"/>
  </si>
  <si>
    <t>端子機能名</t>
    <rPh sb="0" eb="2">
      <t>タンシ</t>
    </rPh>
    <rPh sb="2" eb="4">
      <t>キノウ</t>
    </rPh>
    <rPh sb="4" eb="5">
      <t>メイ</t>
    </rPh>
    <phoneticPr fontId="58"/>
  </si>
  <si>
    <t>グループ案</t>
    <phoneticPr fontId="56"/>
  </si>
  <si>
    <r>
      <t>2：</t>
    </r>
    <r>
      <rPr>
        <sz val="11"/>
        <color theme="1"/>
        <rFont val="ＭＳ Ｐゴシック"/>
        <family val="2"/>
        <charset val="128"/>
        <scheme val="minor"/>
      </rPr>
      <t>Special Group Name</t>
    </r>
    <phoneticPr fontId="56"/>
  </si>
  <si>
    <t>1：XXX_AAA形式</t>
    <rPh sb="9" eb="11">
      <t>ケイシキ</t>
    </rPh>
    <phoneticPr fontId="56"/>
  </si>
  <si>
    <t>HQFP80
(14*14)</t>
    <phoneticPr fontId="13" type="noConversion"/>
  </si>
  <si>
    <t>※80pin、100pin機能無しのため、必ずGPWMBで定義</t>
    <rPh sb="13" eb="15">
      <t>キノウ</t>
    </rPh>
    <rPh sb="15" eb="16">
      <t>ナ</t>
    </rPh>
    <rPh sb="21" eb="22">
      <t>カナラ</t>
    </rPh>
    <rPh sb="29" eb="31">
      <t>テイギ</t>
    </rPh>
    <phoneticPr fontId="56"/>
  </si>
  <si>
    <t>※80pin、100pin機能無しのため、必ずGPWMAで定義</t>
    <rPh sb="13" eb="15">
      <t>キノウ</t>
    </rPh>
    <rPh sb="15" eb="16">
      <t>ナ</t>
    </rPh>
    <rPh sb="21" eb="22">
      <t>カナラ</t>
    </rPh>
    <rPh sb="29" eb="31">
      <t>テイギ</t>
    </rPh>
    <phoneticPr fontId="56"/>
  </si>
  <si>
    <t>VDDPST</t>
    <phoneticPr fontId="56"/>
  </si>
  <si>
    <t>LDO_CAP</t>
    <phoneticPr fontId="56"/>
  </si>
  <si>
    <t>UART2</t>
    <phoneticPr fontId="13" type="noConversion"/>
  </si>
  <si>
    <t>AD</t>
    <phoneticPr fontId="56"/>
  </si>
  <si>
    <t>KM1M7AF01N/M/K</t>
  </si>
  <si>
    <t>KM1M7AF00N/M/K</t>
  </si>
  <si>
    <t>KM1M7AF13N/M/K</t>
  </si>
  <si>
    <t>KM1M7AF12N/M/K</t>
  </si>
  <si>
    <t>KM1M7AF11N/M/K</t>
  </si>
  <si>
    <t>KM1M7AF10N/M/K</t>
  </si>
  <si>
    <t>KM1M7AF53N/M/K</t>
  </si>
  <si>
    <t>KM1M7AF52N/M/K</t>
  </si>
  <si>
    <t>KM1M7AF51N/M/K</t>
  </si>
  <si>
    <t>KM1M7AF50N/M/K</t>
  </si>
  <si>
    <t>KM1M7AF63N/M/K</t>
  </si>
  <si>
    <t>KM1M7AF62N/M/K</t>
  </si>
  <si>
    <t>KM1M7AF61N/M/K</t>
  </si>
  <si>
    <t>KM1M7AF60N/M/K</t>
  </si>
  <si>
    <t>SMBUS</t>
    <phoneticPr fontId="13" type="noConversion"/>
  </si>
  <si>
    <r>
      <t>TM</t>
    </r>
    <r>
      <rPr>
        <sz val="11"/>
        <color theme="1"/>
        <rFont val="ＭＳ Ｐゴシック"/>
        <family val="2"/>
        <charset val="128"/>
        <scheme val="minor"/>
      </rPr>
      <t>00</t>
    </r>
    <phoneticPr fontId="58"/>
  </si>
  <si>
    <r>
      <t>TM</t>
    </r>
    <r>
      <rPr>
        <sz val="11"/>
        <color theme="1"/>
        <rFont val="ＭＳ Ｐゴシック"/>
        <family val="2"/>
        <charset val="128"/>
        <scheme val="minor"/>
      </rPr>
      <t>01</t>
    </r>
    <phoneticPr fontId="58"/>
  </si>
  <si>
    <t>CMP0</t>
    <phoneticPr fontId="58"/>
  </si>
  <si>
    <t>CMP1</t>
    <phoneticPr fontId="58"/>
  </si>
  <si>
    <t>CMP2</t>
    <phoneticPr fontId="56"/>
  </si>
  <si>
    <t>CMP3</t>
    <phoneticPr fontId="56"/>
  </si>
  <si>
    <t>CMP4</t>
    <phoneticPr fontId="56"/>
  </si>
  <si>
    <r>
      <t>TM</t>
    </r>
    <r>
      <rPr>
        <sz val="11"/>
        <color theme="1"/>
        <rFont val="ＭＳ Ｐゴシック"/>
        <family val="2"/>
        <charset val="128"/>
        <scheme val="minor"/>
      </rPr>
      <t>02</t>
    </r>
    <phoneticPr fontId="58"/>
  </si>
  <si>
    <r>
      <t>TM</t>
    </r>
    <r>
      <rPr>
        <sz val="11"/>
        <color theme="1"/>
        <rFont val="ＭＳ Ｐゴシック"/>
        <family val="2"/>
        <charset val="128"/>
        <scheme val="minor"/>
      </rPr>
      <t>03</t>
    </r>
    <phoneticPr fontId="58"/>
  </si>
  <si>
    <r>
      <t>TM</t>
    </r>
    <r>
      <rPr>
        <sz val="11"/>
        <color theme="1"/>
        <rFont val="ＭＳ Ｐゴシック"/>
        <family val="2"/>
        <charset val="128"/>
        <scheme val="minor"/>
      </rPr>
      <t>04</t>
    </r>
    <phoneticPr fontId="58"/>
  </si>
  <si>
    <r>
      <t>TM</t>
    </r>
    <r>
      <rPr>
        <sz val="11"/>
        <color theme="1"/>
        <rFont val="ＭＳ Ｐゴシック"/>
        <family val="2"/>
        <charset val="128"/>
        <scheme val="minor"/>
      </rPr>
      <t>05</t>
    </r>
    <phoneticPr fontId="58"/>
  </si>
  <si>
    <r>
      <t>TM</t>
    </r>
    <r>
      <rPr>
        <sz val="11"/>
        <color theme="1"/>
        <rFont val="ＭＳ Ｐゴシック"/>
        <family val="2"/>
        <charset val="128"/>
        <scheme val="minor"/>
      </rPr>
      <t>06</t>
    </r>
    <phoneticPr fontId="58"/>
  </si>
  <si>
    <r>
      <t>TM</t>
    </r>
    <r>
      <rPr>
        <sz val="11"/>
        <color theme="1"/>
        <rFont val="ＭＳ Ｐゴシック"/>
        <family val="2"/>
        <charset val="128"/>
        <scheme val="minor"/>
      </rPr>
      <t>07</t>
    </r>
    <phoneticPr fontId="58"/>
  </si>
  <si>
    <r>
      <t>TM</t>
    </r>
    <r>
      <rPr>
        <sz val="11"/>
        <color theme="1"/>
        <rFont val="ＭＳ Ｐゴシック"/>
        <family val="2"/>
        <charset val="128"/>
        <scheme val="minor"/>
      </rPr>
      <t>08</t>
    </r>
    <phoneticPr fontId="58"/>
  </si>
  <si>
    <r>
      <t>TM</t>
    </r>
    <r>
      <rPr>
        <sz val="11"/>
        <color theme="1"/>
        <rFont val="ＭＳ Ｐゴシック"/>
        <family val="2"/>
        <charset val="128"/>
        <scheme val="minor"/>
      </rPr>
      <t>09</t>
    </r>
    <phoneticPr fontId="58"/>
  </si>
  <si>
    <r>
      <t>TM</t>
    </r>
    <r>
      <rPr>
        <sz val="11"/>
        <color theme="1"/>
        <rFont val="ＭＳ Ｐゴシック"/>
        <family val="2"/>
        <charset val="128"/>
        <scheme val="minor"/>
      </rPr>
      <t>10</t>
    </r>
    <phoneticPr fontId="58"/>
  </si>
  <si>
    <r>
      <t>TM</t>
    </r>
    <r>
      <rPr>
        <sz val="11"/>
        <color theme="1"/>
        <rFont val="ＭＳ Ｐゴシック"/>
        <family val="2"/>
        <charset val="128"/>
        <scheme val="minor"/>
      </rPr>
      <t>11</t>
    </r>
    <phoneticPr fontId="58"/>
  </si>
  <si>
    <r>
      <t>TM</t>
    </r>
    <r>
      <rPr>
        <sz val="11"/>
        <color theme="1"/>
        <rFont val="ＭＳ Ｐゴシック"/>
        <family val="2"/>
        <charset val="128"/>
        <scheme val="minor"/>
      </rPr>
      <t>12</t>
    </r>
    <phoneticPr fontId="58"/>
  </si>
  <si>
    <r>
      <t>TM</t>
    </r>
    <r>
      <rPr>
        <sz val="11"/>
        <color theme="1"/>
        <rFont val="ＭＳ Ｐゴシック"/>
        <family val="2"/>
        <charset val="128"/>
        <scheme val="minor"/>
      </rPr>
      <t>13</t>
    </r>
    <phoneticPr fontId="58"/>
  </si>
  <si>
    <r>
      <t>TM</t>
    </r>
    <r>
      <rPr>
        <sz val="11"/>
        <color theme="1"/>
        <rFont val="ＭＳ Ｐゴシック"/>
        <family val="2"/>
        <charset val="128"/>
        <scheme val="minor"/>
      </rPr>
      <t>20</t>
    </r>
    <phoneticPr fontId="58"/>
  </si>
  <si>
    <r>
      <t>TM</t>
    </r>
    <r>
      <rPr>
        <sz val="11"/>
        <color theme="1"/>
        <rFont val="ＭＳ Ｐゴシック"/>
        <family val="2"/>
        <charset val="128"/>
        <scheme val="minor"/>
      </rPr>
      <t>21</t>
    </r>
    <phoneticPr fontId="58"/>
  </si>
  <si>
    <r>
      <t>TM</t>
    </r>
    <r>
      <rPr>
        <sz val="11"/>
        <color theme="1"/>
        <rFont val="ＭＳ Ｐゴシック"/>
        <family val="2"/>
        <charset val="128"/>
        <scheme val="minor"/>
      </rPr>
      <t>22</t>
    </r>
    <phoneticPr fontId="58"/>
  </si>
  <si>
    <r>
      <t>TM</t>
    </r>
    <r>
      <rPr>
        <sz val="11"/>
        <color theme="1"/>
        <rFont val="ＭＳ Ｐゴシック"/>
        <family val="2"/>
        <charset val="128"/>
        <scheme val="minor"/>
      </rPr>
      <t>23</t>
    </r>
    <phoneticPr fontId="58"/>
  </si>
  <si>
    <r>
      <t>TM</t>
    </r>
    <r>
      <rPr>
        <sz val="11"/>
        <color theme="1"/>
        <rFont val="ＭＳ Ｐゴシック"/>
        <family val="2"/>
        <charset val="128"/>
        <scheme val="minor"/>
      </rPr>
      <t>24</t>
    </r>
    <phoneticPr fontId="58"/>
  </si>
  <si>
    <r>
      <t>TM</t>
    </r>
    <r>
      <rPr>
        <sz val="11"/>
        <color theme="1"/>
        <rFont val="ＭＳ Ｐゴシック"/>
        <family val="2"/>
        <charset val="128"/>
        <scheme val="minor"/>
      </rPr>
      <t>25</t>
    </r>
    <phoneticPr fontId="58"/>
  </si>
  <si>
    <t>GPIO-&gt;IOP1MD</t>
  </si>
  <si>
    <t>GPIO-&gt;IOP2MD</t>
  </si>
  <si>
    <t>GPIO-&gt;IOP3MD</t>
  </si>
  <si>
    <t>GPIO-&gt;IOP4MD</t>
  </si>
  <si>
    <t>GPIO-&gt;IOP5MD</t>
  </si>
  <si>
    <t>GPIO-&gt;IOP6MD</t>
  </si>
  <si>
    <t>GPIO-&gt;IOP7MD</t>
  </si>
  <si>
    <t>GPIO-&gt;IOP8MD</t>
  </si>
  <si>
    <t>GPIO-&gt;IOP9MD</t>
  </si>
  <si>
    <t>GPIO-&gt;IOPAMD</t>
  </si>
  <si>
    <t>GPIO-&gt;IOPBMD</t>
  </si>
  <si>
    <t>GPIO-&gt;IOPCMD</t>
  </si>
  <si>
    <t>GPIO-&gt;IOPDMD</t>
  </si>
  <si>
    <t>GPIO-&gt;IOPEMD</t>
  </si>
  <si>
    <t>GPIO-&gt;IOPFMD</t>
  </si>
  <si>
    <t>IRQ</t>
  </si>
  <si>
    <t>TM00</t>
  </si>
  <si>
    <t>TM01</t>
  </si>
  <si>
    <t>TM02</t>
  </si>
  <si>
    <t>TM03</t>
  </si>
  <si>
    <t>TM04</t>
  </si>
  <si>
    <t>TM05</t>
  </si>
  <si>
    <t>TM06</t>
  </si>
  <si>
    <t>TM07</t>
  </si>
  <si>
    <t>TM08</t>
  </si>
  <si>
    <t>TM09</t>
  </si>
  <si>
    <t>TM10</t>
  </si>
  <si>
    <t>TM11</t>
  </si>
  <si>
    <t>TM12</t>
  </si>
  <si>
    <t>TM13</t>
  </si>
  <si>
    <t>TM20</t>
  </si>
  <si>
    <t>TM21</t>
  </si>
  <si>
    <t>TM23</t>
  </si>
  <si>
    <t>TM24</t>
  </si>
  <si>
    <t>TM25</t>
  </si>
  <si>
    <t>AD</t>
  </si>
  <si>
    <r>
      <t>GPWM</t>
    </r>
    <r>
      <rPr>
        <sz val="11"/>
        <color theme="1"/>
        <rFont val="ＭＳ Ｐゴシック"/>
        <family val="2"/>
        <charset val="128"/>
        <scheme val="minor"/>
      </rPr>
      <t>H</t>
    </r>
    <r>
      <rPr>
        <sz val="11"/>
        <color theme="1"/>
        <rFont val="ＭＳ Ｐゴシック"/>
        <family val="2"/>
        <charset val="128"/>
        <scheme val="minor"/>
      </rPr>
      <t>01</t>
    </r>
    <phoneticPr fontId="56"/>
  </si>
  <si>
    <r>
      <t>GPWM</t>
    </r>
    <r>
      <rPr>
        <sz val="11"/>
        <color theme="1"/>
        <rFont val="ＭＳ Ｐゴシック"/>
        <family val="2"/>
        <charset val="128"/>
        <scheme val="minor"/>
      </rPr>
      <t>H</t>
    </r>
    <r>
      <rPr>
        <sz val="11"/>
        <color theme="1"/>
        <rFont val="ＭＳ Ｐゴシック"/>
        <family val="2"/>
        <charset val="128"/>
        <scheme val="minor"/>
      </rPr>
      <t>10</t>
    </r>
    <phoneticPr fontId="56"/>
  </si>
  <si>
    <r>
      <t>GPWM</t>
    </r>
    <r>
      <rPr>
        <sz val="11"/>
        <color theme="1"/>
        <rFont val="ＭＳ Ｐゴシック"/>
        <family val="2"/>
        <charset val="128"/>
        <scheme val="minor"/>
      </rPr>
      <t>H</t>
    </r>
    <r>
      <rPr>
        <sz val="11"/>
        <color theme="1"/>
        <rFont val="ＭＳ Ｐゴシック"/>
        <family val="2"/>
        <charset val="128"/>
        <scheme val="minor"/>
      </rPr>
      <t>11</t>
    </r>
    <phoneticPr fontId="56"/>
  </si>
  <si>
    <r>
      <t>GPWM</t>
    </r>
    <r>
      <rPr>
        <sz val="11"/>
        <color theme="1"/>
        <rFont val="ＭＳ Ｐゴシック"/>
        <family val="2"/>
        <charset val="128"/>
        <scheme val="minor"/>
      </rPr>
      <t>H</t>
    </r>
    <r>
      <rPr>
        <sz val="11"/>
        <color theme="1"/>
        <rFont val="ＭＳ Ｐゴシック"/>
        <family val="2"/>
        <charset val="128"/>
        <scheme val="minor"/>
      </rPr>
      <t>20</t>
    </r>
    <phoneticPr fontId="56"/>
  </si>
  <si>
    <r>
      <t>GPWM</t>
    </r>
    <r>
      <rPr>
        <sz val="11"/>
        <color theme="1"/>
        <rFont val="ＭＳ Ｐゴシック"/>
        <family val="2"/>
        <charset val="128"/>
        <scheme val="minor"/>
      </rPr>
      <t>H</t>
    </r>
    <r>
      <rPr>
        <sz val="11"/>
        <color theme="1"/>
        <rFont val="ＭＳ Ｐゴシック"/>
        <family val="2"/>
        <charset val="128"/>
        <scheme val="minor"/>
      </rPr>
      <t>21</t>
    </r>
    <phoneticPr fontId="56"/>
  </si>
  <si>
    <r>
      <t>GPWM</t>
    </r>
    <r>
      <rPr>
        <sz val="11"/>
        <color theme="1"/>
        <rFont val="ＭＳ Ｐゴシック"/>
        <family val="2"/>
        <charset val="128"/>
        <scheme val="minor"/>
      </rPr>
      <t>H</t>
    </r>
    <r>
      <rPr>
        <sz val="11"/>
        <color theme="1"/>
        <rFont val="ＭＳ Ｐゴシック"/>
        <family val="2"/>
        <charset val="128"/>
        <scheme val="minor"/>
      </rPr>
      <t>30</t>
    </r>
    <phoneticPr fontId="56"/>
  </si>
  <si>
    <r>
      <t>GPWM</t>
    </r>
    <r>
      <rPr>
        <sz val="11"/>
        <color theme="1"/>
        <rFont val="ＭＳ Ｐゴシック"/>
        <family val="2"/>
        <charset val="128"/>
        <scheme val="minor"/>
      </rPr>
      <t>H</t>
    </r>
    <r>
      <rPr>
        <sz val="11"/>
        <color theme="1"/>
        <rFont val="ＭＳ Ｐゴシック"/>
        <family val="2"/>
        <charset val="128"/>
        <scheme val="minor"/>
      </rPr>
      <t>31</t>
    </r>
    <phoneticPr fontId="56"/>
  </si>
  <si>
    <r>
      <t>GPWM</t>
    </r>
    <r>
      <rPr>
        <sz val="11"/>
        <color theme="1"/>
        <rFont val="ＭＳ Ｐゴシック"/>
        <family val="2"/>
        <charset val="128"/>
        <scheme val="minor"/>
      </rPr>
      <t>H</t>
    </r>
    <r>
      <rPr>
        <sz val="11"/>
        <color theme="1"/>
        <rFont val="ＭＳ Ｐゴシック"/>
        <family val="2"/>
        <charset val="128"/>
        <scheme val="minor"/>
      </rPr>
      <t>40</t>
    </r>
    <phoneticPr fontId="56"/>
  </si>
  <si>
    <r>
      <t>GPWM</t>
    </r>
    <r>
      <rPr>
        <sz val="11"/>
        <color theme="1"/>
        <rFont val="ＭＳ Ｐゴシック"/>
        <family val="2"/>
        <charset val="128"/>
        <scheme val="minor"/>
      </rPr>
      <t>H</t>
    </r>
    <r>
      <rPr>
        <sz val="11"/>
        <color theme="1"/>
        <rFont val="ＭＳ Ｐゴシック"/>
        <family val="2"/>
        <charset val="128"/>
        <scheme val="minor"/>
      </rPr>
      <t>41</t>
    </r>
    <phoneticPr fontId="56"/>
  </si>
  <si>
    <r>
      <t>GPWM</t>
    </r>
    <r>
      <rPr>
        <sz val="11"/>
        <color theme="1"/>
        <rFont val="ＭＳ Ｐゴシック"/>
        <family val="2"/>
        <charset val="128"/>
        <scheme val="minor"/>
      </rPr>
      <t>H</t>
    </r>
    <r>
      <rPr>
        <sz val="11"/>
        <color theme="1"/>
        <rFont val="ＭＳ Ｐゴシック"/>
        <family val="2"/>
        <charset val="128"/>
        <scheme val="minor"/>
      </rPr>
      <t>50</t>
    </r>
    <phoneticPr fontId="56"/>
  </si>
  <si>
    <r>
      <t>GPWM</t>
    </r>
    <r>
      <rPr>
        <sz val="11"/>
        <color theme="1"/>
        <rFont val="ＭＳ Ｐゴシック"/>
        <family val="2"/>
        <charset val="128"/>
        <scheme val="minor"/>
      </rPr>
      <t>H</t>
    </r>
    <r>
      <rPr>
        <sz val="11"/>
        <color theme="1"/>
        <rFont val="ＭＳ Ｐゴシック"/>
        <family val="2"/>
        <charset val="128"/>
        <scheme val="minor"/>
      </rPr>
      <t>51</t>
    </r>
    <phoneticPr fontId="56"/>
  </si>
  <si>
    <r>
      <t>GPWM</t>
    </r>
    <r>
      <rPr>
        <sz val="11"/>
        <color theme="1"/>
        <rFont val="ＭＳ Ｐゴシック"/>
        <family val="2"/>
        <charset val="128"/>
        <scheme val="minor"/>
      </rPr>
      <t>H</t>
    </r>
    <r>
      <rPr>
        <sz val="11"/>
        <color theme="1"/>
        <rFont val="ＭＳ Ｐゴシック"/>
        <family val="2"/>
        <charset val="128"/>
        <scheme val="minor"/>
      </rPr>
      <t>60</t>
    </r>
    <phoneticPr fontId="56"/>
  </si>
  <si>
    <r>
      <t>GPWM</t>
    </r>
    <r>
      <rPr>
        <sz val="11"/>
        <color theme="1"/>
        <rFont val="ＭＳ Ｐゴシック"/>
        <family val="2"/>
        <charset val="128"/>
        <scheme val="minor"/>
      </rPr>
      <t>H</t>
    </r>
    <r>
      <rPr>
        <sz val="11"/>
        <color theme="1"/>
        <rFont val="ＭＳ Ｐゴシック"/>
        <family val="2"/>
        <charset val="128"/>
        <scheme val="minor"/>
      </rPr>
      <t>61</t>
    </r>
    <phoneticPr fontId="56"/>
  </si>
  <si>
    <r>
      <t>GPWM</t>
    </r>
    <r>
      <rPr>
        <sz val="11"/>
        <color theme="1"/>
        <rFont val="ＭＳ Ｐゴシック"/>
        <family val="2"/>
        <charset val="128"/>
        <scheme val="minor"/>
      </rPr>
      <t>H</t>
    </r>
    <r>
      <rPr>
        <sz val="11"/>
        <color theme="1"/>
        <rFont val="ＭＳ Ｐゴシック"/>
        <family val="2"/>
        <charset val="128"/>
        <scheme val="minor"/>
      </rPr>
      <t>70</t>
    </r>
    <phoneticPr fontId="56"/>
  </si>
  <si>
    <r>
      <t>GPWM</t>
    </r>
    <r>
      <rPr>
        <sz val="11"/>
        <color theme="1"/>
        <rFont val="ＭＳ Ｐゴシック"/>
        <family val="2"/>
        <charset val="128"/>
        <scheme val="minor"/>
      </rPr>
      <t>H</t>
    </r>
    <r>
      <rPr>
        <sz val="11"/>
        <color theme="1"/>
        <rFont val="ＭＳ Ｐゴシック"/>
        <family val="2"/>
        <charset val="128"/>
        <scheme val="minor"/>
      </rPr>
      <t>71</t>
    </r>
    <phoneticPr fontId="56"/>
  </si>
  <si>
    <r>
      <t>GPWM</t>
    </r>
    <r>
      <rPr>
        <sz val="11"/>
        <color theme="1"/>
        <rFont val="ＭＳ Ｐゴシック"/>
        <family val="2"/>
        <charset val="128"/>
        <scheme val="minor"/>
      </rPr>
      <t>H</t>
    </r>
    <r>
      <rPr>
        <sz val="11"/>
        <color theme="1"/>
        <rFont val="ＭＳ Ｐゴシック"/>
        <family val="2"/>
        <charset val="128"/>
        <scheme val="minor"/>
      </rPr>
      <t>80</t>
    </r>
    <phoneticPr fontId="56"/>
  </si>
  <si>
    <r>
      <t>GPWM</t>
    </r>
    <r>
      <rPr>
        <sz val="11"/>
        <color theme="1"/>
        <rFont val="ＭＳ Ｐゴシック"/>
        <family val="2"/>
        <charset val="128"/>
        <scheme val="minor"/>
      </rPr>
      <t>H</t>
    </r>
    <r>
      <rPr>
        <sz val="11"/>
        <color theme="1"/>
        <rFont val="ＭＳ Ｐゴシック"/>
        <family val="2"/>
        <charset val="128"/>
        <scheme val="minor"/>
      </rPr>
      <t>81</t>
    </r>
    <phoneticPr fontId="56"/>
  </si>
  <si>
    <t>GPWM6_GPWMH60</t>
  </si>
  <si>
    <t>GPWM6_GPWMH61</t>
  </si>
  <si>
    <t>GPWM5_GPWMH50</t>
  </si>
  <si>
    <t>GPWM5_GPWMH51</t>
  </si>
  <si>
    <t>GPWM4_GPWMH40</t>
  </si>
  <si>
    <t>GPWM4_GPWMH41</t>
  </si>
  <si>
    <t>GPWM0_GPWMH00</t>
  </si>
  <si>
    <t>GPWM0_GPWMH01</t>
  </si>
  <si>
    <t>GPWM0_GPWM00</t>
  </si>
  <si>
    <t>GPWM0_GPWM01</t>
  </si>
  <si>
    <t>GPWM1_GPWM10</t>
  </si>
  <si>
    <t>GPWM1_GPWM11</t>
  </si>
  <si>
    <t>GPWM2_GPWM20</t>
  </si>
  <si>
    <t>GPWM2_GPWM21</t>
  </si>
  <si>
    <t>GPWM3_GPWM30</t>
  </si>
  <si>
    <t>GPWM3_GPWM31</t>
  </si>
  <si>
    <t>GPWM4_GPWM40</t>
  </si>
  <si>
    <t>GPWM4_GPWM41</t>
  </si>
  <si>
    <t>GPWM5_GPWM50</t>
  </si>
  <si>
    <t>GPWM5_GPWM51</t>
  </si>
  <si>
    <t>GPWM6_GPWM60</t>
  </si>
  <si>
    <t>GPWM6_GPWM61</t>
  </si>
  <si>
    <t>GPWM7_GPWM70</t>
  </si>
  <si>
    <t>GPWM7_GPWM71</t>
  </si>
  <si>
    <t>GPWM8_GPWM80</t>
  </si>
  <si>
    <t>GPWM8_GPWM81</t>
  </si>
  <si>
    <t>GPWM9_GPWM90</t>
  </si>
  <si>
    <t>GPWM9_GPWM91</t>
  </si>
  <si>
    <t>GPWMA_GPWMA0</t>
  </si>
  <si>
    <t>GPWMA_GPWMA1</t>
  </si>
  <si>
    <t>GPWMB_GPWMB0</t>
  </si>
  <si>
    <t>GPWMB_GPWMB1</t>
  </si>
  <si>
    <t>GPWM8_GPWMH80</t>
  </si>
  <si>
    <t>GPWM8_GPWMH81</t>
  </si>
  <si>
    <t>GPWM7_GPWMH70</t>
  </si>
  <si>
    <t>GPWM7_GPWMH71</t>
  </si>
  <si>
    <t>GPWM3_GPWMH30</t>
  </si>
  <si>
    <t>GPWM3_GPWMH31</t>
  </si>
  <si>
    <t>GPWM2_GPWMH20</t>
  </si>
  <si>
    <t>GPWM2_GPWMH21</t>
  </si>
  <si>
    <t>GPWM1_GPWMH10</t>
  </si>
  <si>
    <t>GPWM1_GPWMH11</t>
  </si>
  <si>
    <t>GPWM0_GPWMST0</t>
  </si>
  <si>
    <t>GPWM1_GPWMST1</t>
  </si>
  <si>
    <t>GPWM2_GPWMST2</t>
  </si>
  <si>
    <t>GPWM3_GPWMST3</t>
  </si>
  <si>
    <t>GPWM4_GPWMST4</t>
  </si>
  <si>
    <t>GPWM5_GPWMST5</t>
  </si>
  <si>
    <t>GPWM6_GPWMST6</t>
  </si>
  <si>
    <t>GPWM7_GPWMST7</t>
  </si>
  <si>
    <t>GPWM8_GPWMST8</t>
  </si>
  <si>
    <t>GPWM9_GPWMST9</t>
  </si>
  <si>
    <t>GPWMA_GPWMSTA</t>
  </si>
  <si>
    <t>GPWMB_GPWMSTB</t>
  </si>
  <si>
    <t>KM1M7AF02N/M/K</t>
    <phoneticPr fontId="13" type="noConversion"/>
  </si>
  <si>
    <t>VGA0</t>
    <phoneticPr fontId="58"/>
  </si>
  <si>
    <t>VGA0_VGAN0</t>
  </si>
  <si>
    <t>CMP2_CMPOT21</t>
  </si>
  <si>
    <t>CMP2_CMPOT20</t>
  </si>
  <si>
    <t>CMP1_CMPOT11</t>
  </si>
  <si>
    <t>CMP0_CMPOT01</t>
  </si>
  <si>
    <t>CMP3_CMPOT31</t>
  </si>
  <si>
    <t>CMP3_CMPOT30</t>
  </si>
  <si>
    <t>CMP4_CMPOT41</t>
  </si>
  <si>
    <t>CMP4_CMPOT40</t>
  </si>
  <si>
    <t>CMP0_CMPIN0</t>
  </si>
  <si>
    <t>CMP1_CMPIN1</t>
  </si>
  <si>
    <t>CMP2_CMPIN2</t>
  </si>
  <si>
    <t>CMP4_CMPIN4</t>
  </si>
  <si>
    <t>SBI7CD</t>
    <phoneticPr fontId="56"/>
  </si>
  <si>
    <t>SBI7AB</t>
    <phoneticPr fontId="56"/>
  </si>
  <si>
    <t>DAOT0</t>
    <phoneticPr fontId="56"/>
  </si>
  <si>
    <t>DAOT1</t>
    <phoneticPr fontId="56"/>
  </si>
  <si>
    <t>VGA</t>
  </si>
  <si>
    <t>CMP</t>
  </si>
  <si>
    <t>SPI</t>
  </si>
  <si>
    <t>LIN</t>
  </si>
  <si>
    <t>Serial301</t>
  </si>
  <si>
    <t>Serial401</t>
  </si>
  <si>
    <t>Serial501</t>
  </si>
  <si>
    <t>Serial601</t>
  </si>
  <si>
    <t>Serial502</t>
  </si>
  <si>
    <t>Serial602</t>
  </si>
  <si>
    <t>CMP0_CMPOT00</t>
  </si>
  <si>
    <t>CMP1_CMPOT10</t>
  </si>
  <si>
    <t>VGA2_VGAP2</t>
  </si>
  <si>
    <t>VGA2_VGAN2</t>
  </si>
  <si>
    <t>VGA1_VGAN1</t>
  </si>
  <si>
    <t>VGA1_VGAP1</t>
  </si>
  <si>
    <t>Serial101</t>
  </si>
  <si>
    <t>Serial201</t>
  </si>
  <si>
    <t>Serial405</t>
  </si>
  <si>
    <t>Serial205</t>
  </si>
  <si>
    <t>Serial107</t>
  </si>
  <si>
    <t>Serial206</t>
  </si>
  <si>
    <t>SPI0_SBT0</t>
  </si>
  <si>
    <t>Serial207</t>
  </si>
  <si>
    <t>Serial208</t>
  </si>
  <si>
    <t>Serial310</t>
  </si>
  <si>
    <t>Serial209</t>
  </si>
  <si>
    <t>Serial503</t>
  </si>
  <si>
    <t>Serial210</t>
  </si>
  <si>
    <t>Serial504</t>
  </si>
  <si>
    <t>Serial110</t>
  </si>
  <si>
    <t>Serial211</t>
  </si>
  <si>
    <t>Serial212</t>
  </si>
  <si>
    <t>Serial213</t>
  </si>
  <si>
    <t>VGA0</t>
  </si>
  <si>
    <t>KM1M7AF03N/M/K</t>
    <phoneticPr fontId="13" type="noConversion"/>
  </si>
  <si>
    <t>GPIO-&gt;IOP0MD</t>
    <phoneticPr fontId="56"/>
  </si>
  <si>
    <r>
      <t>GPWM</t>
    </r>
    <r>
      <rPr>
        <sz val="11"/>
        <color theme="1"/>
        <rFont val="ＭＳ Ｐゴシック"/>
        <family val="2"/>
        <charset val="128"/>
        <scheme val="minor"/>
      </rPr>
      <t>H</t>
    </r>
    <r>
      <rPr>
        <sz val="11"/>
        <color theme="1"/>
        <rFont val="ＭＳ Ｐゴシック"/>
        <family val="2"/>
        <charset val="128"/>
        <scheme val="minor"/>
      </rPr>
      <t>00</t>
    </r>
    <phoneticPr fontId="58"/>
  </si>
  <si>
    <t>DAC_DAOT0</t>
    <phoneticPr fontId="56"/>
  </si>
  <si>
    <t>DAC_DAOT1</t>
    <phoneticPr fontId="56"/>
  </si>
  <si>
    <t>KM1M7AF03N/M/K</t>
  </si>
  <si>
    <t>KM1M7AF02N/M/K</t>
  </si>
  <si>
    <t>SPI3</t>
    <phoneticPr fontId="13" type="noConversion"/>
  </si>
  <si>
    <t>SPI2</t>
  </si>
  <si>
    <t>入出力</t>
    <rPh sb="0" eb="3">
      <t>ニュウシュツリョク</t>
    </rPh>
    <phoneticPr fontId="56"/>
  </si>
  <si>
    <t>Serial wire output pin</t>
  </si>
  <si>
    <t>Trace data 1 pin</t>
  </si>
  <si>
    <t>Trace data 2 pin</t>
  </si>
  <si>
    <t>Trace data 3 pin</t>
  </si>
  <si>
    <t>O</t>
    <phoneticPr fontId="56"/>
  </si>
  <si>
    <t>Trace clock pin</t>
    <phoneticPr fontId="56"/>
  </si>
  <si>
    <t>Trace data 0 pin</t>
    <phoneticPr fontId="56"/>
  </si>
  <si>
    <r>
      <t xml:space="preserve">Trace clock </t>
    </r>
    <r>
      <rPr>
        <sz val="11"/>
        <color theme="1"/>
        <rFont val="ＭＳ Ｐゴシック"/>
        <family val="2"/>
        <charset val="128"/>
        <scheme val="minor"/>
      </rPr>
      <t xml:space="preserve">output </t>
    </r>
    <r>
      <rPr>
        <sz val="11"/>
        <color theme="1"/>
        <rFont val="ＭＳ Ｐゴシック"/>
        <family val="2"/>
        <charset val="128"/>
        <scheme val="minor"/>
      </rPr>
      <t>pin</t>
    </r>
    <phoneticPr fontId="56"/>
  </si>
  <si>
    <t>Trace data 0 output pin</t>
    <phoneticPr fontId="56"/>
  </si>
  <si>
    <r>
      <t>Trace data 1</t>
    </r>
    <r>
      <rPr>
        <sz val="11"/>
        <color theme="1"/>
        <rFont val="ＭＳ Ｐゴシック"/>
        <family val="2"/>
        <charset val="128"/>
        <scheme val="minor"/>
      </rPr>
      <t xml:space="preserve"> output</t>
    </r>
    <r>
      <rPr>
        <sz val="11"/>
        <color theme="1"/>
        <rFont val="ＭＳ Ｐゴシック"/>
        <family val="2"/>
        <charset val="128"/>
        <scheme val="minor"/>
      </rPr>
      <t xml:space="preserve"> pin</t>
    </r>
    <phoneticPr fontId="56"/>
  </si>
  <si>
    <r>
      <t xml:space="preserve">Trace data 2 </t>
    </r>
    <r>
      <rPr>
        <sz val="11"/>
        <color theme="1"/>
        <rFont val="ＭＳ Ｐゴシック"/>
        <family val="2"/>
        <charset val="128"/>
        <scheme val="minor"/>
      </rPr>
      <t xml:space="preserve">output </t>
    </r>
    <r>
      <rPr>
        <sz val="11"/>
        <color theme="1"/>
        <rFont val="ＭＳ Ｐゴシック"/>
        <family val="2"/>
        <charset val="128"/>
        <scheme val="minor"/>
      </rPr>
      <t>pin</t>
    </r>
    <phoneticPr fontId="56"/>
  </si>
  <si>
    <r>
      <t xml:space="preserve">Trace data 3 </t>
    </r>
    <r>
      <rPr>
        <sz val="11"/>
        <color theme="1"/>
        <rFont val="ＭＳ Ｐゴシック"/>
        <family val="2"/>
        <charset val="128"/>
        <scheme val="minor"/>
      </rPr>
      <t xml:space="preserve">output </t>
    </r>
    <r>
      <rPr>
        <sz val="11"/>
        <color theme="1"/>
        <rFont val="ＭＳ Ｐゴシック"/>
        <family val="2"/>
        <charset val="128"/>
        <scheme val="minor"/>
      </rPr>
      <t>pin</t>
    </r>
    <phoneticPr fontId="56"/>
  </si>
  <si>
    <t>Trace data * output pin</t>
    <phoneticPr fontId="56"/>
  </si>
  <si>
    <t>説明(L説)</t>
    <rPh sb="0" eb="2">
      <t>セツメイ</t>
    </rPh>
    <rPh sb="4" eb="5">
      <t>セツ</t>
    </rPh>
    <phoneticPr fontId="58"/>
  </si>
  <si>
    <t>説明形式(pinconfig)</t>
    <rPh sb="0" eb="2">
      <t>セツメイ</t>
    </rPh>
    <rPh sb="2" eb="4">
      <t>ケイシキ</t>
    </rPh>
    <phoneticPr fontId="58"/>
  </si>
  <si>
    <t>Pin Component List記載</t>
    <rPh sb="18" eb="20">
      <t>キサイ</t>
    </rPh>
    <phoneticPr fontId="56"/>
  </si>
  <si>
    <t>Pin Name</t>
    <phoneticPr fontId="58"/>
  </si>
  <si>
    <t>Description (  '*', '$' are wildcard characters)</t>
    <phoneticPr fontId="58"/>
  </si>
  <si>
    <t>Type</t>
    <phoneticPr fontId="58"/>
  </si>
  <si>
    <t>External interrupt 0</t>
    <phoneticPr fontId="56"/>
  </si>
  <si>
    <t>External interrupt 1</t>
  </si>
  <si>
    <t>External interrupt 2</t>
  </si>
  <si>
    <t>External interrupt 3</t>
  </si>
  <si>
    <t>External interrupt 4</t>
  </si>
  <si>
    <t>External interrupt 5</t>
  </si>
  <si>
    <t>External interrupt 6</t>
  </si>
  <si>
    <t>External interrupt 7</t>
  </si>
  <si>
    <t>External interrupt 8</t>
  </si>
  <si>
    <t>External interrupt 9</t>
  </si>
  <si>
    <t>External interrupt 10</t>
  </si>
  <si>
    <t>External interrupt 11</t>
  </si>
  <si>
    <t>External interrupt 12</t>
  </si>
  <si>
    <t>External interrupt 13</t>
  </si>
  <si>
    <t>External interrupt 14</t>
  </si>
  <si>
    <t>External interrupt 15</t>
  </si>
  <si>
    <t>External interrupt 16</t>
  </si>
  <si>
    <t>External interrupt 17</t>
  </si>
  <si>
    <t>External interrupt 18</t>
  </si>
  <si>
    <t>External interrupt 19</t>
  </si>
  <si>
    <t>I</t>
    <phoneticPr fontId="56"/>
  </si>
  <si>
    <t>External interrupt 0 input pin</t>
  </si>
  <si>
    <t>External interrupt 0 input pin</t>
    <phoneticPr fontId="56"/>
  </si>
  <si>
    <t>External interrupt 1 input pin</t>
  </si>
  <si>
    <t>External interrupt 2 input pin</t>
  </si>
  <si>
    <t>External interrupt 3 input pin</t>
  </si>
  <si>
    <t>External interrupt 4 input pin</t>
  </si>
  <si>
    <t>External interrupt 5 input pin</t>
  </si>
  <si>
    <t>External interrupt 6 input pin</t>
  </si>
  <si>
    <t>External interrupt 7 input pin</t>
  </si>
  <si>
    <t>External interrupt 8 input pin</t>
  </si>
  <si>
    <t>External interrupt 9 input pin</t>
  </si>
  <si>
    <t>External interrupt 10 input pin</t>
  </si>
  <si>
    <t>External interrupt 11 input pin</t>
  </si>
  <si>
    <t>External interrupt 12 input pin</t>
  </si>
  <si>
    <t>External interrupt 13 input pin</t>
  </si>
  <si>
    <t>External interrupt 14 input pin</t>
  </si>
  <si>
    <t>External interrupt 15 input pin</t>
  </si>
  <si>
    <t>External interrupt 16 input pin</t>
  </si>
  <si>
    <t>External interrupt 17 input pin</t>
  </si>
  <si>
    <t>External interrupt 18 input pin</t>
  </si>
  <si>
    <t>External interrupt 19 input pin</t>
  </si>
  <si>
    <r>
      <t>I</t>
    </r>
    <r>
      <rPr>
        <sz val="11"/>
        <color theme="1"/>
        <rFont val="ＭＳ Ｐゴシック"/>
        <family val="2"/>
        <charset val="128"/>
        <scheme val="minor"/>
      </rPr>
      <t>/O</t>
    </r>
    <phoneticPr fontId="56"/>
  </si>
  <si>
    <t>Timer pin A</t>
    <phoneticPr fontId="56"/>
  </si>
  <si>
    <t>Timer pin B</t>
    <phoneticPr fontId="56"/>
  </si>
  <si>
    <r>
      <t>Timer 0 input/output pin</t>
    </r>
    <r>
      <rPr>
        <sz val="11"/>
        <color theme="1"/>
        <rFont val="ＭＳ Ｐゴシック"/>
        <family val="2"/>
        <charset val="128"/>
        <scheme val="minor"/>
      </rPr>
      <t xml:space="preserve"> A</t>
    </r>
    <phoneticPr fontId="56"/>
  </si>
  <si>
    <t>Timer 0 input/output pin B</t>
  </si>
  <si>
    <t>Timer 0 input/output pin B</t>
    <phoneticPr fontId="56"/>
  </si>
  <si>
    <t>Timer 1 input/output pin A</t>
  </si>
  <si>
    <t>Timer 1 input/output pin B</t>
  </si>
  <si>
    <t>Timer 2 input/output pin A</t>
  </si>
  <si>
    <t>Timer 2 input/output pin B</t>
  </si>
  <si>
    <t>Timer 3 input/output pin A</t>
  </si>
  <si>
    <t>Timer 3 input/output pin B</t>
  </si>
  <si>
    <t>Timer 4 input/output pin A</t>
  </si>
  <si>
    <t>Timer 4 input/output pin B</t>
  </si>
  <si>
    <t>Timer 5 input/output pin A</t>
  </si>
  <si>
    <t>Timer 5 input/output pin B</t>
  </si>
  <si>
    <t>Timer 6 input/output pin A</t>
  </si>
  <si>
    <t>Timer 6 input/output pin B</t>
  </si>
  <si>
    <t>Timer 7 input/output pin A</t>
  </si>
  <si>
    <t>Timer 7 input/output pin B</t>
  </si>
  <si>
    <t>Timer 8 input/output pin A</t>
  </si>
  <si>
    <t>Timer 8 input/output pin B</t>
  </si>
  <si>
    <t>Timer 9 input/output pin A</t>
  </si>
  <si>
    <t>Timer 9 input/output pin B</t>
  </si>
  <si>
    <t>Timer 10 input/output pin A</t>
  </si>
  <si>
    <t>Timer 10 input/output pin B</t>
  </si>
  <si>
    <t>Timer 11 input/output pin A</t>
  </si>
  <si>
    <t>Timer 11 input/output pin B</t>
  </si>
  <si>
    <t>Timer 12 input/output pin A</t>
  </si>
  <si>
    <t>Timer 12 input/output pin B</t>
  </si>
  <si>
    <t>Timer 13 input/output pin A</t>
  </si>
  <si>
    <t>Timer 13 input/output pin B</t>
  </si>
  <si>
    <t>Timer 20 input/output pin A</t>
  </si>
  <si>
    <t>Timer 20 input/output pin A</t>
    <phoneticPr fontId="56"/>
  </si>
  <si>
    <t>Timer 20 input/output pin B</t>
  </si>
  <si>
    <t>Timer 20 input/output pin B</t>
    <phoneticPr fontId="56"/>
  </si>
  <si>
    <t>Timer 21 input/output pin A</t>
  </si>
  <si>
    <t>Timer 21 input/output pin B</t>
  </si>
  <si>
    <t>Timer 22 input/output pin A</t>
  </si>
  <si>
    <t>Timer 22 input/output pin B</t>
  </si>
  <si>
    <t>Timer 23 input/output pin A</t>
  </si>
  <si>
    <t>Timer 23 input/output pin B</t>
  </si>
  <si>
    <t>Timer 24 input/output pin A</t>
  </si>
  <si>
    <t>Timer 24 input/output pin B</t>
  </si>
  <si>
    <t>Timer 25 input/output pin A</t>
  </si>
  <si>
    <t>Timer 25 input/output pin B</t>
  </si>
  <si>
    <t>Timer 0 input/output pin A</t>
  </si>
  <si>
    <t>GPWM output pin</t>
    <phoneticPr fontId="56"/>
  </si>
  <si>
    <t>GPWM0 channel0 output pin</t>
    <phoneticPr fontId="56"/>
  </si>
  <si>
    <t>GPWM1 channel0 output pin</t>
  </si>
  <si>
    <t>GPWM2 channel0 output pin</t>
  </si>
  <si>
    <t>GPWM3 channel0 output pin</t>
  </si>
  <si>
    <t>GPWM4 channel0 output pin</t>
  </si>
  <si>
    <t>GPWM5 channel0 output pin</t>
  </si>
  <si>
    <t>GPWM6 channel0 output pin</t>
  </si>
  <si>
    <t>GPWM7 channel0 output pin</t>
  </si>
  <si>
    <t>GPWM8 channel0 output pin</t>
  </si>
  <si>
    <t>GPWM9 channel0 output pin</t>
  </si>
  <si>
    <t>GPWMA channel0 output pin</t>
  </si>
  <si>
    <t>GPWMB channel0 output pin</t>
  </si>
  <si>
    <t>GPWM0 channel0 high-resolution output pin</t>
    <phoneticPr fontId="56"/>
  </si>
  <si>
    <t>GPWM1 channel0 high-resolution output pin</t>
  </si>
  <si>
    <t>GPWM2 channel0 high-resolution output pin</t>
  </si>
  <si>
    <t>GPWM3 channel0 high-resolution output pin</t>
  </si>
  <si>
    <t>GPWM4 channel0 high-resolution output pin</t>
  </si>
  <si>
    <t>GPWM5 channel0 high-resolution output pin</t>
  </si>
  <si>
    <t>GPWM6 channel0 high-resolution output pin</t>
  </si>
  <si>
    <t>GPWM7 channel0 high-resolution output pin</t>
  </si>
  <si>
    <t>GPWM8 channel0 high-resolution output pin</t>
  </si>
  <si>
    <t>GPWM0 channel1 output pin</t>
  </si>
  <si>
    <t>GPWM0 channel1 high-resolution output pin</t>
  </si>
  <si>
    <t>GPWM1 channel1 output pin</t>
  </si>
  <si>
    <t>GPWM1 channel1 high-resolution output pin</t>
  </si>
  <si>
    <t>GPWM2 channel1 output pin</t>
  </si>
  <si>
    <t>GPWM2 channel1 high-resolution output pin</t>
  </si>
  <si>
    <t>GPWM3 channel1 output pin</t>
  </si>
  <si>
    <t>GPWM3 channel1 high-resolution output pin</t>
  </si>
  <si>
    <t>GPWM4 channel1 output pin</t>
  </si>
  <si>
    <t>GPWM4 channel1 high-resolution output pin</t>
  </si>
  <si>
    <t>GPWM5 channel1 output pin</t>
  </si>
  <si>
    <t>GPWM5 channel1 high-resolution output pin</t>
  </si>
  <si>
    <t>GPWM6 channel1 output pin</t>
  </si>
  <si>
    <t>GPWM6 channel1 high-resolution output pin</t>
  </si>
  <si>
    <t>GPWM7 channel1 output pin</t>
  </si>
  <si>
    <t>GPWM7 channel1 high-resolution output pin</t>
  </si>
  <si>
    <t>GPWM8 channel1 output pin</t>
  </si>
  <si>
    <t>GPWM8 channel1 high-resolution output pin</t>
  </si>
  <si>
    <t>GPWM9 channel1 output pin</t>
  </si>
  <si>
    <t>GPWMB channel1 output pin</t>
  </si>
  <si>
    <t>GPWMA channel1 output pin</t>
  </si>
  <si>
    <r>
      <t>GPWM</t>
    </r>
    <r>
      <rPr>
        <sz val="11"/>
        <color theme="1"/>
        <rFont val="ＭＳ Ｐゴシック"/>
        <family val="2"/>
        <charset val="128"/>
        <scheme val="minor"/>
      </rPr>
      <t>*</t>
    </r>
    <r>
      <rPr>
        <sz val="11"/>
        <color theme="1"/>
        <rFont val="ＭＳ Ｐゴシック"/>
        <family val="2"/>
        <charset val="128"/>
        <scheme val="minor"/>
      </rPr>
      <t>_GPWM</t>
    </r>
    <r>
      <rPr>
        <sz val="11"/>
        <color theme="1"/>
        <rFont val="ＭＳ Ｐゴシック"/>
        <family val="2"/>
        <charset val="128"/>
        <scheme val="minor"/>
      </rPr>
      <t>*$</t>
    </r>
    <phoneticPr fontId="56"/>
  </si>
  <si>
    <r>
      <t>GPWM</t>
    </r>
    <r>
      <rPr>
        <sz val="11"/>
        <color theme="1"/>
        <rFont val="ＭＳ Ｐゴシック"/>
        <family val="2"/>
        <charset val="128"/>
        <scheme val="minor"/>
      </rPr>
      <t>*</t>
    </r>
    <r>
      <rPr>
        <sz val="11"/>
        <color theme="1"/>
        <rFont val="ＭＳ Ｐゴシック"/>
        <family val="2"/>
        <charset val="128"/>
        <scheme val="minor"/>
      </rPr>
      <t xml:space="preserve"> channel</t>
    </r>
    <r>
      <rPr>
        <sz val="11"/>
        <color theme="1"/>
        <rFont val="ＭＳ Ｐゴシック"/>
        <family val="2"/>
        <charset val="128"/>
        <scheme val="minor"/>
      </rPr>
      <t>$</t>
    </r>
    <r>
      <rPr>
        <sz val="11"/>
        <color theme="1"/>
        <rFont val="ＭＳ Ｐゴシック"/>
        <family val="2"/>
        <charset val="128"/>
        <scheme val="minor"/>
      </rPr>
      <t xml:space="preserve"> output pin</t>
    </r>
    <phoneticPr fontId="56"/>
  </si>
  <si>
    <r>
      <t>GPWM*</t>
    </r>
    <r>
      <rPr>
        <sz val="11"/>
        <color theme="1"/>
        <rFont val="ＭＳ Ｐゴシック"/>
        <family val="2"/>
        <charset val="128"/>
        <scheme val="minor"/>
      </rPr>
      <t>_GPWM</t>
    </r>
    <r>
      <rPr>
        <sz val="11"/>
        <color theme="1"/>
        <rFont val="ＭＳ Ｐゴシック"/>
        <family val="2"/>
        <charset val="128"/>
        <scheme val="minor"/>
      </rPr>
      <t>H*$</t>
    </r>
    <phoneticPr fontId="56"/>
  </si>
  <si>
    <r>
      <t>GPWM</t>
    </r>
    <r>
      <rPr>
        <sz val="11"/>
        <color theme="1"/>
        <rFont val="ＭＳ Ｐゴシック"/>
        <family val="2"/>
        <charset val="128"/>
        <scheme val="minor"/>
      </rPr>
      <t>*</t>
    </r>
    <r>
      <rPr>
        <sz val="11"/>
        <color theme="1"/>
        <rFont val="ＭＳ Ｐゴシック"/>
        <family val="2"/>
        <charset val="128"/>
        <scheme val="minor"/>
      </rPr>
      <t xml:space="preserve"> channel</t>
    </r>
    <r>
      <rPr>
        <sz val="11"/>
        <color theme="1"/>
        <rFont val="ＭＳ Ｐゴシック"/>
        <family val="2"/>
        <charset val="128"/>
        <scheme val="minor"/>
      </rPr>
      <t>$</t>
    </r>
    <r>
      <rPr>
        <sz val="11"/>
        <color theme="1"/>
        <rFont val="ＭＳ Ｐゴシック"/>
        <family val="2"/>
        <charset val="128"/>
        <scheme val="minor"/>
      </rPr>
      <t xml:space="preserve"> high-resolution output pin</t>
    </r>
    <phoneticPr fontId="56"/>
  </si>
  <si>
    <r>
      <t xml:space="preserve">Count </t>
    </r>
    <r>
      <rPr>
        <sz val="11"/>
        <color theme="1"/>
        <rFont val="ＭＳ Ｐゴシック"/>
        <family val="2"/>
        <charset val="128"/>
        <scheme val="minor"/>
      </rPr>
      <t>s</t>
    </r>
    <r>
      <rPr>
        <sz val="11"/>
        <color theme="1"/>
        <rFont val="ＭＳ Ｐゴシック"/>
        <family val="2"/>
        <charset val="128"/>
        <scheme val="minor"/>
      </rPr>
      <t xml:space="preserve">tate </t>
    </r>
    <r>
      <rPr>
        <sz val="11"/>
        <color theme="1"/>
        <rFont val="ＭＳ Ｐゴシック"/>
        <family val="2"/>
        <charset val="128"/>
        <scheme val="minor"/>
      </rPr>
      <t>o</t>
    </r>
    <r>
      <rPr>
        <sz val="11"/>
        <color theme="1"/>
        <rFont val="ＭＳ Ｐゴシック"/>
        <family val="2"/>
        <charset val="128"/>
        <scheme val="minor"/>
      </rPr>
      <t xml:space="preserve">utput </t>
    </r>
    <r>
      <rPr>
        <sz val="11"/>
        <color theme="1"/>
        <rFont val="ＭＳ Ｐゴシック"/>
        <family val="2"/>
        <charset val="128"/>
        <scheme val="minor"/>
      </rPr>
      <t>p</t>
    </r>
    <r>
      <rPr>
        <sz val="11"/>
        <color theme="1"/>
        <rFont val="ＭＳ Ｐゴシック"/>
        <family val="2"/>
        <charset val="128"/>
        <scheme val="minor"/>
      </rPr>
      <t>in</t>
    </r>
    <phoneticPr fontId="56"/>
  </si>
  <si>
    <r>
      <t>G</t>
    </r>
    <r>
      <rPr>
        <sz val="11"/>
        <color theme="1"/>
        <rFont val="ＭＳ Ｐゴシック"/>
        <family val="2"/>
        <charset val="128"/>
        <scheme val="minor"/>
      </rPr>
      <t>PWM0</t>
    </r>
    <r>
      <rPr>
        <sz val="11"/>
        <color theme="1"/>
        <rFont val="ＭＳ Ｐゴシック"/>
        <family val="2"/>
        <charset val="128"/>
        <scheme val="minor"/>
      </rPr>
      <t xml:space="preserve"> count state output pin</t>
    </r>
    <phoneticPr fontId="56"/>
  </si>
  <si>
    <r>
      <t>G</t>
    </r>
    <r>
      <rPr>
        <sz val="11"/>
        <color theme="1"/>
        <rFont val="ＭＳ Ｐゴシック"/>
        <family val="2"/>
        <charset val="128"/>
        <scheme val="minor"/>
      </rPr>
      <t>PWM1 count state output pin</t>
    </r>
    <r>
      <rPr>
        <sz val="11"/>
        <color theme="1"/>
        <rFont val="ＭＳ Ｐゴシック"/>
        <family val="2"/>
        <charset val="128"/>
        <scheme val="minor"/>
      </rPr>
      <t/>
    </r>
  </si>
  <si>
    <r>
      <t>G</t>
    </r>
    <r>
      <rPr>
        <sz val="11"/>
        <color theme="1"/>
        <rFont val="ＭＳ Ｐゴシック"/>
        <family val="2"/>
        <charset val="128"/>
        <scheme val="minor"/>
      </rPr>
      <t>PWM2 count state output pin</t>
    </r>
    <r>
      <rPr>
        <sz val="11"/>
        <color theme="1"/>
        <rFont val="ＭＳ Ｐゴシック"/>
        <family val="2"/>
        <charset val="128"/>
        <scheme val="minor"/>
      </rPr>
      <t/>
    </r>
  </si>
  <si>
    <r>
      <t>G</t>
    </r>
    <r>
      <rPr>
        <sz val="11"/>
        <color theme="1"/>
        <rFont val="ＭＳ Ｐゴシック"/>
        <family val="2"/>
        <charset val="128"/>
        <scheme val="minor"/>
      </rPr>
      <t>PWM3 count state output pin</t>
    </r>
    <r>
      <rPr>
        <sz val="11"/>
        <color theme="1"/>
        <rFont val="ＭＳ Ｐゴシック"/>
        <family val="2"/>
        <charset val="128"/>
        <scheme val="minor"/>
      </rPr>
      <t/>
    </r>
  </si>
  <si>
    <r>
      <t>G</t>
    </r>
    <r>
      <rPr>
        <sz val="11"/>
        <color theme="1"/>
        <rFont val="ＭＳ Ｐゴシック"/>
        <family val="2"/>
        <charset val="128"/>
        <scheme val="minor"/>
      </rPr>
      <t>PWM4 count state output pin</t>
    </r>
    <r>
      <rPr>
        <sz val="11"/>
        <color theme="1"/>
        <rFont val="ＭＳ Ｐゴシック"/>
        <family val="2"/>
        <charset val="128"/>
        <scheme val="minor"/>
      </rPr>
      <t/>
    </r>
  </si>
  <si>
    <r>
      <t>G</t>
    </r>
    <r>
      <rPr>
        <sz val="11"/>
        <color theme="1"/>
        <rFont val="ＭＳ Ｐゴシック"/>
        <family val="2"/>
        <charset val="128"/>
        <scheme val="minor"/>
      </rPr>
      <t>PWM5 count state output pin</t>
    </r>
    <r>
      <rPr>
        <sz val="11"/>
        <color theme="1"/>
        <rFont val="ＭＳ Ｐゴシック"/>
        <family val="2"/>
        <charset val="128"/>
        <scheme val="minor"/>
      </rPr>
      <t/>
    </r>
  </si>
  <si>
    <r>
      <t>G</t>
    </r>
    <r>
      <rPr>
        <sz val="11"/>
        <color theme="1"/>
        <rFont val="ＭＳ Ｐゴシック"/>
        <family val="2"/>
        <charset val="128"/>
        <scheme val="minor"/>
      </rPr>
      <t>PWM6 count state output pin</t>
    </r>
    <r>
      <rPr>
        <sz val="11"/>
        <color theme="1"/>
        <rFont val="ＭＳ Ｐゴシック"/>
        <family val="2"/>
        <charset val="128"/>
        <scheme val="minor"/>
      </rPr>
      <t/>
    </r>
  </si>
  <si>
    <r>
      <t>G</t>
    </r>
    <r>
      <rPr>
        <sz val="11"/>
        <color theme="1"/>
        <rFont val="ＭＳ Ｐゴシック"/>
        <family val="2"/>
        <charset val="128"/>
        <scheme val="minor"/>
      </rPr>
      <t>PWM7 count state output pin</t>
    </r>
    <r>
      <rPr>
        <sz val="11"/>
        <color theme="1"/>
        <rFont val="ＭＳ Ｐゴシック"/>
        <family val="2"/>
        <charset val="128"/>
        <scheme val="minor"/>
      </rPr>
      <t/>
    </r>
  </si>
  <si>
    <r>
      <t>G</t>
    </r>
    <r>
      <rPr>
        <sz val="11"/>
        <color theme="1"/>
        <rFont val="ＭＳ Ｐゴシック"/>
        <family val="2"/>
        <charset val="128"/>
        <scheme val="minor"/>
      </rPr>
      <t>PWM8 count state output pin</t>
    </r>
    <r>
      <rPr>
        <sz val="11"/>
        <color theme="1"/>
        <rFont val="ＭＳ Ｐゴシック"/>
        <family val="2"/>
        <charset val="128"/>
        <scheme val="minor"/>
      </rPr>
      <t/>
    </r>
  </si>
  <si>
    <r>
      <t>G</t>
    </r>
    <r>
      <rPr>
        <sz val="11"/>
        <color theme="1"/>
        <rFont val="ＭＳ Ｐゴシック"/>
        <family val="2"/>
        <charset val="128"/>
        <scheme val="minor"/>
      </rPr>
      <t>PWM9 count state output pin</t>
    </r>
    <r>
      <rPr>
        <sz val="11"/>
        <color theme="1"/>
        <rFont val="ＭＳ Ｐゴシック"/>
        <family val="2"/>
        <charset val="128"/>
        <scheme val="minor"/>
      </rPr>
      <t/>
    </r>
  </si>
  <si>
    <r>
      <t>GPWMA count state output pin</t>
    </r>
    <r>
      <rPr>
        <sz val="11"/>
        <color theme="1"/>
        <rFont val="ＭＳ Ｐゴシック"/>
        <family val="2"/>
        <charset val="128"/>
        <scheme val="minor"/>
      </rPr>
      <t/>
    </r>
    <phoneticPr fontId="56"/>
  </si>
  <si>
    <r>
      <t>GPWMB count state output pin</t>
    </r>
    <r>
      <rPr>
        <sz val="11"/>
        <color theme="1"/>
        <rFont val="ＭＳ Ｐゴシック"/>
        <family val="2"/>
        <charset val="128"/>
        <scheme val="minor"/>
      </rPr>
      <t/>
    </r>
    <phoneticPr fontId="56"/>
  </si>
  <si>
    <t>GPWM*_GPWMST*</t>
    <phoneticPr fontId="56"/>
  </si>
  <si>
    <r>
      <t>GPWM</t>
    </r>
    <r>
      <rPr>
        <sz val="11"/>
        <color theme="1"/>
        <rFont val="ＭＳ Ｐゴシック"/>
        <family val="2"/>
        <charset val="128"/>
        <scheme val="minor"/>
      </rPr>
      <t>*</t>
    </r>
    <r>
      <rPr>
        <sz val="11"/>
        <color theme="1"/>
        <rFont val="ＭＳ Ｐゴシック"/>
        <family val="2"/>
        <charset val="128"/>
        <scheme val="minor"/>
      </rPr>
      <t xml:space="preserve"> count state output pin</t>
    </r>
    <phoneticPr fontId="56"/>
  </si>
  <si>
    <t>Data pin</t>
    <phoneticPr fontId="56"/>
  </si>
  <si>
    <t>Clock pin</t>
    <phoneticPr fontId="56"/>
  </si>
  <si>
    <t>I/O</t>
  </si>
  <si>
    <t>I/O</t>
    <phoneticPr fontId="56"/>
  </si>
  <si>
    <t>SPI0 data input pin</t>
    <phoneticPr fontId="56"/>
  </si>
  <si>
    <t>SPI1 data input pin</t>
  </si>
  <si>
    <t>SPI2 data input pin</t>
  </si>
  <si>
    <t>SPI3 data input pin</t>
  </si>
  <si>
    <t>SPI5 data input pin</t>
  </si>
  <si>
    <t>SPI6 data input pin</t>
  </si>
  <si>
    <t>SPI4 data input pin</t>
  </si>
  <si>
    <t>SPI* data input pin</t>
  </si>
  <si>
    <t>SPI7 data input pin</t>
  </si>
  <si>
    <t>UART1 data input pin</t>
    <phoneticPr fontId="56"/>
  </si>
  <si>
    <t>UART2 data input pin</t>
  </si>
  <si>
    <t>UART3 data input pin</t>
  </si>
  <si>
    <t>UART5 data input pin</t>
  </si>
  <si>
    <t>UART6 data input pin</t>
  </si>
  <si>
    <t>UART* data input pin</t>
  </si>
  <si>
    <t>LIN reception pin</t>
  </si>
  <si>
    <t>receive input pin</t>
    <phoneticPr fontId="56"/>
  </si>
  <si>
    <r>
      <t>SMBUS</t>
    </r>
    <r>
      <rPr>
        <sz val="11"/>
        <color theme="1"/>
        <rFont val="ＭＳ Ｐゴシック"/>
        <family val="2"/>
        <charset val="128"/>
        <scheme val="minor"/>
      </rPr>
      <t xml:space="preserve"> clock pin</t>
    </r>
    <phoneticPr fontId="56"/>
  </si>
  <si>
    <t>SMBUS clock pin</t>
  </si>
  <si>
    <t>A</t>
    <phoneticPr fontId="56"/>
  </si>
  <si>
    <r>
      <t>ADIN</t>
    </r>
    <r>
      <rPr>
        <sz val="11"/>
        <color theme="1"/>
        <rFont val="ＭＳ Ｐゴシック"/>
        <family val="2"/>
        <charset val="128"/>
        <scheme val="minor"/>
      </rPr>
      <t>*</t>
    </r>
    <phoneticPr fontId="56"/>
  </si>
  <si>
    <t>A/D0 conversion state output</t>
    <phoneticPr fontId="56"/>
  </si>
  <si>
    <t>A/D1 conversion state output</t>
  </si>
  <si>
    <t>A/D2 conversion state output</t>
  </si>
  <si>
    <t>A/D* conversion state output</t>
    <phoneticPr fontId="56"/>
  </si>
  <si>
    <r>
      <t>ADTRG</t>
    </r>
    <r>
      <rPr>
        <sz val="11"/>
        <color theme="1"/>
        <rFont val="ＭＳ Ｐゴシック"/>
        <family val="2"/>
        <charset val="128"/>
        <scheme val="minor"/>
      </rPr>
      <t>*</t>
    </r>
    <phoneticPr fontId="56"/>
  </si>
  <si>
    <r>
      <t>Variable g</t>
    </r>
    <r>
      <rPr>
        <sz val="11"/>
        <color theme="1"/>
        <rFont val="ＭＳ Ｐゴシック"/>
        <family val="2"/>
        <charset val="128"/>
        <scheme val="minor"/>
      </rPr>
      <t xml:space="preserve">ain </t>
    </r>
    <r>
      <rPr>
        <sz val="11"/>
        <color theme="1"/>
        <rFont val="ＭＳ Ｐゴシック"/>
        <family val="2"/>
        <charset val="128"/>
        <scheme val="minor"/>
      </rPr>
      <t>a</t>
    </r>
    <r>
      <rPr>
        <sz val="11"/>
        <color theme="1"/>
        <rFont val="ＭＳ Ｐゴシック"/>
        <family val="2"/>
        <charset val="128"/>
        <scheme val="minor"/>
      </rPr>
      <t>mplifier</t>
    </r>
    <r>
      <rPr>
        <sz val="11"/>
        <color theme="1"/>
        <rFont val="ＭＳ Ｐゴシック"/>
        <family val="2"/>
        <charset val="128"/>
        <scheme val="minor"/>
      </rPr>
      <t xml:space="preserve"> negative pin</t>
    </r>
    <phoneticPr fontId="56"/>
  </si>
  <si>
    <r>
      <t>Variable g</t>
    </r>
    <r>
      <rPr>
        <sz val="11"/>
        <color theme="1"/>
        <rFont val="ＭＳ Ｐゴシック"/>
        <family val="2"/>
        <charset val="128"/>
        <scheme val="minor"/>
      </rPr>
      <t xml:space="preserve">ain </t>
    </r>
    <r>
      <rPr>
        <sz val="11"/>
        <color theme="1"/>
        <rFont val="ＭＳ Ｐゴシック"/>
        <family val="2"/>
        <charset val="128"/>
        <scheme val="minor"/>
      </rPr>
      <t>a</t>
    </r>
    <r>
      <rPr>
        <sz val="11"/>
        <color theme="1"/>
        <rFont val="ＭＳ Ｐゴシック"/>
        <family val="2"/>
        <charset val="128"/>
        <scheme val="minor"/>
      </rPr>
      <t>mplifier</t>
    </r>
    <r>
      <rPr>
        <sz val="11"/>
        <color theme="1"/>
        <rFont val="ＭＳ Ｐゴシック"/>
        <family val="2"/>
        <charset val="128"/>
        <scheme val="minor"/>
      </rPr>
      <t xml:space="preserve"> positive pin</t>
    </r>
    <phoneticPr fontId="56"/>
  </si>
  <si>
    <t>Variable gain amplifier 0 negative input pin</t>
    <phoneticPr fontId="56"/>
  </si>
  <si>
    <r>
      <t>Variable gain amplifier 0</t>
    </r>
    <r>
      <rPr>
        <sz val="11"/>
        <color theme="1"/>
        <rFont val="ＭＳ Ｐゴシック"/>
        <family val="2"/>
        <charset val="128"/>
        <scheme val="minor"/>
      </rPr>
      <t xml:space="preserve"> positive</t>
    </r>
    <r>
      <rPr>
        <sz val="11"/>
        <color theme="1"/>
        <rFont val="ＭＳ Ｐゴシック"/>
        <family val="2"/>
        <charset val="128"/>
        <scheme val="minor"/>
      </rPr>
      <t xml:space="preserve"> 1 input</t>
    </r>
    <r>
      <rPr>
        <sz val="11"/>
        <color theme="1"/>
        <rFont val="ＭＳ Ｐゴシック"/>
        <family val="2"/>
        <charset val="128"/>
        <scheme val="minor"/>
      </rPr>
      <t xml:space="preserve"> pin</t>
    </r>
    <phoneticPr fontId="56"/>
  </si>
  <si>
    <r>
      <t>Variable gain amplifier 0</t>
    </r>
    <r>
      <rPr>
        <sz val="11"/>
        <color theme="1"/>
        <rFont val="ＭＳ Ｐゴシック"/>
        <family val="2"/>
        <charset val="128"/>
        <scheme val="minor"/>
      </rPr>
      <t xml:space="preserve"> positive</t>
    </r>
    <r>
      <rPr>
        <sz val="11"/>
        <color theme="1"/>
        <rFont val="ＭＳ Ｐゴシック"/>
        <family val="2"/>
        <charset val="128"/>
        <scheme val="minor"/>
      </rPr>
      <t xml:space="preserve"> 2 input pin</t>
    </r>
    <r>
      <rPr>
        <sz val="11"/>
        <color theme="1"/>
        <rFont val="ＭＳ Ｐゴシック"/>
        <family val="2"/>
        <charset val="128"/>
        <scheme val="minor"/>
      </rPr>
      <t/>
    </r>
  </si>
  <si>
    <r>
      <t>Variable gain amplifier 0</t>
    </r>
    <r>
      <rPr>
        <sz val="11"/>
        <color theme="1"/>
        <rFont val="ＭＳ Ｐゴシック"/>
        <family val="2"/>
        <charset val="128"/>
        <scheme val="minor"/>
      </rPr>
      <t xml:space="preserve"> positive</t>
    </r>
    <r>
      <rPr>
        <sz val="11"/>
        <color theme="1"/>
        <rFont val="ＭＳ Ｐゴシック"/>
        <family val="2"/>
        <charset val="128"/>
        <scheme val="minor"/>
      </rPr>
      <t xml:space="preserve"> 3 input pin</t>
    </r>
    <r>
      <rPr>
        <sz val="11"/>
        <color theme="1"/>
        <rFont val="ＭＳ Ｐゴシック"/>
        <family val="2"/>
        <charset val="128"/>
        <scheme val="minor"/>
      </rPr>
      <t/>
    </r>
  </si>
  <si>
    <t>Variable gain amplifier 1 negative input pin</t>
    <phoneticPr fontId="56"/>
  </si>
  <si>
    <t>Variable gain amplifier 2 negative input pin</t>
    <phoneticPr fontId="56"/>
  </si>
  <si>
    <r>
      <t>Variable gain amplifier 1</t>
    </r>
    <r>
      <rPr>
        <sz val="11"/>
        <color theme="1"/>
        <rFont val="ＭＳ Ｐゴシック"/>
        <family val="2"/>
        <charset val="128"/>
        <scheme val="minor"/>
      </rPr>
      <t xml:space="preserve"> positive</t>
    </r>
    <r>
      <rPr>
        <sz val="11"/>
        <color theme="1"/>
        <rFont val="ＭＳ Ｐゴシック"/>
        <family val="2"/>
        <charset val="128"/>
        <scheme val="minor"/>
      </rPr>
      <t xml:space="preserve"> input</t>
    </r>
    <r>
      <rPr>
        <sz val="11"/>
        <color theme="1"/>
        <rFont val="ＭＳ Ｐゴシック"/>
        <family val="2"/>
        <charset val="128"/>
        <scheme val="minor"/>
      </rPr>
      <t xml:space="preserve"> pin</t>
    </r>
    <phoneticPr fontId="56"/>
  </si>
  <si>
    <r>
      <t>Variable gain amplifier 2</t>
    </r>
    <r>
      <rPr>
        <sz val="11"/>
        <color theme="1"/>
        <rFont val="ＭＳ Ｐゴシック"/>
        <family val="2"/>
        <charset val="128"/>
        <scheme val="minor"/>
      </rPr>
      <t xml:space="preserve"> positive</t>
    </r>
    <r>
      <rPr>
        <sz val="11"/>
        <color theme="1"/>
        <rFont val="ＭＳ Ｐゴシック"/>
        <family val="2"/>
        <charset val="128"/>
        <scheme val="minor"/>
      </rPr>
      <t xml:space="preserve"> input</t>
    </r>
    <r>
      <rPr>
        <sz val="11"/>
        <color theme="1"/>
        <rFont val="ＭＳ Ｐゴシック"/>
        <family val="2"/>
        <charset val="128"/>
        <scheme val="minor"/>
      </rPr>
      <t xml:space="preserve"> pin</t>
    </r>
    <phoneticPr fontId="56"/>
  </si>
  <si>
    <t>VGA*_VGAN*</t>
    <phoneticPr fontId="56"/>
  </si>
  <si>
    <t>CMP*_CMPIN*</t>
  </si>
  <si>
    <t>VGA*_VGAP*</t>
    <phoneticPr fontId="56"/>
  </si>
  <si>
    <t>Variable gain amplifier * negative input pin</t>
  </si>
  <si>
    <t>Variable gain amplifier * positive $ input pin</t>
  </si>
  <si>
    <t>Variable gain amplifier * positive input pin</t>
  </si>
  <si>
    <r>
      <t>Comparator 00/01</t>
    </r>
    <r>
      <rPr>
        <sz val="11"/>
        <color theme="1"/>
        <rFont val="ＭＳ Ｐゴシック"/>
        <family val="2"/>
        <charset val="128"/>
        <scheme val="minor"/>
      </rPr>
      <t xml:space="preserve"> Input pin</t>
    </r>
    <phoneticPr fontId="56"/>
  </si>
  <si>
    <r>
      <t>Comparator 10/11</t>
    </r>
    <r>
      <rPr>
        <sz val="11"/>
        <color theme="1"/>
        <rFont val="ＭＳ Ｐゴシック"/>
        <family val="2"/>
        <charset val="128"/>
        <scheme val="minor"/>
      </rPr>
      <t xml:space="preserve"> Input pin</t>
    </r>
    <phoneticPr fontId="56"/>
  </si>
  <si>
    <r>
      <t>Comparator 20/21</t>
    </r>
    <r>
      <rPr>
        <sz val="11"/>
        <color theme="1"/>
        <rFont val="ＭＳ Ｐゴシック"/>
        <family val="2"/>
        <charset val="128"/>
        <scheme val="minor"/>
      </rPr>
      <t xml:space="preserve"> Input pin</t>
    </r>
    <phoneticPr fontId="56"/>
  </si>
  <si>
    <r>
      <t>Comparator 30/31</t>
    </r>
    <r>
      <rPr>
        <sz val="11"/>
        <color theme="1"/>
        <rFont val="ＭＳ Ｐゴシック"/>
        <family val="2"/>
        <charset val="128"/>
        <scheme val="minor"/>
      </rPr>
      <t xml:space="preserve"> Input pin</t>
    </r>
    <phoneticPr fontId="56"/>
  </si>
  <si>
    <r>
      <t>Comparator 40/41</t>
    </r>
    <r>
      <rPr>
        <sz val="11"/>
        <color theme="1"/>
        <rFont val="ＭＳ Ｐゴシック"/>
        <family val="2"/>
        <charset val="128"/>
        <scheme val="minor"/>
      </rPr>
      <t xml:space="preserve"> Input pin</t>
    </r>
    <phoneticPr fontId="56"/>
  </si>
  <si>
    <r>
      <t>Comparator *</t>
    </r>
    <r>
      <rPr>
        <sz val="11"/>
        <color theme="1"/>
        <rFont val="ＭＳ Ｐゴシック"/>
        <family val="2"/>
        <charset val="128"/>
        <scheme val="minor"/>
      </rPr>
      <t>0/</t>
    </r>
    <r>
      <rPr>
        <sz val="11"/>
        <color theme="1"/>
        <rFont val="ＭＳ Ｐゴシック"/>
        <family val="2"/>
        <charset val="128"/>
        <scheme val="minor"/>
      </rPr>
      <t>*</t>
    </r>
    <r>
      <rPr>
        <sz val="11"/>
        <color theme="1"/>
        <rFont val="ＭＳ Ｐゴシック"/>
        <family val="2"/>
        <charset val="128"/>
        <scheme val="minor"/>
      </rPr>
      <t>1 Input pin</t>
    </r>
    <phoneticPr fontId="56"/>
  </si>
  <si>
    <t>Analog input Pin</t>
  </si>
  <si>
    <t>A/D converter analog input * Pin</t>
  </si>
  <si>
    <t>A/D converter analog input 01  Pin</t>
  </si>
  <si>
    <t>A/D converter analog input 02  Pin</t>
  </si>
  <si>
    <t>A/D converter analog input 03  Pin</t>
  </si>
  <si>
    <t>A/D converter analog input 04  Pin</t>
  </si>
  <si>
    <t>A/D converter analog input 05  Pin</t>
  </si>
  <si>
    <t>A/D converter analog input 06  Pin</t>
  </si>
  <si>
    <t>A/D converter analog input 07  Pin</t>
  </si>
  <si>
    <t>A/D converter analog input 08  Pin</t>
  </si>
  <si>
    <t>A/D converter analog input 09  Pin</t>
  </si>
  <si>
    <t>A/D converter analog input 10  Pin</t>
  </si>
  <si>
    <t>A/D converter analog input 11  Pin</t>
  </si>
  <si>
    <t>A/D converter analog input 12  Pin</t>
  </si>
  <si>
    <t>A/D converter analog input 13  Pin</t>
  </si>
  <si>
    <t>A/D converter analog input 14  Pin</t>
  </si>
  <si>
    <t>A/D converter analog input 15  Pin</t>
  </si>
  <si>
    <t>A/D converter analog input 16  Pin</t>
  </si>
  <si>
    <t>A/D converter analog input 17  Pin</t>
  </si>
  <si>
    <t>A/D converter analog input 18  Pin</t>
  </si>
  <si>
    <t>A/D converter analog input 19  Pin</t>
  </si>
  <si>
    <t>A/D converter analog input 20  Pin</t>
  </si>
  <si>
    <t>A/D converter analog input 21  Pin</t>
  </si>
  <si>
    <t>A/D converter analog input 22  Pin</t>
  </si>
  <si>
    <t>A/D converter analog input 23  Pin</t>
  </si>
  <si>
    <t>A/D converter analog input 24  Pin</t>
  </si>
  <si>
    <t>A/D converter analog input 25  Pin</t>
  </si>
  <si>
    <t>A/D converter analog input 26  Pin</t>
  </si>
  <si>
    <t>A/D converter analog input 27  Pin</t>
  </si>
  <si>
    <t>A/D converter analog input 28  Pin</t>
  </si>
  <si>
    <t>A/D converter analog input 29  Pin</t>
  </si>
  <si>
    <t>A/D converter analog input 30  Pin</t>
  </si>
  <si>
    <t>A/D converter analog input 31  Pin</t>
  </si>
  <si>
    <t>Comparator 00 output pin</t>
    <phoneticPr fontId="56"/>
  </si>
  <si>
    <t>Comparator 01 output pin</t>
  </si>
  <si>
    <t>Comparator 10 output pin</t>
    <phoneticPr fontId="56"/>
  </si>
  <si>
    <t>Comparator 11 output pin</t>
    <phoneticPr fontId="56"/>
  </si>
  <si>
    <t>Comparator 20 output pin</t>
    <phoneticPr fontId="56"/>
  </si>
  <si>
    <t>Comparator 21 output pin</t>
    <phoneticPr fontId="56"/>
  </si>
  <si>
    <t>Comparator 30 output pin</t>
    <phoneticPr fontId="56"/>
  </si>
  <si>
    <t>Comparator 31 output pin</t>
    <phoneticPr fontId="56"/>
  </si>
  <si>
    <t>Comparator 40 output pin</t>
    <phoneticPr fontId="56"/>
  </si>
  <si>
    <t>Comparator 41 output pin</t>
    <phoneticPr fontId="56"/>
  </si>
  <si>
    <r>
      <t>CMP</t>
    </r>
    <r>
      <rPr>
        <sz val="11"/>
        <color theme="1"/>
        <rFont val="ＭＳ Ｐゴシック"/>
        <family val="2"/>
        <charset val="128"/>
        <scheme val="minor"/>
      </rPr>
      <t>*</t>
    </r>
    <r>
      <rPr>
        <sz val="11"/>
        <color theme="1"/>
        <rFont val="ＭＳ Ｐゴシック"/>
        <family val="2"/>
        <charset val="128"/>
        <scheme val="minor"/>
      </rPr>
      <t>_CMPOT</t>
    </r>
    <r>
      <rPr>
        <sz val="11"/>
        <color theme="1"/>
        <rFont val="ＭＳ Ｐゴシック"/>
        <family val="2"/>
        <charset val="128"/>
        <scheme val="minor"/>
      </rPr>
      <t>*$</t>
    </r>
    <phoneticPr fontId="56"/>
  </si>
  <si>
    <t>Comparator *$ output pin</t>
    <phoneticPr fontId="56"/>
  </si>
  <si>
    <t>A/D converter analog input 00  Pin</t>
    <phoneticPr fontId="56"/>
  </si>
  <si>
    <r>
      <t xml:space="preserve">D/A </t>
    </r>
    <r>
      <rPr>
        <sz val="11"/>
        <color theme="1"/>
        <rFont val="ＭＳ Ｐゴシック"/>
        <family val="2"/>
        <charset val="128"/>
        <scheme val="minor"/>
      </rPr>
      <t>o</t>
    </r>
    <r>
      <rPr>
        <sz val="11"/>
        <color theme="1"/>
        <rFont val="ＭＳ Ｐゴシック"/>
        <family val="2"/>
        <charset val="128"/>
        <scheme val="minor"/>
      </rPr>
      <t>utput</t>
    </r>
    <phoneticPr fontId="56"/>
  </si>
  <si>
    <r>
      <t>D/A Converter 0 o</t>
    </r>
    <r>
      <rPr>
        <sz val="11"/>
        <color theme="1"/>
        <rFont val="ＭＳ Ｐゴシック"/>
        <family val="2"/>
        <charset val="128"/>
        <scheme val="minor"/>
      </rPr>
      <t>utput</t>
    </r>
    <phoneticPr fontId="56"/>
  </si>
  <si>
    <r>
      <t>D/A Converter 1 o</t>
    </r>
    <r>
      <rPr>
        <sz val="11"/>
        <color theme="1"/>
        <rFont val="ＭＳ Ｐゴシック"/>
        <family val="2"/>
        <charset val="128"/>
        <scheme val="minor"/>
      </rPr>
      <t>utput</t>
    </r>
    <phoneticPr fontId="56"/>
  </si>
  <si>
    <r>
      <t>DAC_DAOT</t>
    </r>
    <r>
      <rPr>
        <sz val="11"/>
        <color theme="1"/>
        <rFont val="ＭＳ Ｐゴシック"/>
        <family val="2"/>
        <charset val="128"/>
        <scheme val="minor"/>
      </rPr>
      <t>*</t>
    </r>
    <phoneticPr fontId="56"/>
  </si>
  <si>
    <r>
      <t>D/A Converter * o</t>
    </r>
    <r>
      <rPr>
        <sz val="11"/>
        <color theme="1"/>
        <rFont val="ＭＳ Ｐゴシック"/>
        <family val="2"/>
        <charset val="128"/>
        <scheme val="minor"/>
      </rPr>
      <t>utput</t>
    </r>
    <phoneticPr fontId="56"/>
  </si>
  <si>
    <r>
      <t>P0.</t>
    </r>
    <r>
      <rPr>
        <sz val="11"/>
        <color theme="1"/>
        <rFont val="ＭＳ Ｐゴシック"/>
        <family val="2"/>
        <charset val="128"/>
        <scheme val="minor"/>
      </rPr>
      <t>*</t>
    </r>
    <phoneticPr fontId="56"/>
  </si>
  <si>
    <t>P1.*</t>
  </si>
  <si>
    <t>P2.*</t>
  </si>
  <si>
    <t>P3.*</t>
  </si>
  <si>
    <t>P4.*</t>
  </si>
  <si>
    <t>P5.*</t>
  </si>
  <si>
    <t>P6.*</t>
  </si>
  <si>
    <t>P7.*</t>
  </si>
  <si>
    <t>P8.*</t>
  </si>
  <si>
    <t>P9.*</t>
  </si>
  <si>
    <t>PA.*</t>
  </si>
  <si>
    <t>PB.*</t>
  </si>
  <si>
    <t>PC.*</t>
  </si>
  <si>
    <t>PD.*</t>
  </si>
  <si>
    <t>PE.*</t>
  </si>
  <si>
    <t>PF.*</t>
  </si>
  <si>
    <t>CMP*_CMPIN*</t>
    <phoneticPr fontId="56"/>
  </si>
  <si>
    <t>説明文案</t>
    <rPh sb="0" eb="2">
      <t>セツメイ</t>
    </rPh>
    <rPh sb="2" eb="3">
      <t>ブン</t>
    </rPh>
    <phoneticPr fontId="58"/>
  </si>
  <si>
    <t>参考箇所</t>
    <rPh sb="0" eb="2">
      <t>サンコウ</t>
    </rPh>
    <rPh sb="2" eb="4">
      <t>カショ</t>
    </rPh>
    <phoneticPr fontId="56"/>
  </si>
  <si>
    <t>Table 30.1-2 List of Debug Interface Pins</t>
    <phoneticPr fontId="56"/>
  </si>
  <si>
    <t>Table 7.4-1 The List of the Interrupt Factors</t>
  </si>
  <si>
    <t>11.1.4 List of 16-bit Timer Ports</t>
    <phoneticPr fontId="56"/>
  </si>
  <si>
    <t>GPWM high-resolution output pin</t>
    <phoneticPr fontId="56"/>
  </si>
  <si>
    <t>12.1.4 List of Power Control PWM Ports</t>
    <phoneticPr fontId="56"/>
  </si>
  <si>
    <t>Table 12.10-1 List of Ports Assigned to the Count State Output Function</t>
  </si>
  <si>
    <t>Data pin
input/inout (Use Nch open-drain)</t>
    <phoneticPr fontId="56"/>
  </si>
  <si>
    <t>DBG_TRCCLK</t>
  </si>
  <si>
    <t>DBG_TRCSWO</t>
  </si>
  <si>
    <t>DBG_TRCD0</t>
  </si>
  <si>
    <t>DBG_TRCD1</t>
  </si>
  <si>
    <t>DBG_TRCD2</t>
  </si>
  <si>
    <t>DBG_TRCD3</t>
  </si>
  <si>
    <r>
      <t>D</t>
    </r>
    <r>
      <rPr>
        <sz val="11"/>
        <color theme="1"/>
        <rFont val="ＭＳ Ｐゴシック"/>
        <family val="2"/>
        <charset val="128"/>
        <scheme val="minor"/>
      </rPr>
      <t>BG</t>
    </r>
    <phoneticPr fontId="56"/>
  </si>
  <si>
    <t>DBG_TRCD*</t>
  </si>
  <si>
    <t>SBO</t>
  </si>
  <si>
    <t>SBT</t>
  </si>
  <si>
    <t>SBCS</t>
  </si>
  <si>
    <t>SBI</t>
  </si>
  <si>
    <t>TX</t>
  </si>
  <si>
    <t>RX</t>
  </si>
  <si>
    <t>LTX</t>
  </si>
  <si>
    <t>SDA</t>
  </si>
  <si>
    <t>SCL</t>
  </si>
  <si>
    <t>CTX</t>
  </si>
  <si>
    <t>CRX</t>
  </si>
  <si>
    <t>VGAP0</t>
    <phoneticPr fontId="56"/>
  </si>
  <si>
    <t>VGAP1</t>
    <phoneticPr fontId="56"/>
  </si>
  <si>
    <t>VGAP2</t>
    <phoneticPr fontId="56"/>
  </si>
  <si>
    <t>SPI0_SBO</t>
  </si>
  <si>
    <t>SPI1_SBO</t>
  </si>
  <si>
    <t>SPI2_SBO</t>
  </si>
  <si>
    <t>SPI3_SBO</t>
  </si>
  <si>
    <t>SPI4_SBO</t>
  </si>
  <si>
    <t>SPI5_SBO</t>
  </si>
  <si>
    <t>SPI6_SBO</t>
  </si>
  <si>
    <t>SPI7_SBO</t>
  </si>
  <si>
    <t>SPI1_SBT</t>
  </si>
  <si>
    <t>SPI2_SBT</t>
  </si>
  <si>
    <t>SPI3_SBT</t>
  </si>
  <si>
    <t>SPI4_SBT</t>
  </si>
  <si>
    <t>SPI5_SBT</t>
  </si>
  <si>
    <t>SPI6_SBT</t>
  </si>
  <si>
    <t>SPI7_SBT</t>
  </si>
  <si>
    <t>SMDA</t>
    <phoneticPr fontId="56"/>
  </si>
  <si>
    <t>SMBUS_SMCL</t>
    <phoneticPr fontId="56"/>
  </si>
  <si>
    <t>SMBUS_SMDA</t>
    <phoneticPr fontId="56"/>
  </si>
  <si>
    <t>SMCL</t>
    <phoneticPr fontId="56"/>
  </si>
  <si>
    <t>VGA0_VGAP0</t>
  </si>
  <si>
    <t>VGA0_VGAP1</t>
  </si>
  <si>
    <t>VGA0_VGAP2</t>
  </si>
  <si>
    <t>CAN0_CTX</t>
  </si>
  <si>
    <t>CAN1_CTX</t>
  </si>
  <si>
    <t>UART1_TX</t>
  </si>
  <si>
    <t>LIN_LTX</t>
  </si>
  <si>
    <t>UART2_TX</t>
  </si>
  <si>
    <t>UART3_TX</t>
  </si>
  <si>
    <t>UART4_TX</t>
  </si>
  <si>
    <t>UART5_TX</t>
  </si>
  <si>
    <t>UART6_TX</t>
  </si>
  <si>
    <t>UART7_TX</t>
  </si>
  <si>
    <t>UART7_RX</t>
  </si>
  <si>
    <t>UART6_RX</t>
  </si>
  <si>
    <r>
      <t>L</t>
    </r>
    <r>
      <rPr>
        <sz val="11"/>
        <color theme="1"/>
        <rFont val="ＭＳ Ｐゴシック"/>
        <family val="2"/>
        <charset val="128"/>
        <scheme val="minor"/>
      </rPr>
      <t>RX</t>
    </r>
    <phoneticPr fontId="56"/>
  </si>
  <si>
    <r>
      <t>R</t>
    </r>
    <r>
      <rPr>
        <sz val="11"/>
        <color theme="1"/>
        <rFont val="ＭＳ Ｐゴシック"/>
        <family val="2"/>
        <charset val="128"/>
        <scheme val="minor"/>
      </rPr>
      <t>X</t>
    </r>
    <phoneticPr fontId="56"/>
  </si>
  <si>
    <t>SBI6</t>
    <phoneticPr fontId="56"/>
  </si>
  <si>
    <t>SBCS3</t>
    <phoneticPr fontId="56"/>
  </si>
  <si>
    <t>SBI1</t>
    <phoneticPr fontId="56"/>
  </si>
  <si>
    <t>SBI0</t>
    <phoneticPr fontId="56"/>
  </si>
  <si>
    <t>SMDA1</t>
    <phoneticPr fontId="56"/>
  </si>
  <si>
    <t>SMCL1</t>
    <phoneticPr fontId="56"/>
  </si>
  <si>
    <t>VGAP00</t>
    <phoneticPr fontId="56"/>
  </si>
  <si>
    <t>VGAP01</t>
    <phoneticPr fontId="56"/>
  </si>
  <si>
    <t>VGAP02</t>
    <phoneticPr fontId="56"/>
  </si>
  <si>
    <t>UART5_RX</t>
  </si>
  <si>
    <t>UART4_RX</t>
  </si>
  <si>
    <t>UART3_RX</t>
  </si>
  <si>
    <t>UART2_RX</t>
  </si>
  <si>
    <t>CAN1_CRX</t>
  </si>
  <si>
    <t>UART1_RX</t>
  </si>
  <si>
    <t>LIN_LRX</t>
  </si>
  <si>
    <t>CAN0_CRX</t>
  </si>
  <si>
    <t>UART*_TX</t>
  </si>
  <si>
    <t>UART*_RX</t>
  </si>
  <si>
    <t>CAN*_CTX</t>
  </si>
  <si>
    <t>CAN*_CRX</t>
  </si>
  <si>
    <t>SPI*_SBT</t>
  </si>
  <si>
    <t>SPI*_SBO</t>
  </si>
  <si>
    <t>SPI*_SBI</t>
  </si>
  <si>
    <t>SPI*_SBCS</t>
  </si>
  <si>
    <t>SMBUS_SMDA</t>
    <phoneticPr fontId="56"/>
  </si>
  <si>
    <t>SMBUS_SMCL</t>
    <phoneticPr fontId="56"/>
  </si>
  <si>
    <t>LIN_LTX</t>
    <phoneticPr fontId="56"/>
  </si>
  <si>
    <t>LIN_LRX</t>
    <phoneticPr fontId="56"/>
  </si>
  <si>
    <t>IIC7_SDA</t>
  </si>
  <si>
    <t>IIC0_SDA</t>
  </si>
  <si>
    <t>IIC7_SCL</t>
  </si>
  <si>
    <t>IIC0_SCL</t>
  </si>
  <si>
    <t>SPI4_SBCS</t>
  </si>
  <si>
    <t>SPI7_SBCS</t>
  </si>
  <si>
    <t>SPI3_SBCS</t>
  </si>
  <si>
    <t>SPI4_SBI</t>
  </si>
  <si>
    <t>SPI7_SBI</t>
  </si>
  <si>
    <t>SPI1_SBI</t>
  </si>
  <si>
    <t>SPI2_SBI</t>
  </si>
  <si>
    <t>SPI5_SBI</t>
  </si>
  <si>
    <t>SPI6_SBI</t>
  </si>
  <si>
    <t>SPI0_SBI</t>
  </si>
  <si>
    <t>SPI3_SBI</t>
  </si>
  <si>
    <t>Table 13.4-2 Pins used for Each Communication Type
[Register Manual]　5. I/O Port</t>
    <phoneticPr fontId="56"/>
  </si>
  <si>
    <t>VGA*_VGAP$</t>
    <phoneticPr fontId="56"/>
  </si>
  <si>
    <t>Table 14.4-2 Pins used for Each Communication Type
[Register Manual]　5. I/O Port</t>
    <phoneticPr fontId="56"/>
  </si>
  <si>
    <t>Table 14.5-2 Pins used for Each Communication Type
[Register Manual]　5. I/O Port</t>
    <phoneticPr fontId="56"/>
  </si>
  <si>
    <t>General-purpose input/output pin</t>
  </si>
  <si>
    <t>Table 9.1-1 The List of Ports in Each Series</t>
    <phoneticPr fontId="56"/>
  </si>
  <si>
    <t>General-Purpose I/O Port</t>
    <phoneticPr fontId="56"/>
  </si>
  <si>
    <t>Clock pin
input/inout (Use Nch open-drain)</t>
    <phoneticPr fontId="56"/>
  </si>
  <si>
    <t>Table 14.4-2 Pins used for Each Communication Type</t>
  </si>
  <si>
    <t>Table 14.4-2 Pins used for Each Communication Type</t>
    <phoneticPr fontId="56"/>
  </si>
  <si>
    <t>13.5.1.2 Pin Specifications
[Register Manual]　5. I/O Port</t>
    <phoneticPr fontId="56"/>
  </si>
  <si>
    <t>Table 14.5-2 Pins used for Each Communication Type</t>
  </si>
  <si>
    <t>Table 15.4-2 Pins used for Each Communication Type
[Register Manual]　5. I/O Port</t>
    <phoneticPr fontId="56"/>
  </si>
  <si>
    <t>Table 15.4-2 Pins used for Each Communication Type</t>
  </si>
  <si>
    <t>Table 15.5-2 Pins used for Each Communication Type
[Register Manual]　5. I/O Port</t>
    <phoneticPr fontId="56"/>
  </si>
  <si>
    <t>Table 15.5-2 Pins used for Each Communication Type</t>
  </si>
  <si>
    <t>Table 14.5-2 Pins used for Each Communication Type</t>
    <phoneticPr fontId="56"/>
  </si>
  <si>
    <t>Chip select pin
input/output (Use Nch open-drain)</t>
    <phoneticPr fontId="56"/>
  </si>
  <si>
    <t>Table 16.4-2 The Pins used for Communication Type
[Register Manual]　5. I/O Port</t>
    <phoneticPr fontId="56"/>
  </si>
  <si>
    <t>Table 16.4-2 The Pins used for Communication Type</t>
  </si>
  <si>
    <t>Table 16.5-2 Pins used for Communication Type
[Register Manual]　5. I/O Port</t>
    <phoneticPr fontId="56"/>
  </si>
  <si>
    <t>Table 16.5-2 Pins used for Communication Type</t>
  </si>
  <si>
    <t>LIN transmission pin
input/inout (Use Nch open-drain)</t>
    <phoneticPr fontId="56"/>
  </si>
  <si>
    <t>Table 18.1-3 List of LIN Controller Ports</t>
    <phoneticPr fontId="56"/>
  </si>
  <si>
    <t>Table 18.1-3 List of LIN Controller Ports
[Register Manual]　5. I/O Port</t>
    <phoneticPr fontId="56"/>
  </si>
  <si>
    <t>Table 16.6-1 Pins used in Each Communication Type
[Register Manual]　5. I/O Port</t>
    <phoneticPr fontId="56"/>
  </si>
  <si>
    <r>
      <t xml:space="preserve">transmit output pin
</t>
    </r>
    <r>
      <rPr>
        <sz val="11"/>
        <color theme="1"/>
        <rFont val="ＭＳ Ｐゴシック"/>
        <family val="2"/>
        <charset val="128"/>
        <scheme val="minor"/>
      </rPr>
      <t>output (Use Nch open-drain)</t>
    </r>
    <phoneticPr fontId="56"/>
  </si>
  <si>
    <t>19.4.2.4 Transmitter Delay Compensation
[Register Manual]　5. I/O Port</t>
    <phoneticPr fontId="56"/>
  </si>
  <si>
    <t>19.4.2.4 Transmitter Delay Compensation</t>
  </si>
  <si>
    <t>Figure 17.1-1 Block Diagram of SMBus Interface</t>
    <phoneticPr fontId="56"/>
  </si>
  <si>
    <t>Data pin
input/output (Use Nch open-drain)</t>
    <phoneticPr fontId="56"/>
  </si>
  <si>
    <t>Figure 17.1-1 Block Diagram of SMBus Interface
[Register Manual]　5. I/O Port</t>
    <phoneticPr fontId="56"/>
  </si>
  <si>
    <t>Analog input Pin</t>
    <phoneticPr fontId="56"/>
  </si>
  <si>
    <t>Table 20.1-4 Lists of Ports Assigned to the Analog Input Pins</t>
    <phoneticPr fontId="56"/>
  </si>
  <si>
    <r>
      <t xml:space="preserve">A/D </t>
    </r>
    <r>
      <rPr>
        <sz val="11"/>
        <color theme="1"/>
        <rFont val="ＭＳ Ｐゴシック"/>
        <family val="2"/>
        <charset val="128"/>
        <scheme val="minor"/>
      </rPr>
      <t>conversion state output pin</t>
    </r>
    <phoneticPr fontId="56"/>
  </si>
  <si>
    <t>Figure 20.3-7 The Operation Timing of A/D Conversion State Pin Output</t>
  </si>
  <si>
    <t>Figure 23.1-1 VGA Block Diagram</t>
    <phoneticPr fontId="56"/>
  </si>
  <si>
    <t>Comparator Input</t>
    <phoneticPr fontId="56"/>
  </si>
  <si>
    <t>Comparator output</t>
    <phoneticPr fontId="56"/>
  </si>
  <si>
    <t>Table 1.4-1 Pin Functions
22.3.1.1 1-level/2-level Detection Mode</t>
    <phoneticPr fontId="56"/>
  </si>
  <si>
    <t>Table 1.4-1 Pin Functions</t>
  </si>
  <si>
    <t>SPI0 data input/inout (Use Nch open-drain) pin</t>
  </si>
  <si>
    <t>SPI* data input/inout (Use Nch open-drain) pin</t>
  </si>
  <si>
    <t>SPI1 data input/inout (Use Nch open-drain) pin</t>
  </si>
  <si>
    <t>SPI2 data input/inout (Use Nch open-drain) pin</t>
  </si>
  <si>
    <t>SPI3 data input/inout (Use Nch open-drain) pin</t>
  </si>
  <si>
    <t>SPI5 data input/inout (Use Nch open-drain) pin</t>
  </si>
  <si>
    <t>SPI6 data input/inout (Use Nch open-drain) pin</t>
  </si>
  <si>
    <t>UART1 data input/inout (Use Nch open-drain) pin</t>
  </si>
  <si>
    <t>UART* data input/inout (Use Nch open-drain) pin</t>
  </si>
  <si>
    <t>UART2 data input/inout (Use Nch open-drain) pin</t>
  </si>
  <si>
    <t>UART3 data input/inout (Use Nch open-drain) pin</t>
  </si>
  <si>
    <t>UART5 data input/inout (Use Nch open-drain) pin</t>
  </si>
  <si>
    <t>UART6 data input/inout (Use Nch open-drain) pin</t>
  </si>
  <si>
    <t>IIC0 data input/inout (Use Nch open-drain) pin</t>
  </si>
  <si>
    <t>SMBUS data input/output (Use Nch open-drain) pin</t>
    <phoneticPr fontId="56"/>
  </si>
  <si>
    <t>SPI0 clock input/inout (Use Nch open-drain) pin</t>
  </si>
  <si>
    <t>SPI* clock input/inout (Use Nch open-drain) pin</t>
  </si>
  <si>
    <t>SPI1 clock input/inout (Use Nch open-drain) pin</t>
  </si>
  <si>
    <t>SPI2 clock input/inout (Use Nch open-drain) pin</t>
  </si>
  <si>
    <t>SPI3 clock input/inout (Use Nch open-drain) pin</t>
  </si>
  <si>
    <t>SPI5 clock input/inout (Use Nch open-drain) pin</t>
  </si>
  <si>
    <t>SPI6 clock input/inout (Use Nch open-drain) pin</t>
  </si>
  <si>
    <t>IIC0 clock input/inout (Use Nch open-drain) pin</t>
  </si>
  <si>
    <t>SMBUS data input/output (Use Nch open-drain) pin</t>
    <phoneticPr fontId="56"/>
  </si>
  <si>
    <t>SPI3 chip select input/output (Use Nch open-drain) pin</t>
  </si>
  <si>
    <t>SPI* chip select input/output (Use Nch open-drain) pin</t>
  </si>
  <si>
    <r>
      <t>LIN transmission</t>
    </r>
    <r>
      <rPr>
        <sz val="11"/>
        <color theme="1"/>
        <rFont val="ＭＳ Ｐゴシック"/>
        <family val="2"/>
        <charset val="128"/>
        <scheme val="minor"/>
      </rPr>
      <t xml:space="preserve"> input/inout (Use Nch open-drain)</t>
    </r>
    <r>
      <rPr>
        <sz val="11"/>
        <color theme="1"/>
        <rFont val="ＭＳ Ｐゴシック"/>
        <family val="2"/>
        <charset val="128"/>
        <scheme val="minor"/>
      </rPr>
      <t xml:space="preserve"> pin</t>
    </r>
    <phoneticPr fontId="56"/>
  </si>
  <si>
    <t>LIN transmission input/inout (Use Nch open-drain) pin</t>
  </si>
  <si>
    <t>SPI1 clock input/inout (Use Nch open-drain) pin</t>
    <phoneticPr fontId="56"/>
  </si>
  <si>
    <t>SPI2 clock input/inout (Use Nch open-drain) pin</t>
    <phoneticPr fontId="56"/>
  </si>
  <si>
    <t>SPI4 chip select input/output (Use Nch open-drain) pin
Note: SBCS, SBI, SBO and SBT should be selected nearby.</t>
  </si>
  <si>
    <t>SPI4 data input/inout (Use Nch open-drain) pin
Note: SBCS, SBI, SBO and SBT should be selected nearby.</t>
  </si>
  <si>
    <t>SPI4 clock input/inout (Use Nch open-drain) pin
Note: SBCS, SBI, SBO and SBT should be selected nearby.</t>
  </si>
  <si>
    <t>SPI7 chip select input/output (Use Nch open-drain) pin
Note: SBCS, SBI, SBO and SBT should be selected nearby.</t>
  </si>
  <si>
    <t>SPI7 data input/inout (Use Nch open-drain) pin
Note: SBCS, SBI, SBO and SBT should be selected nearby.</t>
  </si>
  <si>
    <t>SPI7 clock input/inout (Use Nch open-drain) pin
Note: SBCS, SBI, SBO and SBT should be selected nearby.</t>
  </si>
  <si>
    <t>IIC7 clock input/inout (Use Nch open-drain) pin
Note: SDA and SCL should be selected nearby.</t>
  </si>
  <si>
    <t>CAN* transmit output (Use Nch open-drain) pin
Note: CTX and CRX should be selected nearby.</t>
  </si>
  <si>
    <t>CAN* receive input pin
Note: CTX and CRX should be selected nearby.</t>
  </si>
  <si>
    <t>CAN* transmit output (Use Nch open-drain) pin
Note: CTX and CRX should be selected nearby.</t>
    <phoneticPr fontId="56"/>
  </si>
  <si>
    <t>CAN* receive input pin
Note: CTX and CRX should be selected nearby.</t>
    <phoneticPr fontId="56"/>
  </si>
  <si>
    <t>UART4 data input/inout (Use Nch open-drain) pin
Note: TX and RX should be selected nearby.</t>
  </si>
  <si>
    <t>UART4 data input/inout (Use Nch open-drain) pin
Note: TX and RX should be selected nearby.</t>
    <phoneticPr fontId="56"/>
  </si>
  <si>
    <r>
      <t xml:space="preserve">UART4 data input/inout (Use Nch open-drain) pin
</t>
    </r>
    <r>
      <rPr>
        <sz val="11"/>
        <color theme="1"/>
        <rFont val="ＭＳ Ｐゴシック"/>
        <family val="2"/>
        <charset val="128"/>
        <scheme val="minor"/>
      </rPr>
      <t>Note: TX and RX should be selected nearby.</t>
    </r>
    <phoneticPr fontId="56"/>
  </si>
  <si>
    <r>
      <t xml:space="preserve">UART4 data input pin
</t>
    </r>
    <r>
      <rPr>
        <sz val="11"/>
        <color theme="1"/>
        <rFont val="ＭＳ Ｐゴシック"/>
        <family val="2"/>
        <charset val="128"/>
        <scheme val="minor"/>
      </rPr>
      <t>Note: TX and RX should be selected nearby.</t>
    </r>
    <phoneticPr fontId="56"/>
  </si>
  <si>
    <t>UART7 data input/inout (Use Nch open-drain) pin
Note: TX and RX should be selected nearby.</t>
  </si>
  <si>
    <t>UART7 data input pin
Note: TX and RX should be selected nearby.</t>
  </si>
  <si>
    <t>UART* data input pin</t>
    <phoneticPr fontId="56"/>
  </si>
  <si>
    <r>
      <t>LIN reception</t>
    </r>
    <r>
      <rPr>
        <sz val="11"/>
        <color theme="1"/>
        <rFont val="ＭＳ Ｐゴシック"/>
        <family val="2"/>
        <charset val="128"/>
        <scheme val="minor"/>
      </rPr>
      <t xml:space="preserve"> input</t>
    </r>
    <r>
      <rPr>
        <sz val="11"/>
        <color theme="1"/>
        <rFont val="ＭＳ Ｐゴシック"/>
        <family val="2"/>
        <charset val="128"/>
        <scheme val="minor"/>
      </rPr>
      <t xml:space="preserve"> pin</t>
    </r>
    <phoneticPr fontId="56"/>
  </si>
  <si>
    <t>LIN reception input pin</t>
    <phoneticPr fontId="56"/>
  </si>
  <si>
    <t>IIC7 clock input/inout (Use Nch open-drain) pin
Note: SDA and SCL should be selected nearby.</t>
    <phoneticPr fontId="56"/>
  </si>
  <si>
    <t>IIC7 data input/inout (Use Nch open-drain) pin
Note: SDA and SCL should be selected nearby.</t>
  </si>
  <si>
    <t>IIC7 data input/inout (Use Nch open-drain) pin
Note: SDA and SCL should be selected nearby.</t>
    <phoneticPr fontId="56"/>
  </si>
  <si>
    <t>Timer 5 input/output pin A</t>
    <phoneticPr fontId="56"/>
  </si>
  <si>
    <t>UART4 data input pin
Note: TX and RX should be selected nearby.</t>
  </si>
  <si>
    <t>CAN0 transmit output (Use Nch open-drain) pin
Note: CTX and CRX should be selected nearby.</t>
    <phoneticPr fontId="56"/>
  </si>
  <si>
    <r>
      <t xml:space="preserve">CAN0 transmit output (Use Nch open-drain) pin
</t>
    </r>
    <r>
      <rPr>
        <sz val="11"/>
        <color theme="1"/>
        <rFont val="ＭＳ Ｐゴシック"/>
        <family val="2"/>
        <charset val="128"/>
        <scheme val="minor"/>
      </rPr>
      <t>Note: CTX and CRX should be selected nearby.</t>
    </r>
    <phoneticPr fontId="56"/>
  </si>
  <si>
    <r>
      <t xml:space="preserve">CAN0 receive input pin
</t>
    </r>
    <r>
      <rPr>
        <sz val="11"/>
        <color theme="1"/>
        <rFont val="ＭＳ Ｐゴシック"/>
        <family val="2"/>
        <charset val="128"/>
        <scheme val="minor"/>
      </rPr>
      <t>Note: CTX and CRX should be selected nearby.</t>
    </r>
    <phoneticPr fontId="56"/>
  </si>
  <si>
    <r>
      <t xml:space="preserve">CAN1 transmit output (Use Nch open-drain) pin
</t>
    </r>
    <r>
      <rPr>
        <sz val="11"/>
        <color theme="1"/>
        <rFont val="ＭＳ Ｐゴシック"/>
        <family val="2"/>
        <charset val="128"/>
        <scheme val="minor"/>
      </rPr>
      <t>Note: CTX and CRX should be selected nearby.</t>
    </r>
    <phoneticPr fontId="56"/>
  </si>
  <si>
    <r>
      <t xml:space="preserve">CAN1 receive input pin
</t>
    </r>
    <r>
      <rPr>
        <sz val="11"/>
        <color theme="1"/>
        <rFont val="ＭＳ Ｐゴシック"/>
        <family val="2"/>
        <charset val="128"/>
        <scheme val="minor"/>
      </rPr>
      <t>Note: CTX and CRX should be selected nearby.</t>
    </r>
    <phoneticPr fontId="56"/>
  </si>
  <si>
    <t>CMP3_CMPIN3</t>
    <phoneticPr fontId="56"/>
  </si>
  <si>
    <t>0x00000000</t>
    <phoneticPr fontId="13" type="noConversion"/>
  </si>
  <si>
    <t>Default value</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</si>
</sst>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2">
    <font>
      <sz val="11"/>
      <color indexed="8"/>
      <name val="新細明體"/>
      <family val="1"/>
      <charset val="136"/>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indexed="8"/>
      <name val="新細明體"/>
      <family val="1"/>
      <charset val="136"/>
    </font>
    <font>
      <sz val="9"/>
      <name val="新細明體"/>
      <family val="1"/>
      <charset val="136"/>
    </font>
    <font>
      <sz val="10"/>
      <name val="Arial"/>
      <family val="2"/>
    </font>
    <font>
      <sz val="12"/>
      <name val="新細明體"/>
      <family val="1"/>
      <charset val="136"/>
    </font>
    <font>
      <sz val="10"/>
      <name val="Verdana"/>
      <family val="2"/>
    </font>
    <font>
      <sz val="11"/>
      <color indexed="8"/>
      <name val="Arial Unicode MS"/>
      <family val="2"/>
      <charset val="136"/>
    </font>
    <font>
      <sz val="12"/>
      <color indexed="8"/>
      <name val="Arial Unicode MS"/>
      <family val="2"/>
      <charset val="136"/>
    </font>
    <font>
      <sz val="12"/>
      <name val="Arial Unicode MS"/>
      <family val="2"/>
      <charset val="136"/>
    </font>
    <font>
      <sz val="11"/>
      <color indexed="8"/>
      <name val="新細明體"/>
      <family val="1"/>
      <charset val="136"/>
    </font>
    <font>
      <sz val="11"/>
      <name val="Arial Unicode MS"/>
      <family val="2"/>
      <charset val="136"/>
    </font>
    <font>
      <strike/>
      <sz val="12"/>
      <name val="Arial Unicode MS"/>
      <family val="2"/>
      <charset val="136"/>
    </font>
    <font>
      <b/>
      <sz val="10"/>
      <name val="Calibri"/>
      <family val="2"/>
    </font>
    <font>
      <b/>
      <sz val="11"/>
      <color indexed="8"/>
      <name val="新細明體"/>
      <family val="1"/>
      <charset val="136"/>
    </font>
    <font>
      <sz val="11"/>
      <color theme="1"/>
      <name val="ＭＳ Ｐゴシック"/>
      <family val="1"/>
      <charset val="136"/>
      <scheme val="minor"/>
    </font>
    <font>
      <sz val="11"/>
      <color theme="0"/>
      <name val="ＭＳ Ｐゴシック"/>
      <family val="1"/>
      <charset val="136"/>
      <scheme val="minor"/>
    </font>
    <font>
      <sz val="11"/>
      <color rgb="FF9C0006"/>
      <name val="ＭＳ Ｐゴシック"/>
      <family val="1"/>
      <charset val="136"/>
      <scheme val="minor"/>
    </font>
    <font>
      <b/>
      <sz val="11"/>
      <color rgb="FFFA7D00"/>
      <name val="ＭＳ Ｐゴシック"/>
      <family val="1"/>
      <charset val="136"/>
      <scheme val="minor"/>
    </font>
    <font>
      <b/>
      <sz val="11"/>
      <color theme="0"/>
      <name val="ＭＳ Ｐゴシック"/>
      <family val="1"/>
      <charset val="136"/>
      <scheme val="minor"/>
    </font>
    <font>
      <i/>
      <sz val="11"/>
      <color rgb="FF7F7F7F"/>
      <name val="ＭＳ Ｐゴシック"/>
      <family val="1"/>
      <charset val="136"/>
      <scheme val="minor"/>
    </font>
    <font>
      <sz val="11"/>
      <color rgb="FF006100"/>
      <name val="ＭＳ Ｐゴシック"/>
      <family val="1"/>
      <charset val="136"/>
      <scheme val="minor"/>
    </font>
    <font>
      <b/>
      <sz val="15"/>
      <color theme="3"/>
      <name val="ＭＳ Ｐゴシック"/>
      <family val="1"/>
      <charset val="136"/>
      <scheme val="minor"/>
    </font>
    <font>
      <b/>
      <sz val="13"/>
      <color theme="3"/>
      <name val="ＭＳ Ｐゴシック"/>
      <family val="1"/>
      <charset val="136"/>
      <scheme val="minor"/>
    </font>
    <font>
      <b/>
      <sz val="11"/>
      <color theme="3"/>
      <name val="ＭＳ Ｐゴシック"/>
      <family val="1"/>
      <charset val="136"/>
      <scheme val="minor"/>
    </font>
    <font>
      <sz val="11"/>
      <color rgb="FF3F3F76"/>
      <name val="ＭＳ Ｐゴシック"/>
      <family val="1"/>
      <charset val="136"/>
      <scheme val="minor"/>
    </font>
    <font>
      <sz val="11"/>
      <color rgb="FFFA7D00"/>
      <name val="ＭＳ Ｐゴシック"/>
      <family val="1"/>
      <charset val="136"/>
      <scheme val="minor"/>
    </font>
    <font>
      <sz val="11"/>
      <color rgb="FF9C6500"/>
      <name val="ＭＳ Ｐゴシック"/>
      <family val="1"/>
      <charset val="136"/>
      <scheme val="minor"/>
    </font>
    <font>
      <sz val="12"/>
      <color theme="1"/>
      <name val="新細明體"/>
      <family val="1"/>
      <charset val="136"/>
    </font>
    <font>
      <b/>
      <sz val="11"/>
      <color rgb="FF3F3F3F"/>
      <name val="ＭＳ Ｐゴシック"/>
      <family val="1"/>
      <charset val="136"/>
      <scheme val="minor"/>
    </font>
    <font>
      <b/>
      <sz val="18"/>
      <color theme="3"/>
      <name val="ＭＳ Ｐゴシック"/>
      <family val="1"/>
      <charset val="136"/>
      <scheme val="major"/>
    </font>
    <font>
      <b/>
      <sz val="11"/>
      <color theme="1"/>
      <name val="ＭＳ Ｐゴシック"/>
      <family val="1"/>
      <charset val="136"/>
      <scheme val="minor"/>
    </font>
    <font>
      <sz val="11"/>
      <color rgb="FFFF0000"/>
      <name val="ＭＳ Ｐゴシック"/>
      <family val="1"/>
      <charset val="136"/>
      <scheme val="minor"/>
    </font>
    <font>
      <sz val="11"/>
      <color theme="1"/>
      <name val="Arial Unicode MS"/>
      <family val="2"/>
      <charset val="136"/>
    </font>
    <font>
      <sz val="8"/>
      <color rgb="FF000000"/>
      <name val="Arial"/>
      <family val="2"/>
    </font>
    <font>
      <sz val="8"/>
      <color theme="1"/>
      <name val="Arial"/>
      <family val="2"/>
    </font>
    <font>
      <b/>
      <sz val="11"/>
      <color theme="1"/>
      <name val="Calibri"/>
      <family val="2"/>
    </font>
    <font>
      <sz val="9"/>
      <color indexed="81"/>
      <name val="Tahoma"/>
      <family val="2"/>
    </font>
    <font>
      <b/>
      <sz val="12"/>
      <name val="Calibri"/>
      <family val="2"/>
    </font>
    <font>
      <sz val="12"/>
      <color indexed="8"/>
      <name val="新細明體"/>
      <family val="1"/>
      <charset val="136"/>
    </font>
    <font>
      <b/>
      <sz val="12"/>
      <color theme="1"/>
      <name val="Arial Unicode MS"/>
      <family val="2"/>
      <charset val="136"/>
    </font>
    <font>
      <sz val="12"/>
      <color theme="1"/>
      <name val="Arial Unicode MS"/>
      <family val="2"/>
      <charset val="136"/>
    </font>
    <font>
      <sz val="9"/>
      <color indexed="81"/>
      <name val="細明體"/>
      <family val="3"/>
      <charset val="136"/>
    </font>
    <font>
      <b/>
      <sz val="10"/>
      <color rgb="FF000000"/>
      <name val="Arial"/>
      <family val="2"/>
    </font>
    <font>
      <b/>
      <sz val="12"/>
      <color theme="1"/>
      <name val="Consolas"/>
      <family val="3"/>
    </font>
    <font>
      <b/>
      <sz val="9"/>
      <name val="Arial"/>
      <family val="2"/>
    </font>
    <font>
      <sz val="6"/>
      <name val="ＭＳ Ｐ明朝"/>
      <family val="1"/>
      <charset val="128"/>
    </font>
    <font>
      <b/>
      <sz val="8"/>
      <color indexed="8"/>
      <name val="Arial"/>
      <family val="2"/>
    </font>
    <font>
      <sz val="6"/>
      <name val="ＭＳ Ｐゴシック"/>
      <family val="2"/>
      <charset val="128"/>
      <scheme val="minor"/>
    </font>
    <font>
      <sz val="8"/>
      <name val="Arial"/>
      <family val="2"/>
    </font>
    <font>
      <sz val="11"/>
      <name val="新細明體"/>
      <family val="1"/>
      <charset val="136"/>
    </font>
    <font>
      <sz val="12"/>
      <name val="Arial Unicode MS"/>
      <family val="1"/>
      <charset val="136"/>
    </font>
  </fonts>
  <fills count="45">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rgb="FFC6D9F1"/>
        <bgColor indexed="64"/>
      </patternFill>
    </fill>
    <fill>
      <patternFill patternType="solid">
        <fgColor indexed="40"/>
        <bgColor indexed="64"/>
      </patternFill>
    </fill>
    <fill>
      <patternFill patternType="solid">
        <fgColor theme="5" tint="0.59999389629810485"/>
        <bgColor indexed="64"/>
      </patternFill>
    </fill>
    <fill>
      <patternFill patternType="solid">
        <fgColor rgb="FF00B0F0"/>
        <bgColor indexed="64"/>
      </patternFill>
    </fill>
    <fill>
      <patternFill patternType="solid">
        <fgColor rgb="FFFFC000"/>
        <bgColor indexed="64"/>
      </patternFill>
    </fill>
    <fill>
      <patternFill patternType="solid">
        <fgColor indexed="17"/>
        <bgColor indexed="64"/>
      </patternFill>
    </fill>
    <fill>
      <patternFill patternType="solid">
        <fgColor indexed="50"/>
        <bgColor indexed="64"/>
      </patternFill>
    </fill>
    <fill>
      <patternFill patternType="solid">
        <fgColor theme="8" tint="0.59999389629810485"/>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right/>
      <top/>
      <bottom style="thin">
        <color indexed="64"/>
      </bottom>
      <diagonal/>
    </border>
    <border>
      <left style="thin">
        <color indexed="64"/>
      </left>
      <right style="medium">
        <color indexed="64"/>
      </right>
      <top/>
      <bottom style="thin">
        <color indexed="64"/>
      </bottom>
      <diagonal/>
    </border>
    <border>
      <left/>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s>
  <cellStyleXfs count="55">
    <xf numFmtId="0" fontId="0" fillId="0" borderId="0">
      <alignment vertical="center"/>
    </xf>
    <xf numFmtId="0" fontId="25" fillId="2" borderId="0" applyNumberFormat="0" applyBorder="0" applyAlignment="0" applyProtection="0">
      <alignment vertical="center"/>
    </xf>
    <xf numFmtId="0" fontId="25" fillId="3" borderId="0" applyNumberFormat="0" applyBorder="0" applyAlignment="0" applyProtection="0">
      <alignment vertical="center"/>
    </xf>
    <xf numFmtId="0" fontId="25" fillId="4" borderId="0" applyNumberFormat="0" applyBorder="0" applyAlignment="0" applyProtection="0">
      <alignment vertical="center"/>
    </xf>
    <xf numFmtId="0" fontId="25" fillId="5" borderId="0" applyNumberFormat="0" applyBorder="0" applyAlignment="0" applyProtection="0">
      <alignment vertical="center"/>
    </xf>
    <xf numFmtId="0" fontId="25" fillId="6" borderId="0" applyNumberFormat="0" applyBorder="0" applyAlignment="0" applyProtection="0">
      <alignment vertical="center"/>
    </xf>
    <xf numFmtId="0" fontId="25" fillId="7" borderId="0" applyNumberFormat="0" applyBorder="0" applyAlignment="0" applyProtection="0">
      <alignment vertical="center"/>
    </xf>
    <xf numFmtId="0" fontId="25" fillId="8" borderId="0" applyNumberFormat="0" applyBorder="0" applyAlignment="0" applyProtection="0">
      <alignment vertical="center"/>
    </xf>
    <xf numFmtId="0" fontId="25"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5" applyNumberFormat="0" applyAlignment="0" applyProtection="0">
      <alignment vertical="center"/>
    </xf>
    <xf numFmtId="0" fontId="29" fillId="28" borderId="6" applyNumberFormat="0" applyAlignment="0" applyProtection="0">
      <alignment vertical="center"/>
    </xf>
    <xf numFmtId="0" fontId="30" fillId="0" borderId="0" applyNumberFormat="0" applyFill="0" applyBorder="0" applyAlignment="0" applyProtection="0">
      <alignment vertical="center"/>
    </xf>
    <xf numFmtId="0" fontId="31" fillId="29" borderId="0" applyNumberFormat="0" applyBorder="0" applyAlignment="0" applyProtection="0">
      <alignment vertical="center"/>
    </xf>
    <xf numFmtId="0" fontId="32" fillId="0" borderId="7" applyNumberFormat="0" applyFill="0" applyAlignment="0" applyProtection="0">
      <alignment vertical="center"/>
    </xf>
    <xf numFmtId="0" fontId="33" fillId="0" borderId="8" applyNumberFormat="0" applyFill="0" applyAlignment="0" applyProtection="0">
      <alignment vertical="center"/>
    </xf>
    <xf numFmtId="0" fontId="34" fillId="0" borderId="9" applyNumberFormat="0" applyFill="0" applyAlignment="0" applyProtection="0">
      <alignment vertical="center"/>
    </xf>
    <xf numFmtId="0" fontId="34" fillId="0" borderId="0" applyNumberFormat="0" applyFill="0" applyBorder="0" applyAlignment="0" applyProtection="0">
      <alignment vertical="center"/>
    </xf>
    <xf numFmtId="0" fontId="35" fillId="30" borderId="5" applyNumberFormat="0" applyAlignment="0" applyProtection="0">
      <alignment vertical="center"/>
    </xf>
    <xf numFmtId="0" fontId="36" fillId="0" borderId="10" applyNumberFormat="0" applyFill="0" applyAlignment="0" applyProtection="0">
      <alignment vertical="center"/>
    </xf>
    <xf numFmtId="0" fontId="37" fillId="31" borderId="0" applyNumberFormat="0" applyBorder="0" applyAlignment="0" applyProtection="0">
      <alignment vertical="center"/>
    </xf>
    <xf numFmtId="0" fontId="15" fillId="0" borderId="0">
      <alignment vertical="center"/>
    </xf>
    <xf numFmtId="0" fontId="12" fillId="0" borderId="0">
      <alignment vertical="center"/>
    </xf>
    <xf numFmtId="0" fontId="15" fillId="0" borderId="0">
      <alignment vertical="center"/>
    </xf>
    <xf numFmtId="0" fontId="14" fillId="0" borderId="0" applyNumberFormat="0" applyFont="0" applyFill="0" applyBorder="0" applyAlignment="0" applyProtection="0"/>
    <xf numFmtId="0" fontId="38" fillId="0" borderId="0">
      <alignment vertical="center"/>
    </xf>
    <xf numFmtId="0" fontId="14" fillId="0" borderId="0" applyNumberFormat="0" applyFont="0" applyFill="0" applyBorder="0" applyAlignment="0" applyProtection="0"/>
    <xf numFmtId="0" fontId="14" fillId="0" borderId="0" applyNumberFormat="0" applyFont="0" applyFill="0" applyBorder="0" applyAlignment="0" applyProtection="0"/>
    <xf numFmtId="0" fontId="25" fillId="0" borderId="0">
      <alignment vertical="center"/>
    </xf>
    <xf numFmtId="0" fontId="25" fillId="0" borderId="0">
      <alignment vertical="center"/>
    </xf>
    <xf numFmtId="0" fontId="20" fillId="32" borderId="11" applyNumberFormat="0" applyFont="0" applyAlignment="0" applyProtection="0">
      <alignment vertical="center"/>
    </xf>
    <xf numFmtId="0" fontId="39" fillId="27" borderId="12" applyNumberFormat="0" applyAlignment="0" applyProtection="0">
      <alignment vertical="center"/>
    </xf>
    <xf numFmtId="0" fontId="40" fillId="0" borderId="0" applyNumberFormat="0" applyFill="0" applyBorder="0" applyAlignment="0" applyProtection="0">
      <alignment vertical="center"/>
    </xf>
    <xf numFmtId="0" fontId="41" fillId="0" borderId="13" applyNumberFormat="0" applyFill="0" applyAlignment="0" applyProtection="0">
      <alignment vertical="center"/>
    </xf>
    <xf numFmtId="0" fontId="42" fillId="0" borderId="0" applyNumberFormat="0" applyFill="0" applyBorder="0" applyAlignment="0" applyProtection="0">
      <alignment vertical="center"/>
    </xf>
    <xf numFmtId="0" fontId="25" fillId="0" borderId="0"/>
    <xf numFmtId="0" fontId="25" fillId="0" borderId="0">
      <alignment vertical="center"/>
    </xf>
    <xf numFmtId="0" fontId="15" fillId="0" borderId="0">
      <alignment vertical="center"/>
    </xf>
    <xf numFmtId="0" fontId="11" fillId="0" borderId="0">
      <alignment vertical="center"/>
    </xf>
  </cellStyleXfs>
  <cellXfs count="195">
    <xf numFmtId="0" fontId="0" fillId="0" borderId="0" xfId="0">
      <alignment vertical="center"/>
    </xf>
    <xf numFmtId="0" fontId="19" fillId="33" borderId="1" xfId="0" applyFont="1" applyFill="1" applyBorder="1">
      <alignment vertical="center"/>
    </xf>
    <xf numFmtId="0" fontId="21" fillId="33" borderId="1" xfId="0" applyFont="1" applyFill="1" applyBorder="1">
      <alignment vertical="center"/>
    </xf>
    <xf numFmtId="0" fontId="17" fillId="0" borderId="1" xfId="0" applyFont="1" applyBorder="1">
      <alignment vertical="center"/>
    </xf>
    <xf numFmtId="0" fontId="17" fillId="33" borderId="1" xfId="0" applyFont="1" applyFill="1" applyBorder="1">
      <alignment vertical="center"/>
    </xf>
    <xf numFmtId="0" fontId="16" fillId="33" borderId="1" xfId="0" applyFont="1" applyFill="1" applyBorder="1">
      <alignment vertical="center"/>
    </xf>
    <xf numFmtId="0" fontId="19" fillId="33" borderId="3" xfId="0" applyFont="1" applyFill="1" applyBorder="1">
      <alignment vertical="center"/>
    </xf>
    <xf numFmtId="0" fontId="19" fillId="33" borderId="1" xfId="0" applyFont="1" applyFill="1" applyBorder="1" applyAlignment="1">
      <alignment horizontal="center" vertical="center"/>
    </xf>
    <xf numFmtId="0" fontId="19" fillId="33" borderId="3" xfId="0" applyFont="1" applyFill="1" applyBorder="1" applyAlignment="1">
      <alignment horizontal="center" vertical="center"/>
    </xf>
    <xf numFmtId="0" fontId="23" fillId="0" borderId="1" xfId="40" applyFont="1" applyBorder="1" applyAlignment="1">
      <alignment horizontal="center"/>
    </xf>
    <xf numFmtId="0" fontId="22" fillId="33" borderId="1" xfId="0" applyFont="1" applyFill="1" applyBorder="1" applyAlignment="1">
      <alignment horizontal="center" vertical="center"/>
    </xf>
    <xf numFmtId="0" fontId="49" fillId="0" borderId="0" xfId="0" applyFont="1">
      <alignment vertical="center"/>
    </xf>
    <xf numFmtId="0" fontId="51" fillId="33" borderId="1" xfId="0" applyFont="1" applyFill="1" applyBorder="1">
      <alignment vertical="center"/>
    </xf>
    <xf numFmtId="0" fontId="51" fillId="33" borderId="2" xfId="0" applyFont="1" applyFill="1" applyBorder="1">
      <alignment vertical="center"/>
    </xf>
    <xf numFmtId="0" fontId="51" fillId="33" borderId="4" xfId="0" applyFont="1" applyFill="1" applyBorder="1">
      <alignment vertical="center"/>
    </xf>
    <xf numFmtId="0" fontId="43" fillId="33" borderId="2" xfId="0" applyFont="1" applyFill="1" applyBorder="1">
      <alignment vertical="center"/>
    </xf>
    <xf numFmtId="0" fontId="51" fillId="33" borderId="0" xfId="0" applyFont="1" applyFill="1">
      <alignment vertical="center"/>
    </xf>
    <xf numFmtId="0" fontId="43" fillId="0" borderId="2" xfId="0" applyFont="1" applyBorder="1">
      <alignment vertical="center"/>
    </xf>
    <xf numFmtId="0" fontId="19" fillId="0" borderId="1" xfId="0" applyFont="1" applyFill="1" applyBorder="1">
      <alignment vertical="center"/>
    </xf>
    <xf numFmtId="0" fontId="0" fillId="0" borderId="0" xfId="0" applyFill="1">
      <alignment vertical="center"/>
    </xf>
    <xf numFmtId="0" fontId="21" fillId="0" borderId="1" xfId="0" applyFont="1" applyFill="1" applyBorder="1">
      <alignment vertical="center"/>
    </xf>
    <xf numFmtId="0" fontId="53" fillId="37" borderId="15" xfId="51" applyFont="1" applyFill="1" applyBorder="1" applyAlignment="1">
      <alignment vertical="center" wrapText="1"/>
    </xf>
    <xf numFmtId="0" fontId="53" fillId="37" borderId="18" xfId="51" applyFont="1" applyFill="1" applyBorder="1" applyAlignment="1">
      <alignment vertical="center" wrapText="1"/>
    </xf>
    <xf numFmtId="0" fontId="44" fillId="0" borderId="19" xfId="51" applyFont="1" applyBorder="1" applyAlignment="1">
      <alignment vertical="center" wrapText="1"/>
    </xf>
    <xf numFmtId="0" fontId="53" fillId="37" borderId="20" xfId="51" applyFont="1" applyFill="1" applyBorder="1" applyAlignment="1">
      <alignment vertical="center" wrapText="1"/>
    </xf>
    <xf numFmtId="0" fontId="44" fillId="0" borderId="21" xfId="51" applyFont="1" applyBorder="1" applyAlignment="1">
      <alignment vertical="center" wrapText="1"/>
    </xf>
    <xf numFmtId="0" fontId="44" fillId="0" borderId="22" xfId="51" applyFont="1" applyBorder="1" applyAlignment="1">
      <alignment vertical="center" wrapText="1"/>
    </xf>
    <xf numFmtId="0" fontId="44" fillId="0" borderId="20" xfId="51" applyFont="1" applyBorder="1" applyAlignment="1">
      <alignment vertical="center" wrapText="1"/>
    </xf>
    <xf numFmtId="0" fontId="46" fillId="0" borderId="23" xfId="51" applyFont="1" applyFill="1" applyBorder="1" applyAlignment="1">
      <alignment horizontal="center" vertical="center" wrapText="1"/>
    </xf>
    <xf numFmtId="0" fontId="46" fillId="37" borderId="24" xfId="51" applyFont="1" applyFill="1" applyBorder="1" applyAlignment="1">
      <alignment horizontal="center" vertical="center" wrapText="1"/>
    </xf>
    <xf numFmtId="0" fontId="46" fillId="37" borderId="25" xfId="51" applyFont="1" applyFill="1" applyBorder="1" applyAlignment="1">
      <alignment horizontal="center" vertical="center" wrapText="1"/>
    </xf>
    <xf numFmtId="0" fontId="46" fillId="40" borderId="17" xfId="51" applyFont="1" applyFill="1" applyBorder="1" applyAlignment="1">
      <alignment horizontal="center" vertical="center" wrapText="1"/>
    </xf>
    <xf numFmtId="0" fontId="46" fillId="41" borderId="1" xfId="51" applyFont="1" applyFill="1" applyBorder="1" applyAlignment="1">
      <alignment horizontal="center" vertical="center" wrapText="1"/>
    </xf>
    <xf numFmtId="0" fontId="46" fillId="39" borderId="1" xfId="51" applyFont="1" applyFill="1" applyBorder="1" applyAlignment="1">
      <alignment horizontal="center" vertical="center" wrapText="1"/>
    </xf>
    <xf numFmtId="0" fontId="45" fillId="0" borderId="1" xfId="0" applyFont="1" applyFill="1" applyBorder="1" applyAlignment="1">
      <alignment horizontal="justify" vertical="center" wrapText="1"/>
    </xf>
    <xf numFmtId="0" fontId="0" fillId="0" borderId="14" xfId="0" applyBorder="1">
      <alignment vertical="center"/>
    </xf>
    <xf numFmtId="0" fontId="46" fillId="0" borderId="15" xfId="51" applyFont="1" applyFill="1" applyBorder="1" applyAlignment="1">
      <alignment horizontal="center" vertical="center" wrapText="1"/>
    </xf>
    <xf numFmtId="0" fontId="46" fillId="40" borderId="16" xfId="51" applyFont="1" applyFill="1" applyBorder="1" applyAlignment="1">
      <alignment horizontal="center" vertical="center" wrapText="1"/>
    </xf>
    <xf numFmtId="0" fontId="46" fillId="0" borderId="18" xfId="51" applyFont="1" applyFill="1" applyBorder="1" applyAlignment="1">
      <alignment horizontal="center" vertical="center" wrapText="1"/>
    </xf>
    <xf numFmtId="0" fontId="46" fillId="41" borderId="19" xfId="51" applyFont="1" applyFill="1" applyBorder="1" applyAlignment="1">
      <alignment horizontal="center" vertical="center" wrapText="1"/>
    </xf>
    <xf numFmtId="0" fontId="46" fillId="39" borderId="19" xfId="51" applyFont="1" applyFill="1" applyBorder="1" applyAlignment="1">
      <alignment horizontal="center" vertical="center" wrapText="1"/>
    </xf>
    <xf numFmtId="0" fontId="45" fillId="0" borderId="19" xfId="0" applyFont="1" applyFill="1" applyBorder="1" applyAlignment="1">
      <alignment horizontal="justify" vertical="center" wrapText="1"/>
    </xf>
    <xf numFmtId="0" fontId="45" fillId="0" borderId="21" xfId="0" applyFont="1" applyFill="1" applyBorder="1" applyAlignment="1">
      <alignment horizontal="justify" vertical="center" wrapText="1"/>
    </xf>
    <xf numFmtId="0" fontId="45" fillId="0" borderId="22" xfId="0" applyFont="1" applyFill="1" applyBorder="1" applyAlignment="1">
      <alignment horizontal="justify" vertical="center" wrapText="1"/>
    </xf>
    <xf numFmtId="0" fontId="0" fillId="0" borderId="18" xfId="0" applyBorder="1">
      <alignment vertical="center"/>
    </xf>
    <xf numFmtId="0" fontId="0" fillId="0" borderId="19" xfId="0" applyBorder="1">
      <alignment vertical="center"/>
    </xf>
    <xf numFmtId="0" fontId="0" fillId="0" borderId="20" xfId="0" applyBorder="1">
      <alignment vertical="center"/>
    </xf>
    <xf numFmtId="0" fontId="0" fillId="0" borderId="22" xfId="0" applyBorder="1">
      <alignment vertical="center"/>
    </xf>
    <xf numFmtId="0" fontId="54" fillId="38" borderId="15" xfId="53" applyFont="1" applyFill="1" applyBorder="1" applyAlignment="1">
      <alignment horizontal="center" vertical="center" wrapText="1"/>
    </xf>
    <xf numFmtId="0" fontId="54" fillId="38" borderId="16" xfId="53" applyFont="1" applyFill="1" applyBorder="1" applyAlignment="1">
      <alignment horizontal="center" vertical="center" wrapText="1"/>
    </xf>
    <xf numFmtId="0" fontId="54" fillId="38" borderId="17" xfId="53" applyFont="1" applyFill="1" applyBorder="1" applyAlignment="1">
      <alignment horizontal="center" vertical="center" wrapText="1"/>
    </xf>
    <xf numFmtId="0" fontId="19" fillId="33" borderId="26" xfId="0" applyFont="1" applyFill="1" applyBorder="1">
      <alignment vertical="center"/>
    </xf>
    <xf numFmtId="0" fontId="17" fillId="0" borderId="26" xfId="0" applyFont="1" applyBorder="1">
      <alignment vertical="center"/>
    </xf>
    <xf numFmtId="0" fontId="51" fillId="33" borderId="26" xfId="0" applyFont="1" applyFill="1" applyBorder="1">
      <alignment vertical="center"/>
    </xf>
    <xf numFmtId="0" fontId="19" fillId="33" borderId="4" xfId="0" applyFont="1" applyFill="1" applyBorder="1">
      <alignment vertical="center"/>
    </xf>
    <xf numFmtId="0" fontId="21" fillId="0" borderId="26" xfId="0" applyFont="1" applyFill="1" applyBorder="1">
      <alignment vertical="center"/>
    </xf>
    <xf numFmtId="0" fontId="23" fillId="0" borderId="26" xfId="40" applyFont="1" applyBorder="1" applyAlignment="1">
      <alignment horizontal="center"/>
    </xf>
    <xf numFmtId="0" fontId="48" fillId="39" borderId="23" xfId="40" applyFont="1" applyFill="1" applyBorder="1" applyAlignment="1">
      <alignment horizontal="center" vertical="center" wrapText="1"/>
    </xf>
    <xf numFmtId="0" fontId="48" fillId="39" borderId="24" xfId="40" applyFont="1" applyFill="1" applyBorder="1" applyAlignment="1">
      <alignment horizontal="center" vertical="center" wrapText="1"/>
    </xf>
    <xf numFmtId="0" fontId="50" fillId="34" borderId="24" xfId="0" applyFont="1" applyFill="1" applyBorder="1" applyAlignment="1">
      <alignment horizontal="center" vertical="center"/>
    </xf>
    <xf numFmtId="0" fontId="18" fillId="40" borderId="24" xfId="0" applyFont="1" applyFill="1" applyBorder="1">
      <alignment vertical="center"/>
    </xf>
    <xf numFmtId="0" fontId="19" fillId="40" borderId="24" xfId="0" applyFont="1" applyFill="1" applyBorder="1">
      <alignment vertical="center"/>
    </xf>
    <xf numFmtId="0" fontId="18" fillId="0" borderId="24" xfId="0" applyFont="1" applyBorder="1">
      <alignment vertical="center"/>
    </xf>
    <xf numFmtId="0" fontId="19" fillId="33" borderId="24" xfId="0" applyFont="1" applyFill="1" applyBorder="1">
      <alignment vertical="center"/>
    </xf>
    <xf numFmtId="0" fontId="19" fillId="36" borderId="24" xfId="0" applyFont="1" applyFill="1" applyBorder="1">
      <alignment vertical="center"/>
    </xf>
    <xf numFmtId="0" fontId="19" fillId="36" borderId="25" xfId="0" applyFont="1" applyFill="1" applyBorder="1">
      <alignment vertical="center"/>
    </xf>
    <xf numFmtId="0" fontId="55" fillId="42" borderId="1" xfId="40" applyNumberFormat="1" applyFont="1" applyFill="1" applyBorder="1" applyAlignment="1">
      <alignment horizontal="center"/>
    </xf>
    <xf numFmtId="0" fontId="55" fillId="43" borderId="1" xfId="40" applyNumberFormat="1" applyFont="1" applyFill="1" applyBorder="1" applyAlignment="1">
      <alignment horizontal="center"/>
    </xf>
    <xf numFmtId="0" fontId="18" fillId="40" borderId="27" xfId="0" applyFont="1" applyFill="1" applyBorder="1">
      <alignment vertical="center"/>
    </xf>
    <xf numFmtId="0" fontId="19" fillId="33" borderId="26" xfId="0" applyFont="1" applyFill="1" applyBorder="1" applyAlignment="1">
      <alignment horizontal="center" vertical="center"/>
    </xf>
    <xf numFmtId="0" fontId="0" fillId="0" borderId="3" xfId="0" applyBorder="1">
      <alignment vertical="center"/>
    </xf>
    <xf numFmtId="0" fontId="0" fillId="0" borderId="1" xfId="0" applyBorder="1">
      <alignment vertical="center"/>
    </xf>
    <xf numFmtId="0" fontId="0" fillId="0" borderId="21" xfId="0" applyBorder="1">
      <alignment vertical="center"/>
    </xf>
    <xf numFmtId="0" fontId="0" fillId="0" borderId="29" xfId="0" applyBorder="1">
      <alignment vertical="center"/>
    </xf>
    <xf numFmtId="0" fontId="0" fillId="0" borderId="30" xfId="0" applyBorder="1">
      <alignment vertical="center"/>
    </xf>
    <xf numFmtId="0" fontId="0" fillId="0" borderId="31" xfId="0" applyBorder="1">
      <alignment vertical="center"/>
    </xf>
    <xf numFmtId="0" fontId="24" fillId="35" borderId="23" xfId="0" applyFont="1" applyFill="1" applyBorder="1">
      <alignment vertical="center"/>
    </xf>
    <xf numFmtId="0" fontId="24" fillId="44" borderId="32" xfId="0" applyFont="1" applyFill="1" applyBorder="1">
      <alignment vertical="center"/>
    </xf>
    <xf numFmtId="0" fontId="24" fillId="44" borderId="25" xfId="0" applyFont="1" applyFill="1" applyBorder="1">
      <alignment vertical="center"/>
    </xf>
    <xf numFmtId="0" fontId="19" fillId="33" borderId="1" xfId="0" applyFont="1" applyFill="1" applyBorder="1" applyAlignment="1">
      <alignment horizontal="left" vertical="center"/>
    </xf>
    <xf numFmtId="0" fontId="19" fillId="0" borderId="1" xfId="0" applyFont="1" applyFill="1" applyBorder="1" applyAlignment="1">
      <alignment horizontal="left" vertical="center"/>
    </xf>
    <xf numFmtId="0" fontId="46" fillId="37" borderId="24" xfId="51" applyFont="1" applyFill="1" applyBorder="1" applyAlignment="1">
      <alignment horizontal="left" vertical="center"/>
    </xf>
    <xf numFmtId="0" fontId="45" fillId="0" borderId="36" xfId="0" applyFont="1" applyFill="1" applyBorder="1" applyAlignment="1">
      <alignment horizontal="justify" vertical="center" wrapText="1"/>
    </xf>
    <xf numFmtId="0" fontId="45" fillId="0" borderId="37" xfId="0" applyFont="1" applyFill="1" applyBorder="1" applyAlignment="1">
      <alignment horizontal="justify" vertical="center" wrapText="1"/>
    </xf>
    <xf numFmtId="0" fontId="46" fillId="0" borderId="38" xfId="51" applyFont="1" applyFill="1" applyBorder="1" applyAlignment="1">
      <alignment horizontal="center" vertical="center" wrapText="1"/>
    </xf>
    <xf numFmtId="0" fontId="18" fillId="0" borderId="24" xfId="0" applyFont="1" applyFill="1" applyBorder="1">
      <alignment vertical="center"/>
    </xf>
    <xf numFmtId="0" fontId="18" fillId="41" borderId="24" xfId="0" applyFont="1" applyFill="1" applyBorder="1">
      <alignment vertical="center"/>
    </xf>
    <xf numFmtId="0" fontId="19" fillId="0" borderId="26" xfId="0" applyFont="1" applyFill="1" applyBorder="1">
      <alignment vertical="center"/>
    </xf>
    <xf numFmtId="0" fontId="22" fillId="0" borderId="1" xfId="0" applyFont="1" applyFill="1" applyBorder="1" applyAlignment="1">
      <alignment horizontal="center" vertical="center"/>
    </xf>
    <xf numFmtId="0" fontId="57" fillId="0" borderId="0" xfId="51" applyFont="1" applyFill="1" applyBorder="1" applyAlignment="1">
      <alignment vertical="center" wrapText="1"/>
    </xf>
    <xf numFmtId="0" fontId="11" fillId="0" borderId="0" xfId="54">
      <alignment vertical="center"/>
    </xf>
    <xf numFmtId="0" fontId="11" fillId="0" borderId="14" xfId="54" applyBorder="1">
      <alignment vertical="center"/>
    </xf>
    <xf numFmtId="0" fontId="11" fillId="0" borderId="26" xfId="54" applyBorder="1">
      <alignment vertical="center"/>
    </xf>
    <xf numFmtId="0" fontId="11" fillId="0" borderId="31" xfId="54" applyBorder="1">
      <alignment vertical="center"/>
    </xf>
    <xf numFmtId="0" fontId="11" fillId="0" borderId="29" xfId="54" applyBorder="1">
      <alignment vertical="center"/>
    </xf>
    <xf numFmtId="0" fontId="11" fillId="0" borderId="28" xfId="54" applyBorder="1">
      <alignment vertical="center"/>
    </xf>
    <xf numFmtId="0" fontId="11" fillId="0" borderId="1" xfId="54" applyBorder="1">
      <alignment vertical="center"/>
    </xf>
    <xf numFmtId="0" fontId="11" fillId="0" borderId="19" xfId="54" applyBorder="1">
      <alignment vertical="center"/>
    </xf>
    <xf numFmtId="0" fontId="11" fillId="0" borderId="18" xfId="54" applyBorder="1">
      <alignment vertical="center"/>
    </xf>
    <xf numFmtId="0" fontId="11" fillId="0" borderId="21" xfId="54" applyBorder="1">
      <alignment vertical="center"/>
    </xf>
    <xf numFmtId="0" fontId="11" fillId="0" borderId="22" xfId="54" applyBorder="1">
      <alignment vertical="center"/>
    </xf>
    <xf numFmtId="0" fontId="11" fillId="0" borderId="20" xfId="54" applyBorder="1">
      <alignment vertical="center"/>
    </xf>
    <xf numFmtId="0" fontId="46" fillId="0" borderId="38" xfId="51" applyFont="1" applyFill="1" applyBorder="1" applyAlignment="1">
      <alignment horizontal="center" vertical="center" wrapText="1"/>
    </xf>
    <xf numFmtId="0" fontId="11" fillId="0" borderId="19" xfId="54" applyBorder="1" applyAlignment="1">
      <alignment vertical="center"/>
    </xf>
    <xf numFmtId="0" fontId="10" fillId="0" borderId="1" xfId="54" applyFont="1" applyBorder="1">
      <alignment vertical="center"/>
    </xf>
    <xf numFmtId="0" fontId="10" fillId="0" borderId="14" xfId="54" applyFont="1" applyBorder="1">
      <alignment vertical="center"/>
    </xf>
    <xf numFmtId="0" fontId="10" fillId="0" borderId="19" xfId="54" applyFont="1" applyBorder="1" applyAlignment="1">
      <alignment vertical="center"/>
    </xf>
    <xf numFmtId="0" fontId="11" fillId="0" borderId="37" xfId="54" applyBorder="1" applyAlignment="1">
      <alignment vertical="center"/>
    </xf>
    <xf numFmtId="0" fontId="10" fillId="0" borderId="0" xfId="54" applyFont="1">
      <alignment vertical="center"/>
    </xf>
    <xf numFmtId="0" fontId="11" fillId="0" borderId="19" xfId="54" applyBorder="1">
      <alignment vertical="center"/>
    </xf>
    <xf numFmtId="0" fontId="9" fillId="0" borderId="1" xfId="54" applyFont="1" applyBorder="1">
      <alignment vertical="center"/>
    </xf>
    <xf numFmtId="0" fontId="11" fillId="0" borderId="18" xfId="54" applyFill="1" applyBorder="1">
      <alignment vertical="center"/>
    </xf>
    <xf numFmtId="0" fontId="59" fillId="0" borderId="36" xfId="0" applyFont="1" applyFill="1" applyBorder="1" applyAlignment="1">
      <alignment horizontal="justify" vertical="center" wrapText="1"/>
    </xf>
    <xf numFmtId="0" fontId="59" fillId="34" borderId="1" xfId="51" applyFont="1" applyFill="1" applyBorder="1" applyAlignment="1">
      <alignment vertical="center" wrapText="1"/>
    </xf>
    <xf numFmtId="0" fontId="59" fillId="0" borderId="1" xfId="51" applyFont="1" applyBorder="1" applyAlignment="1">
      <alignment vertical="center" wrapText="1"/>
    </xf>
    <xf numFmtId="0" fontId="59" fillId="34" borderId="21" xfId="51" applyFont="1" applyFill="1" applyBorder="1" applyAlignment="1">
      <alignment vertical="center" wrapText="1"/>
    </xf>
    <xf numFmtId="0" fontId="59" fillId="0" borderId="21" xfId="51" applyFont="1" applyBorder="1" applyAlignment="1">
      <alignment vertical="center" wrapText="1"/>
    </xf>
    <xf numFmtId="0" fontId="19" fillId="0" borderId="26" xfId="0" applyFont="1" applyBorder="1" applyAlignment="1">
      <alignment horizontal="center" vertical="center"/>
    </xf>
    <xf numFmtId="0" fontId="60" fillId="0" borderId="0" xfId="0" applyFont="1">
      <alignment vertical="center"/>
    </xf>
    <xf numFmtId="0" fontId="19" fillId="0" borderId="1" xfId="0" applyFont="1" applyBorder="1" applyAlignment="1">
      <alignment horizontal="center" vertical="center"/>
    </xf>
    <xf numFmtId="0" fontId="19" fillId="33" borderId="2" xfId="0" applyFont="1" applyFill="1" applyBorder="1">
      <alignment vertical="center"/>
    </xf>
    <xf numFmtId="0" fontId="21" fillId="33" borderId="2" xfId="0" applyFont="1" applyFill="1" applyBorder="1">
      <alignment vertical="center"/>
    </xf>
    <xf numFmtId="0" fontId="61" fillId="0" borderId="1" xfId="0" applyFont="1" applyFill="1" applyBorder="1">
      <alignment vertical="center"/>
    </xf>
    <xf numFmtId="0" fontId="61" fillId="33" borderId="1" xfId="0" applyFont="1" applyFill="1" applyBorder="1">
      <alignment vertical="center"/>
    </xf>
    <xf numFmtId="0" fontId="61" fillId="33" borderId="2" xfId="0" applyFont="1" applyFill="1" applyBorder="1">
      <alignment vertical="center"/>
    </xf>
    <xf numFmtId="0" fontId="21" fillId="0" borderId="2" xfId="0" applyFont="1" applyBorder="1">
      <alignment vertical="center"/>
    </xf>
    <xf numFmtId="0" fontId="24" fillId="35" borderId="45" xfId="0" applyFont="1" applyFill="1" applyBorder="1">
      <alignment vertical="center"/>
    </xf>
    <xf numFmtId="0" fontId="24" fillId="36" borderId="46" xfId="0" applyFont="1" applyFill="1" applyBorder="1">
      <alignment vertical="center"/>
    </xf>
    <xf numFmtId="0" fontId="8" fillId="0" borderId="1" xfId="54" applyFont="1" applyBorder="1">
      <alignment vertical="center"/>
    </xf>
    <xf numFmtId="0" fontId="7" fillId="0" borderId="19" xfId="54" applyFont="1" applyBorder="1" applyAlignment="1">
      <alignment vertical="center"/>
    </xf>
    <xf numFmtId="0" fontId="7" fillId="0" borderId="1" xfId="54" applyFont="1" applyBorder="1">
      <alignment vertical="center"/>
    </xf>
    <xf numFmtId="0" fontId="6" fillId="0" borderId="14" xfId="54" applyFont="1" applyFill="1" applyBorder="1">
      <alignment vertical="center"/>
    </xf>
    <xf numFmtId="20" fontId="6" fillId="0" borderId="0" xfId="54" applyNumberFormat="1" applyFont="1">
      <alignment vertical="center"/>
    </xf>
    <xf numFmtId="0" fontId="5" fillId="0" borderId="1" xfId="54" applyFont="1" applyBorder="1">
      <alignment vertical="center"/>
    </xf>
    <xf numFmtId="0" fontId="4" fillId="0" borderId="19" xfId="54" applyFont="1" applyBorder="1" applyAlignment="1">
      <alignment vertical="center"/>
    </xf>
    <xf numFmtId="0" fontId="3" fillId="0" borderId="14" xfId="54" applyFont="1" applyBorder="1">
      <alignment vertical="center"/>
    </xf>
    <xf numFmtId="0" fontId="3" fillId="0" borderId="14" xfId="54" applyFont="1" applyFill="1" applyBorder="1">
      <alignment vertical="center"/>
    </xf>
    <xf numFmtId="0" fontId="3" fillId="0" borderId="31" xfId="54" applyFont="1" applyBorder="1">
      <alignment vertical="center"/>
    </xf>
    <xf numFmtId="0" fontId="3" fillId="0" borderId="31" xfId="54" applyFont="1" applyBorder="1" applyAlignment="1">
      <alignment vertical="center" wrapText="1"/>
    </xf>
    <xf numFmtId="0" fontId="3" fillId="0" borderId="17" xfId="54" applyFont="1" applyBorder="1">
      <alignment vertical="center"/>
    </xf>
    <xf numFmtId="0" fontId="2" fillId="0" borderId="31" xfId="54" applyFont="1" applyBorder="1">
      <alignment vertical="center"/>
    </xf>
    <xf numFmtId="0" fontId="3" fillId="0" borderId="15" xfId="54" applyFont="1" applyBorder="1">
      <alignment vertical="center"/>
    </xf>
    <xf numFmtId="0" fontId="3" fillId="0" borderId="16" xfId="54" applyFont="1" applyBorder="1">
      <alignment vertical="center"/>
    </xf>
    <xf numFmtId="0" fontId="3" fillId="0" borderId="26" xfId="54" applyFont="1" applyBorder="1">
      <alignment vertical="center"/>
    </xf>
    <xf numFmtId="0" fontId="3" fillId="0" borderId="29" xfId="54" applyFont="1" applyBorder="1">
      <alignment vertical="center"/>
    </xf>
    <xf numFmtId="0" fontId="3" fillId="0" borderId="18" xfId="54" applyFont="1" applyBorder="1">
      <alignment vertical="center"/>
    </xf>
    <xf numFmtId="0" fontId="3" fillId="0" borderId="1" xfId="54" applyFont="1" applyBorder="1">
      <alignment vertical="center"/>
    </xf>
    <xf numFmtId="0" fontId="3" fillId="0" borderId="21" xfId="54" applyFont="1" applyBorder="1">
      <alignment vertical="center"/>
    </xf>
    <xf numFmtId="0" fontId="2" fillId="0" borderId="29" xfId="54" applyFont="1" applyBorder="1">
      <alignment vertical="center"/>
    </xf>
    <xf numFmtId="0" fontId="3" fillId="0" borderId="26" xfId="54" applyFont="1" applyBorder="1" applyAlignment="1">
      <alignment vertical="center" wrapText="1"/>
    </xf>
    <xf numFmtId="0" fontId="2" fillId="0" borderId="15" xfId="54" applyFont="1" applyBorder="1">
      <alignment vertical="center"/>
    </xf>
    <xf numFmtId="0" fontId="2" fillId="0" borderId="34" xfId="54" applyFont="1" applyBorder="1">
      <alignment vertical="center"/>
    </xf>
    <xf numFmtId="0" fontId="3" fillId="0" borderId="49" xfId="54" applyFont="1" applyBorder="1">
      <alignment vertical="center"/>
    </xf>
    <xf numFmtId="0" fontId="2" fillId="0" borderId="14" xfId="54" applyFont="1" applyBorder="1">
      <alignment vertical="center"/>
    </xf>
    <xf numFmtId="0" fontId="2" fillId="0" borderId="49" xfId="54" applyFont="1" applyBorder="1">
      <alignment vertical="center"/>
    </xf>
    <xf numFmtId="0" fontId="2" fillId="0" borderId="26" xfId="54" applyFont="1" applyBorder="1">
      <alignment vertical="center"/>
    </xf>
    <xf numFmtId="0" fontId="2" fillId="0" borderId="49" xfId="54" applyFont="1" applyBorder="1" applyAlignment="1">
      <alignment vertical="center" wrapText="1"/>
    </xf>
    <xf numFmtId="0" fontId="2" fillId="0" borderId="29" xfId="54" applyFont="1" applyBorder="1" applyAlignment="1">
      <alignment vertical="center" wrapText="1"/>
    </xf>
    <xf numFmtId="0" fontId="2" fillId="0" borderId="1" xfId="54" applyFont="1" applyBorder="1">
      <alignment vertical="center"/>
    </xf>
    <xf numFmtId="0" fontId="2" fillId="0" borderId="19" xfId="54" applyFont="1" applyBorder="1">
      <alignment vertical="center"/>
    </xf>
    <xf numFmtId="0" fontId="2" fillId="34" borderId="14" xfId="54" applyFont="1" applyFill="1" applyBorder="1">
      <alignment vertical="center"/>
    </xf>
    <xf numFmtId="0" fontId="2" fillId="0" borderId="29" xfId="54" applyFont="1" applyFill="1" applyBorder="1">
      <alignment vertical="center"/>
    </xf>
    <xf numFmtId="0" fontId="2" fillId="0" borderId="26" xfId="54" applyFont="1" applyFill="1" applyBorder="1">
      <alignment vertical="center"/>
    </xf>
    <xf numFmtId="0" fontId="2" fillId="0" borderId="18" xfId="54" applyFont="1" applyBorder="1">
      <alignment vertical="center"/>
    </xf>
    <xf numFmtId="0" fontId="2" fillId="0" borderId="20" xfId="54" applyFont="1" applyBorder="1">
      <alignment vertical="center"/>
    </xf>
    <xf numFmtId="0" fontId="2" fillId="0" borderId="28" xfId="54" applyFont="1" applyBorder="1">
      <alignment vertical="center"/>
    </xf>
    <xf numFmtId="0" fontId="2" fillId="0" borderId="50" xfId="54" applyFont="1" applyBorder="1">
      <alignment vertical="center"/>
    </xf>
    <xf numFmtId="0" fontId="2" fillId="0" borderId="31" xfId="54" applyFont="1" applyFill="1" applyBorder="1">
      <alignment vertical="center"/>
    </xf>
    <xf numFmtId="0" fontId="2" fillId="0" borderId="26" xfId="54" applyFont="1" applyBorder="1" applyAlignment="1">
      <alignment vertical="center" wrapText="1"/>
    </xf>
    <xf numFmtId="0" fontId="2" fillId="0" borderId="31" xfId="54" applyFont="1" applyBorder="1" applyAlignment="1">
      <alignment vertical="center" wrapText="1"/>
    </xf>
    <xf numFmtId="0" fontId="24" fillId="44" borderId="24" xfId="0" applyFont="1" applyFill="1" applyBorder="1">
      <alignment vertical="center"/>
    </xf>
    <xf numFmtId="0" fontId="0" fillId="0" borderId="26" xfId="0" applyBorder="1">
      <alignment vertical="center"/>
    </xf>
    <xf numFmtId="0" fontId="53" fillId="37" borderId="33" xfId="51" applyFont="1" applyFill="1" applyBorder="1" applyAlignment="1">
      <alignment horizontal="center" vertical="center" wrapText="1"/>
    </xf>
    <xf numFmtId="0" fontId="53" fillId="37" borderId="34" xfId="51" applyFont="1" applyFill="1" applyBorder="1" applyAlignment="1">
      <alignment horizontal="center" vertical="center" wrapText="1"/>
    </xf>
    <xf numFmtId="0" fontId="53" fillId="37" borderId="16" xfId="51" applyFont="1" applyFill="1" applyBorder="1" applyAlignment="1">
      <alignment horizontal="center" vertical="center" wrapText="1"/>
    </xf>
    <xf numFmtId="0" fontId="53" fillId="37" borderId="17" xfId="51" applyFont="1" applyFill="1" applyBorder="1" applyAlignment="1">
      <alignment horizontal="center" vertical="center" wrapText="1"/>
    </xf>
    <xf numFmtId="0" fontId="46" fillId="0" borderId="35" xfId="51" applyFont="1" applyFill="1" applyBorder="1" applyAlignment="1">
      <alignment horizontal="center" vertical="center" wrapText="1"/>
    </xf>
    <xf numFmtId="0" fontId="46" fillId="0" borderId="38" xfId="51" applyFont="1" applyFill="1" applyBorder="1" applyAlignment="1">
      <alignment horizontal="center" vertical="center" wrapText="1"/>
    </xf>
    <xf numFmtId="0" fontId="46" fillId="0" borderId="29" xfId="51" applyFont="1" applyFill="1" applyBorder="1" applyAlignment="1">
      <alignment horizontal="center" vertical="center" wrapText="1"/>
    </xf>
    <xf numFmtId="0" fontId="46" fillId="0" borderId="39" xfId="51" applyFont="1" applyFill="1" applyBorder="1" applyAlignment="1">
      <alignment horizontal="center" vertical="center" wrapText="1"/>
    </xf>
    <xf numFmtId="0" fontId="11" fillId="0" borderId="42" xfId="54" applyBorder="1">
      <alignment vertical="center"/>
    </xf>
    <xf numFmtId="0" fontId="11" fillId="0" borderId="40" xfId="54" applyBorder="1">
      <alignment vertical="center"/>
    </xf>
    <xf numFmtId="0" fontId="11" fillId="0" borderId="43" xfId="54" applyBorder="1">
      <alignment vertical="center"/>
    </xf>
    <xf numFmtId="0" fontId="11" fillId="0" borderId="41" xfId="54" applyBorder="1">
      <alignment vertical="center"/>
    </xf>
    <xf numFmtId="0" fontId="10" fillId="0" borderId="44" xfId="54" applyFont="1" applyBorder="1" applyAlignment="1">
      <alignment vertical="center"/>
    </xf>
    <xf numFmtId="0" fontId="10" fillId="0" borderId="43" xfId="54" applyFont="1" applyBorder="1" applyAlignment="1">
      <alignment vertical="center"/>
    </xf>
    <xf numFmtId="0" fontId="11" fillId="0" borderId="14" xfId="54" applyBorder="1">
      <alignment vertical="center"/>
    </xf>
    <xf numFmtId="0" fontId="2" fillId="0" borderId="14" xfId="54" applyFont="1" applyBorder="1">
      <alignment vertical="center"/>
    </xf>
    <xf numFmtId="0" fontId="10" fillId="0" borderId="40" xfId="54" applyFont="1" applyBorder="1">
      <alignment vertical="center"/>
    </xf>
    <xf numFmtId="0" fontId="2" fillId="0" borderId="48" xfId="54" applyFont="1" applyBorder="1" applyAlignment="1">
      <alignment vertical="center"/>
    </xf>
    <xf numFmtId="0" fontId="2" fillId="0" borderId="32" xfId="54" applyFont="1" applyBorder="1" applyAlignment="1">
      <alignment vertical="center"/>
    </xf>
    <xf numFmtId="0" fontId="11" fillId="0" borderId="32" xfId="54" applyBorder="1" applyAlignment="1">
      <alignment vertical="center"/>
    </xf>
    <xf numFmtId="0" fontId="11" fillId="0" borderId="47" xfId="54" applyBorder="1" applyAlignment="1">
      <alignment vertical="center"/>
    </xf>
    <xf numFmtId="0" fontId="3" fillId="0" borderId="48" xfId="54" applyFont="1" applyBorder="1" applyAlignment="1">
      <alignment vertical="center"/>
    </xf>
    <xf numFmtId="0" fontId="3" fillId="0" borderId="32" xfId="54" applyFont="1" applyBorder="1" applyAlignment="1">
      <alignment vertical="center"/>
    </xf>
  </cellXfs>
  <cellStyles count="55">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Calculation 2" xfId="26"/>
    <cellStyle name="Check Cell 2" xfId="27"/>
    <cellStyle name="Explanatory Text 2" xfId="28"/>
    <cellStyle name="Good 2" xfId="29"/>
    <cellStyle name="Heading 1 2" xfId="30"/>
    <cellStyle name="Heading 2 2" xfId="31"/>
    <cellStyle name="Heading 3 2" xfId="32"/>
    <cellStyle name="Heading 4 2" xfId="33"/>
    <cellStyle name="Input 2" xfId="34"/>
    <cellStyle name="Linked Cell 2" xfId="35"/>
    <cellStyle name="Neutral 2" xfId="36"/>
    <cellStyle name="Normal 17" xfId="51"/>
    <cellStyle name="Normal 19" xfId="53"/>
    <cellStyle name="Normal 2" xfId="37"/>
    <cellStyle name="Normal 2 2" xfId="38"/>
    <cellStyle name="Normal 2 2 2" xfId="39"/>
    <cellStyle name="Normal 25" xfId="52"/>
    <cellStyle name="Normal 3" xfId="40"/>
    <cellStyle name="Normal 3 2" xfId="41"/>
    <cellStyle name="Normal 4" xfId="42"/>
    <cellStyle name="Normal 4 2" xfId="43"/>
    <cellStyle name="Normal 5" xfId="44"/>
    <cellStyle name="Normal 6" xfId="45"/>
    <cellStyle name="Note 2" xfId="46"/>
    <cellStyle name="Output 2" xfId="47"/>
    <cellStyle name="Title 2" xfId="48"/>
    <cellStyle name="Total 2" xfId="49"/>
    <cellStyle name="Warning Text 2" xfId="50"/>
    <cellStyle name="標準" xfId="0" builtinId="0"/>
    <cellStyle name="標準 2" xfId="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0.499984740745262"/>
  </sheetPr>
  <dimension ref="A1:AA129"/>
  <sheetViews>
    <sheetView topLeftCell="C3" zoomScale="85" zoomScaleNormal="85" workbookViewId="0">
      <selection activeCell="J3" sqref="J3"/>
    </sheetView>
  </sheetViews>
  <sheetFormatPr defaultRowHeight="15.75"/>
  <cols>
    <col min="1" max="4" width="18.85546875" customWidth="1"/>
    <col min="5" max="5" width="21" bestFit="1" customWidth="1"/>
    <col min="6" max="6" width="20" bestFit="1" customWidth="1"/>
    <col min="7" max="7" width="10.28515625" bestFit="1" customWidth="1"/>
    <col min="8" max="8" width="12.85546875" bestFit="1" customWidth="1"/>
    <col min="9" max="10" width="22.28515625" bestFit="1" customWidth="1"/>
    <col min="11" max="11" width="29" bestFit="1" customWidth="1"/>
    <col min="12" max="12" width="15.5703125" bestFit="1" customWidth="1"/>
    <col min="13" max="13" width="6.7109375" bestFit="1" customWidth="1"/>
    <col min="14" max="14" width="17" bestFit="1" customWidth="1"/>
    <col min="15" max="15" width="18.28515625" bestFit="1" customWidth="1"/>
    <col min="16" max="16" width="19.5703125" bestFit="1" customWidth="1"/>
    <col min="17" max="17" width="10.28515625" bestFit="1" customWidth="1"/>
    <col min="19" max="19" width="10.28515625" bestFit="1" customWidth="1"/>
    <col min="20" max="20" width="12.85546875" bestFit="1" customWidth="1"/>
    <col min="21" max="22" width="11.5703125" bestFit="1" customWidth="1"/>
    <col min="24" max="27" width="9" bestFit="1" customWidth="1"/>
  </cols>
  <sheetData>
    <row r="1" spans="1:27" s="11" customFormat="1" ht="17.25" thickBot="1">
      <c r="A1" s="57" t="s">
        <v>445</v>
      </c>
      <c r="B1" s="58" t="s">
        <v>446</v>
      </c>
      <c r="C1" s="58" t="s">
        <v>447</v>
      </c>
      <c r="D1" s="58" t="s">
        <v>448</v>
      </c>
      <c r="E1" s="59" t="s">
        <v>452</v>
      </c>
      <c r="F1" s="59" t="s">
        <v>7</v>
      </c>
      <c r="G1" s="60" t="s">
        <v>0</v>
      </c>
      <c r="H1" s="60" t="s">
        <v>1</v>
      </c>
      <c r="I1" s="60" t="s">
        <v>2</v>
      </c>
      <c r="J1" s="61" t="s">
        <v>451</v>
      </c>
      <c r="K1" s="60" t="s">
        <v>3</v>
      </c>
      <c r="L1" s="60" t="s">
        <v>4</v>
      </c>
      <c r="M1" s="60" t="s">
        <v>5</v>
      </c>
      <c r="N1" s="60" t="s">
        <v>66</v>
      </c>
      <c r="O1" s="60" t="s">
        <v>67</v>
      </c>
      <c r="P1" s="60" t="s">
        <v>443</v>
      </c>
      <c r="Q1" s="60" t="s">
        <v>6</v>
      </c>
      <c r="R1" s="62"/>
      <c r="S1" s="60" t="s">
        <v>403</v>
      </c>
      <c r="T1" s="60" t="s">
        <v>404</v>
      </c>
      <c r="U1" s="60" t="s">
        <v>405</v>
      </c>
      <c r="V1" s="60" t="s">
        <v>406</v>
      </c>
      <c r="W1" s="63"/>
      <c r="X1" s="64" t="s">
        <v>8</v>
      </c>
      <c r="Y1" s="64" t="s">
        <v>9</v>
      </c>
      <c r="Z1" s="64" t="s">
        <v>10</v>
      </c>
      <c r="AA1" s="65" t="s">
        <v>11</v>
      </c>
    </row>
    <row r="2" spans="1:27" ht="16.5">
      <c r="A2" s="51"/>
      <c r="B2" s="51"/>
      <c r="C2" s="52">
        <v>1</v>
      </c>
      <c r="D2" s="52">
        <v>1</v>
      </c>
      <c r="E2" s="53" t="s">
        <v>68</v>
      </c>
      <c r="F2" s="53" t="s">
        <v>69</v>
      </c>
      <c r="G2" s="51" t="s">
        <v>252</v>
      </c>
      <c r="H2" s="51" t="s">
        <v>253</v>
      </c>
      <c r="I2" s="54" t="s">
        <v>1029</v>
      </c>
      <c r="J2" s="51" t="s">
        <v>255</v>
      </c>
      <c r="K2" s="51"/>
      <c r="L2" s="51"/>
      <c r="M2" s="51"/>
      <c r="N2" s="55"/>
      <c r="O2" s="55"/>
      <c r="P2" s="55" t="s">
        <v>418</v>
      </c>
      <c r="Q2" s="51"/>
      <c r="R2" s="51"/>
      <c r="S2" s="51" t="s">
        <v>252</v>
      </c>
      <c r="T2" s="51" t="s">
        <v>407</v>
      </c>
      <c r="U2" s="51"/>
      <c r="V2" s="51" t="s">
        <v>1025</v>
      </c>
      <c r="W2" s="51"/>
      <c r="X2" s="56" t="s">
        <v>12</v>
      </c>
      <c r="Y2" s="56" t="s">
        <v>13</v>
      </c>
      <c r="Z2" s="56" t="s">
        <v>14</v>
      </c>
      <c r="AA2" s="56" t="s">
        <v>15</v>
      </c>
    </row>
    <row r="3" spans="1:27" ht="16.5">
      <c r="A3" s="1">
        <v>1</v>
      </c>
      <c r="B3" s="1">
        <v>1</v>
      </c>
      <c r="C3" s="3">
        <v>2</v>
      </c>
      <c r="D3" s="3">
        <v>2</v>
      </c>
      <c r="E3" s="12" t="s">
        <v>70</v>
      </c>
      <c r="F3" s="13" t="s">
        <v>71</v>
      </c>
      <c r="G3" s="1" t="s">
        <v>256</v>
      </c>
      <c r="H3" s="1" t="s">
        <v>257</v>
      </c>
      <c r="I3" s="6" t="s">
        <v>258</v>
      </c>
      <c r="J3" s="1" t="s">
        <v>259</v>
      </c>
      <c r="K3" s="1"/>
      <c r="L3" s="1"/>
      <c r="M3" s="1"/>
      <c r="N3" s="20"/>
      <c r="O3" s="20"/>
      <c r="P3" s="20" t="s">
        <v>419</v>
      </c>
      <c r="Q3" s="1"/>
      <c r="R3" s="1"/>
      <c r="S3" s="1" t="s">
        <v>256</v>
      </c>
      <c r="T3" s="1" t="s">
        <v>408</v>
      </c>
      <c r="U3" s="1"/>
      <c r="V3" s="1" t="s">
        <v>409</v>
      </c>
      <c r="W3" s="1"/>
      <c r="X3" s="3"/>
      <c r="Y3" s="9"/>
      <c r="Z3" s="9" t="s">
        <v>16</v>
      </c>
      <c r="AA3" s="9" t="s">
        <v>17</v>
      </c>
    </row>
    <row r="4" spans="1:27" ht="16.5">
      <c r="A4" s="1">
        <v>2</v>
      </c>
      <c r="B4" s="1">
        <v>2</v>
      </c>
      <c r="C4" s="3">
        <v>3</v>
      </c>
      <c r="D4" s="3">
        <v>3</v>
      </c>
      <c r="E4" s="12" t="s">
        <v>72</v>
      </c>
      <c r="F4" s="13" t="s">
        <v>63</v>
      </c>
      <c r="G4" s="1" t="s">
        <v>260</v>
      </c>
      <c r="H4" s="1" t="s">
        <v>261</v>
      </c>
      <c r="I4" s="6" t="s">
        <v>262</v>
      </c>
      <c r="J4" s="1" t="s">
        <v>263</v>
      </c>
      <c r="K4" s="18" t="s">
        <v>444</v>
      </c>
      <c r="L4" s="1"/>
      <c r="M4" s="1"/>
      <c r="N4" s="20"/>
      <c r="O4" s="20"/>
      <c r="P4" s="20" t="s">
        <v>420</v>
      </c>
      <c r="Q4" s="1"/>
      <c r="R4" s="1"/>
      <c r="S4" s="1" t="s">
        <v>260</v>
      </c>
      <c r="T4" s="1" t="s">
        <v>410</v>
      </c>
      <c r="U4" s="1" t="s">
        <v>411</v>
      </c>
      <c r="V4" s="1"/>
      <c r="W4" s="1"/>
      <c r="X4" s="3"/>
      <c r="Y4" s="9"/>
      <c r="Z4" s="9"/>
      <c r="AA4" s="9" t="s">
        <v>18</v>
      </c>
    </row>
    <row r="5" spans="1:27" ht="16.5">
      <c r="A5" s="1">
        <v>3</v>
      </c>
      <c r="B5" s="1">
        <v>3</v>
      </c>
      <c r="C5" s="3">
        <v>4</v>
      </c>
      <c r="D5" s="3">
        <v>4</v>
      </c>
      <c r="E5" s="12" t="s">
        <v>73</v>
      </c>
      <c r="F5" s="13" t="s">
        <v>62</v>
      </c>
      <c r="G5" s="1" t="s">
        <v>264</v>
      </c>
      <c r="H5" s="1" t="s">
        <v>265</v>
      </c>
      <c r="I5" s="6" t="s">
        <v>266</v>
      </c>
      <c r="J5" s="1" t="s">
        <v>267</v>
      </c>
      <c r="K5" s="1"/>
      <c r="L5" s="1"/>
      <c r="M5" s="1"/>
      <c r="N5" s="20"/>
      <c r="O5" s="20"/>
      <c r="P5" s="20" t="s">
        <v>421</v>
      </c>
      <c r="Q5" s="1"/>
      <c r="R5" s="1"/>
      <c r="S5" s="1" t="s">
        <v>264</v>
      </c>
      <c r="T5" s="1" t="s">
        <v>1026</v>
      </c>
      <c r="U5" s="1" t="s">
        <v>412</v>
      </c>
      <c r="V5" s="1"/>
      <c r="W5" s="1"/>
      <c r="X5" s="3"/>
      <c r="Y5" s="3"/>
      <c r="Z5" s="3"/>
      <c r="AA5" s="3"/>
    </row>
    <row r="6" spans="1:27" ht="16.5">
      <c r="A6" s="1">
        <v>4</v>
      </c>
      <c r="B6" s="1">
        <v>4</v>
      </c>
      <c r="C6" s="3">
        <v>5</v>
      </c>
      <c r="D6" s="3">
        <v>5</v>
      </c>
      <c r="E6" s="14" t="s">
        <v>74</v>
      </c>
      <c r="F6" s="13" t="s">
        <v>31</v>
      </c>
      <c r="G6" s="1"/>
      <c r="H6" s="1" t="s">
        <v>268</v>
      </c>
      <c r="I6" s="6" t="s">
        <v>269</v>
      </c>
      <c r="J6" s="1" t="s">
        <v>270</v>
      </c>
      <c r="K6" s="1"/>
      <c r="L6" s="1"/>
      <c r="M6" s="1"/>
      <c r="N6" s="20"/>
      <c r="O6" s="20"/>
      <c r="P6" s="20" t="s">
        <v>422</v>
      </c>
      <c r="Q6" s="1"/>
      <c r="R6" s="1"/>
      <c r="S6" s="1"/>
      <c r="T6" s="1"/>
      <c r="U6" s="1"/>
      <c r="V6" s="1"/>
      <c r="W6" s="1"/>
      <c r="X6" s="3"/>
      <c r="Y6" s="3"/>
      <c r="Z6" s="3"/>
      <c r="AA6" s="3"/>
    </row>
    <row r="7" spans="1:27" ht="16.5">
      <c r="A7" s="1">
        <v>5</v>
      </c>
      <c r="B7" s="1">
        <v>5</v>
      </c>
      <c r="C7" s="3">
        <v>6</v>
      </c>
      <c r="D7" s="3">
        <v>6</v>
      </c>
      <c r="E7" s="13" t="s">
        <v>75</v>
      </c>
      <c r="F7" s="13" t="s">
        <v>30</v>
      </c>
      <c r="G7" s="1"/>
      <c r="H7" s="1" t="s">
        <v>271</v>
      </c>
      <c r="I7" s="6" t="s">
        <v>272</v>
      </c>
      <c r="J7" s="1" t="s">
        <v>273</v>
      </c>
      <c r="K7" s="1"/>
      <c r="L7" s="1"/>
      <c r="M7" s="1"/>
      <c r="N7" s="20"/>
      <c r="O7" s="20"/>
      <c r="P7" s="20" t="s">
        <v>423</v>
      </c>
      <c r="Q7" s="1"/>
      <c r="R7" s="1"/>
      <c r="S7" s="1"/>
      <c r="T7" s="1"/>
      <c r="U7" s="1"/>
      <c r="V7" s="1"/>
      <c r="W7" s="1"/>
      <c r="X7" s="3"/>
      <c r="Y7" s="3"/>
      <c r="Z7" s="3"/>
      <c r="AA7" s="3"/>
    </row>
    <row r="8" spans="1:27" ht="16.5">
      <c r="A8" s="3"/>
      <c r="B8" s="3"/>
      <c r="C8" s="3">
        <v>7</v>
      </c>
      <c r="D8" s="3">
        <v>7</v>
      </c>
      <c r="E8" s="13" t="s">
        <v>76</v>
      </c>
      <c r="F8" s="13" t="s">
        <v>77</v>
      </c>
      <c r="G8" s="1"/>
      <c r="H8" s="1" t="s">
        <v>274</v>
      </c>
      <c r="I8" s="6"/>
      <c r="J8" s="1"/>
      <c r="K8" s="1"/>
      <c r="L8" s="1"/>
      <c r="M8" s="1"/>
      <c r="N8" s="20"/>
      <c r="O8" s="20" t="s">
        <v>428</v>
      </c>
      <c r="P8" s="20" t="s">
        <v>424</v>
      </c>
      <c r="Q8" s="1"/>
      <c r="R8" s="1"/>
      <c r="S8" s="1"/>
      <c r="T8" s="1"/>
      <c r="U8" s="1"/>
      <c r="V8" s="1"/>
      <c r="W8" s="1"/>
      <c r="X8" s="3"/>
      <c r="Y8" s="3"/>
      <c r="Z8" s="3"/>
      <c r="AA8" s="3"/>
    </row>
    <row r="9" spans="1:27" ht="16.5">
      <c r="A9" s="3"/>
      <c r="B9" s="3"/>
      <c r="C9" s="3">
        <v>8</v>
      </c>
      <c r="D9" s="3">
        <v>8</v>
      </c>
      <c r="E9" s="13" t="s">
        <v>78</v>
      </c>
      <c r="F9" s="13" t="s">
        <v>29</v>
      </c>
      <c r="G9" s="1"/>
      <c r="H9" s="1" t="s">
        <v>275</v>
      </c>
      <c r="I9" s="6"/>
      <c r="J9" s="1"/>
      <c r="K9" s="1"/>
      <c r="L9" s="1"/>
      <c r="M9" s="1"/>
      <c r="N9" s="20"/>
      <c r="O9" s="20" t="s">
        <v>429</v>
      </c>
      <c r="P9" s="20" t="s">
        <v>425</v>
      </c>
      <c r="Q9" s="1"/>
      <c r="R9" s="1"/>
      <c r="S9" s="1"/>
      <c r="T9" s="1"/>
      <c r="U9" s="1"/>
      <c r="V9" s="1"/>
      <c r="W9" s="1"/>
      <c r="X9" s="5"/>
      <c r="Y9" s="3"/>
      <c r="Z9" s="3"/>
      <c r="AA9" s="3"/>
    </row>
    <row r="10" spans="1:27" ht="16.5">
      <c r="A10" s="3"/>
      <c r="B10" s="3"/>
      <c r="C10" s="3">
        <v>9</v>
      </c>
      <c r="D10" s="3">
        <v>9</v>
      </c>
      <c r="E10" s="13" t="s">
        <v>79</v>
      </c>
      <c r="F10" s="13" t="s">
        <v>61</v>
      </c>
      <c r="G10" s="1" t="s">
        <v>276</v>
      </c>
      <c r="H10" s="1" t="s">
        <v>277</v>
      </c>
      <c r="I10" s="6" t="s">
        <v>278</v>
      </c>
      <c r="J10" s="1" t="s">
        <v>279</v>
      </c>
      <c r="K10" s="1"/>
      <c r="L10" s="1"/>
      <c r="M10" s="1"/>
      <c r="N10" s="20"/>
      <c r="O10" s="20" t="s">
        <v>430</v>
      </c>
      <c r="P10" s="20" t="s">
        <v>427</v>
      </c>
      <c r="Q10" s="1"/>
      <c r="R10" s="1"/>
      <c r="S10" s="1" t="s">
        <v>276</v>
      </c>
      <c r="T10" s="1" t="s">
        <v>1027</v>
      </c>
      <c r="U10" s="1"/>
      <c r="V10" s="1"/>
      <c r="W10" s="1"/>
      <c r="X10" s="5"/>
      <c r="Y10" s="3"/>
      <c r="Z10" s="3"/>
      <c r="AA10" s="3"/>
    </row>
    <row r="11" spans="1:27" ht="16.5">
      <c r="A11" s="3"/>
      <c r="B11" s="3"/>
      <c r="C11" s="3">
        <v>10</v>
      </c>
      <c r="D11" s="3">
        <v>10</v>
      </c>
      <c r="E11" s="13" t="s">
        <v>80</v>
      </c>
      <c r="F11" s="13" t="s">
        <v>81</v>
      </c>
      <c r="G11" s="1" t="s">
        <v>280</v>
      </c>
      <c r="H11" s="1" t="s">
        <v>281</v>
      </c>
      <c r="I11" s="6" t="s">
        <v>282</v>
      </c>
      <c r="J11" s="1"/>
      <c r="K11" s="1"/>
      <c r="M11" s="1"/>
      <c r="N11" s="20"/>
      <c r="O11" s="20" t="s">
        <v>431</v>
      </c>
      <c r="P11" s="20" t="s">
        <v>426</v>
      </c>
      <c r="Q11" s="1"/>
      <c r="R11" s="1"/>
      <c r="S11" s="1" t="s">
        <v>280</v>
      </c>
      <c r="T11" s="1" t="s">
        <v>1028</v>
      </c>
      <c r="U11" s="1"/>
      <c r="V11" s="1"/>
      <c r="W11" s="1"/>
      <c r="X11" s="5"/>
      <c r="Y11" s="3"/>
      <c r="Z11" s="3"/>
      <c r="AA11" s="3"/>
    </row>
    <row r="12" spans="1:27" ht="16.5">
      <c r="A12" s="7"/>
      <c r="B12" s="7"/>
      <c r="C12" s="3">
        <v>11</v>
      </c>
      <c r="D12" s="3">
        <v>11</v>
      </c>
      <c r="E12" s="15" t="s">
        <v>82</v>
      </c>
      <c r="F12" s="15" t="s">
        <v>240</v>
      </c>
      <c r="G12" s="1"/>
      <c r="H12" s="1"/>
      <c r="I12" s="6"/>
      <c r="J12" s="1"/>
      <c r="K12" s="1"/>
      <c r="L12" s="1"/>
      <c r="M12" s="1"/>
      <c r="N12" s="20"/>
      <c r="O12" s="20"/>
      <c r="P12" s="20"/>
      <c r="Q12" s="1"/>
      <c r="R12" s="1"/>
      <c r="S12" s="1"/>
      <c r="T12" s="1"/>
      <c r="U12" s="1"/>
      <c r="V12" s="1"/>
      <c r="W12" s="1"/>
      <c r="X12" s="4"/>
      <c r="Y12" s="3"/>
      <c r="Z12" s="3"/>
      <c r="AA12" s="3"/>
    </row>
    <row r="13" spans="1:27" ht="16.5">
      <c r="A13" s="7"/>
      <c r="B13" s="7"/>
      <c r="C13" s="3">
        <v>12</v>
      </c>
      <c r="D13" s="3">
        <v>12</v>
      </c>
      <c r="E13" s="15" t="s">
        <v>83</v>
      </c>
      <c r="F13" s="15" t="s">
        <v>241</v>
      </c>
      <c r="G13" s="1"/>
      <c r="H13" s="1"/>
      <c r="I13" s="6"/>
      <c r="J13" s="1"/>
      <c r="K13" s="1"/>
      <c r="L13" s="1"/>
      <c r="M13" s="1"/>
      <c r="N13" s="20"/>
      <c r="O13" s="20"/>
      <c r="P13" s="20"/>
      <c r="Q13" s="1"/>
      <c r="R13" s="1"/>
      <c r="S13" s="1"/>
      <c r="T13" s="1"/>
      <c r="U13" s="1"/>
      <c r="V13" s="1"/>
      <c r="W13" s="1"/>
      <c r="X13" s="4"/>
      <c r="Y13" s="3"/>
      <c r="Z13" s="3"/>
      <c r="AA13" s="3"/>
    </row>
    <row r="14" spans="1:27" ht="16.5">
      <c r="A14" s="7"/>
      <c r="B14" s="7"/>
      <c r="C14" s="3">
        <v>13</v>
      </c>
      <c r="D14" s="3">
        <v>13</v>
      </c>
      <c r="E14" s="15" t="s">
        <v>84</v>
      </c>
      <c r="F14" s="15" t="s">
        <v>54</v>
      </c>
      <c r="G14" s="1" t="s">
        <v>283</v>
      </c>
      <c r="H14" s="1" t="s">
        <v>284</v>
      </c>
      <c r="I14" s="6" t="s">
        <v>285</v>
      </c>
      <c r="J14" s="1" t="s">
        <v>286</v>
      </c>
      <c r="K14" s="1"/>
      <c r="L14" s="1"/>
      <c r="M14" s="1"/>
      <c r="N14" s="20"/>
      <c r="O14" s="20"/>
      <c r="P14" s="20"/>
      <c r="Q14" s="1"/>
      <c r="R14" s="1"/>
      <c r="S14" s="1" t="s">
        <v>283</v>
      </c>
      <c r="T14" s="1"/>
      <c r="U14" s="1" t="s">
        <v>413</v>
      </c>
      <c r="V14" s="1"/>
      <c r="W14" s="1"/>
      <c r="X14" s="4"/>
      <c r="Y14" s="3"/>
      <c r="Z14" s="3"/>
      <c r="AA14" s="3"/>
    </row>
    <row r="15" spans="1:27" ht="16.5">
      <c r="A15" s="7"/>
      <c r="B15" s="7"/>
      <c r="C15" s="3">
        <v>14</v>
      </c>
      <c r="D15" s="3">
        <v>14</v>
      </c>
      <c r="E15" s="15" t="s">
        <v>85</v>
      </c>
      <c r="F15" s="15" t="s">
        <v>53</v>
      </c>
      <c r="G15" s="1" t="s">
        <v>287</v>
      </c>
      <c r="H15" s="1" t="s">
        <v>288</v>
      </c>
      <c r="I15" s="6" t="s">
        <v>289</v>
      </c>
      <c r="J15" s="1" t="s">
        <v>290</v>
      </c>
      <c r="K15" s="1"/>
      <c r="L15" s="1"/>
      <c r="M15" s="1"/>
      <c r="N15" s="20"/>
      <c r="O15" s="20"/>
      <c r="P15" s="20"/>
      <c r="Q15" s="1"/>
      <c r="R15" s="1"/>
      <c r="S15" s="1" t="s">
        <v>287</v>
      </c>
      <c r="T15" s="1"/>
      <c r="U15" s="1"/>
      <c r="V15" s="1" t="s">
        <v>414</v>
      </c>
      <c r="W15" s="1"/>
      <c r="X15" s="4"/>
      <c r="Y15" s="3"/>
      <c r="Z15" s="3"/>
      <c r="AA15" s="3"/>
    </row>
    <row r="16" spans="1:27" ht="16.5">
      <c r="A16" s="7"/>
      <c r="B16" s="7"/>
      <c r="C16" s="3">
        <v>15</v>
      </c>
      <c r="D16" s="3">
        <v>15</v>
      </c>
      <c r="E16" s="15" t="s">
        <v>86</v>
      </c>
      <c r="F16" s="15" t="s">
        <v>52</v>
      </c>
      <c r="G16" s="1"/>
      <c r="H16" s="1" t="s">
        <v>291</v>
      </c>
      <c r="I16" s="6" t="s">
        <v>292</v>
      </c>
      <c r="J16" s="1" t="s">
        <v>293</v>
      </c>
      <c r="K16" s="1"/>
      <c r="L16" s="1"/>
      <c r="M16" s="1"/>
      <c r="N16" s="20"/>
      <c r="O16" s="20"/>
      <c r="P16" s="20"/>
      <c r="Q16" s="1"/>
      <c r="R16" s="1"/>
      <c r="S16" s="1"/>
      <c r="T16" s="1"/>
      <c r="U16" s="1"/>
      <c r="V16" s="1"/>
      <c r="W16" s="1"/>
      <c r="X16" s="4"/>
      <c r="Y16" s="3"/>
      <c r="Z16" s="3"/>
      <c r="AA16" s="3"/>
    </row>
    <row r="17" spans="1:27" ht="16.5">
      <c r="A17" s="1">
        <v>6</v>
      </c>
      <c r="B17" s="1">
        <v>6</v>
      </c>
      <c r="C17" s="3">
        <v>16</v>
      </c>
      <c r="D17" s="3">
        <v>16</v>
      </c>
      <c r="E17" s="13" t="s">
        <v>87</v>
      </c>
      <c r="F17" s="15" t="s">
        <v>88</v>
      </c>
      <c r="G17" s="1"/>
      <c r="H17" s="1" t="s">
        <v>294</v>
      </c>
      <c r="I17" s="6" t="s">
        <v>295</v>
      </c>
      <c r="J17" s="1" t="s">
        <v>296</v>
      </c>
      <c r="K17" s="2"/>
      <c r="M17" s="1"/>
      <c r="N17" s="20" t="s">
        <v>432</v>
      </c>
      <c r="O17" s="20" t="s">
        <v>432</v>
      </c>
      <c r="P17" s="20" t="s">
        <v>428</v>
      </c>
      <c r="Q17" s="1"/>
      <c r="R17" s="1"/>
      <c r="S17" s="1"/>
      <c r="T17" s="1"/>
      <c r="U17" s="1"/>
      <c r="V17" s="1"/>
      <c r="W17" s="1"/>
      <c r="X17" s="5"/>
      <c r="Y17" s="3"/>
      <c r="Z17" s="3"/>
      <c r="AA17" s="3"/>
    </row>
    <row r="18" spans="1:27" ht="16.5">
      <c r="A18" s="1">
        <v>7</v>
      </c>
      <c r="B18" s="1">
        <v>7</v>
      </c>
      <c r="C18" s="3">
        <v>17</v>
      </c>
      <c r="D18" s="3">
        <v>17</v>
      </c>
      <c r="E18" s="13" t="s">
        <v>89</v>
      </c>
      <c r="F18" s="13" t="s">
        <v>32</v>
      </c>
      <c r="G18" s="1"/>
      <c r="H18" s="1" t="s">
        <v>297</v>
      </c>
      <c r="I18" s="6" t="s">
        <v>298</v>
      </c>
      <c r="J18" s="1" t="s">
        <v>299</v>
      </c>
      <c r="K18" s="1" t="s">
        <v>20</v>
      </c>
      <c r="L18" s="1"/>
      <c r="M18" s="1"/>
      <c r="N18" s="18" t="s">
        <v>433</v>
      </c>
      <c r="O18" s="18" t="s">
        <v>433</v>
      </c>
      <c r="P18" s="20" t="s">
        <v>429</v>
      </c>
      <c r="Q18" s="1"/>
      <c r="R18" s="1"/>
      <c r="S18" s="1"/>
      <c r="T18" s="1"/>
      <c r="U18" s="1"/>
      <c r="V18" s="1"/>
      <c r="W18" s="1"/>
      <c r="X18" s="4"/>
      <c r="Y18" s="3"/>
      <c r="Z18" s="3"/>
      <c r="AA18" s="3"/>
    </row>
    <row r="19" spans="1:27" ht="16.5">
      <c r="A19" s="1">
        <v>8</v>
      </c>
      <c r="B19" s="1">
        <v>8</v>
      </c>
      <c r="C19" s="3">
        <v>18</v>
      </c>
      <c r="D19" s="3">
        <v>18</v>
      </c>
      <c r="E19" s="13" t="s">
        <v>90</v>
      </c>
      <c r="F19" s="13" t="s">
        <v>43</v>
      </c>
      <c r="G19" s="1"/>
      <c r="H19" s="1" t="s">
        <v>300</v>
      </c>
      <c r="I19" s="6"/>
      <c r="J19" s="1"/>
      <c r="K19" s="1" t="s">
        <v>22</v>
      </c>
      <c r="L19" s="1"/>
      <c r="M19" s="1"/>
      <c r="N19" s="20" t="s">
        <v>434</v>
      </c>
      <c r="O19" s="20" t="s">
        <v>434</v>
      </c>
      <c r="P19" s="20" t="s">
        <v>430</v>
      </c>
      <c r="Q19" s="1"/>
      <c r="R19" s="1"/>
      <c r="S19" s="1"/>
      <c r="T19" s="1"/>
      <c r="U19" s="1"/>
      <c r="V19" s="1"/>
      <c r="W19" s="1"/>
      <c r="X19" s="4"/>
      <c r="Y19" s="3"/>
      <c r="Z19" s="3"/>
      <c r="AA19" s="3"/>
    </row>
    <row r="20" spans="1:27" ht="16.5">
      <c r="A20" s="1">
        <v>9</v>
      </c>
      <c r="B20" s="1">
        <v>9</v>
      </c>
      <c r="C20" s="3">
        <v>19</v>
      </c>
      <c r="D20" s="3">
        <v>19</v>
      </c>
      <c r="E20" s="13" t="s">
        <v>91</v>
      </c>
      <c r="F20" s="13" t="s">
        <v>42</v>
      </c>
      <c r="G20" s="1"/>
      <c r="H20" s="1" t="s">
        <v>301</v>
      </c>
      <c r="I20" s="6" t="s">
        <v>449</v>
      </c>
      <c r="J20" s="1" t="s">
        <v>303</v>
      </c>
      <c r="K20" s="1"/>
      <c r="L20" s="1"/>
      <c r="M20" s="1"/>
      <c r="N20" s="20" t="s">
        <v>435</v>
      </c>
      <c r="O20" s="20" t="s">
        <v>435</v>
      </c>
      <c r="P20" s="20" t="s">
        <v>431</v>
      </c>
      <c r="Q20" s="1"/>
      <c r="R20" s="1"/>
      <c r="S20" s="1"/>
      <c r="T20" s="1"/>
      <c r="U20" s="1"/>
      <c r="V20" s="1"/>
      <c r="W20" s="1"/>
      <c r="X20" s="4"/>
      <c r="Y20" s="3"/>
      <c r="Z20" s="3"/>
      <c r="AA20" s="3"/>
    </row>
    <row r="21" spans="1:27" ht="16.5">
      <c r="A21" s="1">
        <v>10</v>
      </c>
      <c r="B21" s="1">
        <v>10</v>
      </c>
      <c r="C21" s="3">
        <v>20</v>
      </c>
      <c r="D21" s="3">
        <v>20</v>
      </c>
      <c r="E21" s="13" t="s">
        <v>92</v>
      </c>
      <c r="F21" s="13" t="s">
        <v>41</v>
      </c>
      <c r="G21" s="1"/>
      <c r="H21" s="1" t="s">
        <v>304</v>
      </c>
      <c r="I21" s="6" t="s">
        <v>450</v>
      </c>
      <c r="J21" s="1" t="s">
        <v>306</v>
      </c>
      <c r="K21" s="1"/>
      <c r="L21" s="1"/>
      <c r="M21" s="1"/>
      <c r="N21" s="20" t="s">
        <v>436</v>
      </c>
      <c r="O21" s="20" t="s">
        <v>436</v>
      </c>
      <c r="P21" s="20" t="s">
        <v>432</v>
      </c>
      <c r="Q21" s="1"/>
      <c r="R21" s="1"/>
      <c r="S21" s="1"/>
      <c r="T21" s="1"/>
      <c r="U21" s="1"/>
      <c r="V21" s="1"/>
      <c r="W21" s="1"/>
      <c r="X21" s="4"/>
      <c r="Y21" s="3"/>
      <c r="Z21" s="3"/>
      <c r="AA21" s="3"/>
    </row>
    <row r="22" spans="1:27" ht="16.5">
      <c r="A22" s="1">
        <v>11</v>
      </c>
      <c r="B22" s="1">
        <v>11</v>
      </c>
      <c r="C22" s="3">
        <v>21</v>
      </c>
      <c r="D22" s="3">
        <v>21</v>
      </c>
      <c r="E22" s="13" t="s">
        <v>82</v>
      </c>
      <c r="F22" s="13" t="s">
        <v>240</v>
      </c>
      <c r="G22" s="1"/>
      <c r="H22" s="7"/>
      <c r="I22" s="6"/>
      <c r="J22" s="1"/>
      <c r="K22" s="1"/>
      <c r="L22" s="1" t="s">
        <v>19</v>
      </c>
      <c r="M22" s="1"/>
      <c r="N22" s="20" t="s">
        <v>437</v>
      </c>
      <c r="O22" s="20" t="s">
        <v>437</v>
      </c>
      <c r="P22" s="18" t="s">
        <v>433</v>
      </c>
      <c r="Q22" s="1"/>
      <c r="R22" s="1"/>
      <c r="S22" s="1"/>
      <c r="T22" s="1"/>
      <c r="U22" s="1"/>
      <c r="V22" s="1"/>
      <c r="W22" s="1"/>
      <c r="X22" s="5"/>
      <c r="Y22" s="3"/>
      <c r="Z22" s="3"/>
      <c r="AA22" s="3"/>
    </row>
    <row r="23" spans="1:27" ht="16.5">
      <c r="A23" s="1">
        <v>12</v>
      </c>
      <c r="B23" s="1">
        <v>12</v>
      </c>
      <c r="C23" s="3">
        <v>22</v>
      </c>
      <c r="D23" s="3">
        <v>22</v>
      </c>
      <c r="E23" s="13" t="s">
        <v>83</v>
      </c>
      <c r="F23" s="13" t="s">
        <v>241</v>
      </c>
      <c r="G23" s="1"/>
      <c r="H23" s="1"/>
      <c r="I23" s="6"/>
      <c r="J23" s="1"/>
      <c r="K23" s="1"/>
      <c r="L23" s="1"/>
      <c r="M23" s="1"/>
      <c r="N23" s="20" t="s">
        <v>438</v>
      </c>
      <c r="O23" s="20" t="s">
        <v>438</v>
      </c>
      <c r="P23" s="20" t="s">
        <v>434</v>
      </c>
      <c r="Q23" s="1"/>
      <c r="R23" s="1"/>
      <c r="S23" s="1"/>
      <c r="T23" s="1"/>
      <c r="U23" s="1"/>
      <c r="V23" s="1"/>
      <c r="W23" s="1"/>
      <c r="X23" s="4"/>
      <c r="Y23" s="3"/>
      <c r="Z23" s="3"/>
      <c r="AA23" s="3"/>
    </row>
    <row r="24" spans="1:27" ht="16.5">
      <c r="A24" s="1">
        <v>13</v>
      </c>
      <c r="B24" s="1">
        <v>13</v>
      </c>
      <c r="C24" s="3">
        <v>23</v>
      </c>
      <c r="D24" s="3">
        <v>23</v>
      </c>
      <c r="E24" s="13" t="s">
        <v>93</v>
      </c>
      <c r="F24" s="13" t="s">
        <v>94</v>
      </c>
      <c r="G24" s="1"/>
      <c r="H24" s="7" t="s">
        <v>277</v>
      </c>
      <c r="I24" s="8"/>
      <c r="J24" s="1" t="s">
        <v>270</v>
      </c>
      <c r="K24" s="1"/>
      <c r="L24" s="1"/>
      <c r="M24" s="1"/>
      <c r="N24" s="20" t="s">
        <v>442</v>
      </c>
      <c r="O24" s="20" t="s">
        <v>442</v>
      </c>
      <c r="P24" s="20" t="s">
        <v>435</v>
      </c>
      <c r="Q24" s="1"/>
      <c r="R24" s="1"/>
      <c r="S24" s="1"/>
      <c r="T24" s="1"/>
      <c r="U24" s="1"/>
      <c r="V24" s="1"/>
      <c r="W24" s="1"/>
      <c r="X24" s="5"/>
      <c r="Y24" s="3"/>
      <c r="Z24" s="3"/>
      <c r="AA24" s="3"/>
    </row>
    <row r="25" spans="1:27" ht="16.5">
      <c r="A25" s="1">
        <v>14</v>
      </c>
      <c r="B25" s="1">
        <v>14</v>
      </c>
      <c r="C25" s="3">
        <v>24</v>
      </c>
      <c r="D25" s="3">
        <v>24</v>
      </c>
      <c r="E25" s="13" t="s">
        <v>95</v>
      </c>
      <c r="F25" s="13" t="s">
        <v>96</v>
      </c>
      <c r="G25" s="1"/>
      <c r="H25" s="1" t="s">
        <v>281</v>
      </c>
      <c r="I25" s="6" t="s">
        <v>299</v>
      </c>
      <c r="J25" s="1" t="s">
        <v>273</v>
      </c>
      <c r="K25" s="1"/>
      <c r="L25" s="1"/>
      <c r="M25" s="1"/>
      <c r="N25" s="20" t="s">
        <v>441</v>
      </c>
      <c r="O25" s="20" t="s">
        <v>441</v>
      </c>
      <c r="P25" s="20" t="s">
        <v>436</v>
      </c>
      <c r="Q25" s="1"/>
      <c r="R25" s="1"/>
      <c r="S25" s="1"/>
      <c r="T25" s="1"/>
      <c r="U25" s="1"/>
      <c r="V25" s="1"/>
      <c r="W25" s="1"/>
      <c r="X25" s="3"/>
      <c r="Y25" s="3"/>
      <c r="Z25" s="3"/>
      <c r="AA25" s="3"/>
    </row>
    <row r="26" spans="1:27" ht="16.5">
      <c r="A26" s="1">
        <v>15</v>
      </c>
      <c r="B26" s="1">
        <v>15</v>
      </c>
      <c r="C26" s="3">
        <v>25</v>
      </c>
      <c r="D26" s="3">
        <v>25</v>
      </c>
      <c r="E26" s="13" t="s">
        <v>97</v>
      </c>
      <c r="F26" s="13" t="s">
        <v>98</v>
      </c>
      <c r="G26" s="1"/>
      <c r="H26" s="1" t="s">
        <v>307</v>
      </c>
      <c r="I26" s="6" t="s">
        <v>286</v>
      </c>
      <c r="J26" s="1" t="s">
        <v>308</v>
      </c>
      <c r="K26" s="1"/>
      <c r="L26" s="1"/>
      <c r="M26" s="1"/>
      <c r="N26" s="20" t="s">
        <v>440</v>
      </c>
      <c r="O26" s="20" t="s">
        <v>440</v>
      </c>
      <c r="P26" s="20" t="s">
        <v>437</v>
      </c>
      <c r="Q26" s="1"/>
      <c r="R26" s="1"/>
      <c r="S26" s="1"/>
      <c r="T26" s="1"/>
      <c r="U26" s="1"/>
      <c r="V26" s="1"/>
      <c r="W26" s="1"/>
      <c r="X26" s="3"/>
      <c r="Y26" s="3"/>
      <c r="Z26" s="3"/>
      <c r="AA26" s="3"/>
    </row>
    <row r="27" spans="1:27" ht="16.5">
      <c r="A27" s="1">
        <v>16</v>
      </c>
      <c r="B27" s="1">
        <v>16</v>
      </c>
      <c r="C27" s="3">
        <v>26</v>
      </c>
      <c r="D27" s="3">
        <v>26</v>
      </c>
      <c r="E27" s="13" t="s">
        <v>99</v>
      </c>
      <c r="F27" s="16" t="s">
        <v>100</v>
      </c>
      <c r="G27" s="1"/>
      <c r="H27" s="1" t="s">
        <v>309</v>
      </c>
      <c r="I27" s="6" t="s">
        <v>290</v>
      </c>
      <c r="J27" s="1" t="s">
        <v>310</v>
      </c>
      <c r="K27" s="1"/>
      <c r="L27" s="1"/>
      <c r="M27" s="1"/>
      <c r="N27" s="20" t="s">
        <v>439</v>
      </c>
      <c r="O27" s="20" t="s">
        <v>439</v>
      </c>
      <c r="P27" s="20" t="s">
        <v>438</v>
      </c>
      <c r="Q27" s="1"/>
      <c r="R27" s="1"/>
      <c r="S27" s="1"/>
      <c r="T27" s="1"/>
      <c r="U27" s="1"/>
      <c r="V27" s="1"/>
      <c r="W27" s="1"/>
      <c r="X27" s="3"/>
      <c r="Y27" s="3"/>
      <c r="Z27" s="3"/>
      <c r="AA27" s="3"/>
    </row>
    <row r="28" spans="1:27" ht="16.5">
      <c r="A28" s="1"/>
      <c r="B28" s="1"/>
      <c r="C28" s="3">
        <v>27</v>
      </c>
      <c r="D28" s="3">
        <v>27</v>
      </c>
      <c r="E28" s="13" t="s">
        <v>101</v>
      </c>
      <c r="F28" s="13" t="s">
        <v>102</v>
      </c>
      <c r="G28" s="1"/>
      <c r="H28" s="1" t="s">
        <v>311</v>
      </c>
      <c r="I28" s="6" t="s">
        <v>293</v>
      </c>
      <c r="J28" s="1"/>
      <c r="K28" s="1"/>
      <c r="L28" s="1"/>
      <c r="M28" s="1"/>
      <c r="N28" s="20"/>
      <c r="O28" s="20"/>
      <c r="P28" s="20"/>
      <c r="Q28" s="1"/>
      <c r="R28" s="1"/>
      <c r="S28" s="1"/>
      <c r="T28" s="1"/>
      <c r="U28" s="1"/>
      <c r="V28" s="1"/>
      <c r="W28" s="1"/>
      <c r="X28" s="3"/>
      <c r="Y28" s="3"/>
      <c r="Z28" s="3"/>
      <c r="AA28" s="3"/>
    </row>
    <row r="29" spans="1:27" ht="16.5">
      <c r="A29" s="1"/>
      <c r="B29" s="1"/>
      <c r="C29" s="3">
        <v>28</v>
      </c>
      <c r="D29" s="3">
        <v>28</v>
      </c>
      <c r="E29" s="13" t="s">
        <v>103</v>
      </c>
      <c r="F29" s="13" t="s">
        <v>104</v>
      </c>
      <c r="G29" s="1"/>
      <c r="H29" s="1" t="s">
        <v>312</v>
      </c>
      <c r="I29" s="6" t="s">
        <v>296</v>
      </c>
      <c r="J29" s="1"/>
      <c r="K29" s="1"/>
      <c r="L29" s="1"/>
      <c r="M29" s="1"/>
      <c r="N29" s="20"/>
      <c r="O29" s="20"/>
      <c r="P29" s="20"/>
      <c r="Q29" s="1"/>
      <c r="R29" s="1"/>
      <c r="S29" s="1"/>
      <c r="T29" s="1"/>
      <c r="U29" s="1"/>
      <c r="V29" s="1"/>
      <c r="W29" s="1"/>
      <c r="X29" s="3"/>
      <c r="Y29" s="3"/>
      <c r="Z29" s="3"/>
      <c r="AA29" s="3"/>
    </row>
    <row r="30" spans="1:27" ht="16.5">
      <c r="A30" s="1"/>
      <c r="B30" s="1"/>
      <c r="C30" s="3">
        <v>29</v>
      </c>
      <c r="D30" s="3">
        <v>29</v>
      </c>
      <c r="E30" s="13" t="s">
        <v>105</v>
      </c>
      <c r="F30" s="13" t="s">
        <v>106</v>
      </c>
      <c r="G30" s="1"/>
      <c r="H30" s="1" t="s">
        <v>313</v>
      </c>
      <c r="I30" s="6" t="s">
        <v>314</v>
      </c>
      <c r="J30" s="1" t="s">
        <v>315</v>
      </c>
      <c r="K30" s="1"/>
      <c r="L30" s="1"/>
      <c r="M30" s="1"/>
      <c r="N30" s="20"/>
      <c r="O30" s="20"/>
      <c r="P30" s="20"/>
      <c r="Q30" s="1"/>
      <c r="R30" s="1"/>
      <c r="S30" s="1"/>
      <c r="T30" s="1"/>
      <c r="U30" s="1"/>
      <c r="V30" s="1"/>
      <c r="W30" s="1"/>
      <c r="X30" s="3"/>
      <c r="Y30" s="3"/>
      <c r="Z30" s="3"/>
      <c r="AA30" s="3"/>
    </row>
    <row r="31" spans="1:27" ht="16.5">
      <c r="A31" s="1"/>
      <c r="B31" s="1"/>
      <c r="C31" s="3">
        <v>30</v>
      </c>
      <c r="D31" s="3">
        <v>30</v>
      </c>
      <c r="E31" s="13" t="s">
        <v>107</v>
      </c>
      <c r="F31" s="13" t="s">
        <v>108</v>
      </c>
      <c r="G31" s="1"/>
      <c r="H31" s="1" t="s">
        <v>316</v>
      </c>
      <c r="I31" s="6" t="s">
        <v>317</v>
      </c>
      <c r="J31" s="1" t="s">
        <v>318</v>
      </c>
      <c r="K31" s="1"/>
      <c r="L31" s="1"/>
      <c r="M31" s="1"/>
      <c r="N31" s="20"/>
      <c r="O31" s="20"/>
      <c r="P31" s="20"/>
      <c r="Q31" s="1"/>
      <c r="R31" s="1"/>
      <c r="S31" s="1"/>
      <c r="T31" s="1"/>
      <c r="U31" s="1"/>
      <c r="V31" s="1"/>
      <c r="W31" s="1"/>
      <c r="X31" s="3"/>
      <c r="Y31" s="3"/>
      <c r="Z31" s="3"/>
      <c r="AA31" s="3"/>
    </row>
    <row r="32" spans="1:27" ht="16.5">
      <c r="A32" s="1"/>
      <c r="B32" s="1"/>
      <c r="C32" s="3">
        <v>31</v>
      </c>
      <c r="D32" s="3">
        <v>31</v>
      </c>
      <c r="E32" s="13" t="s">
        <v>109</v>
      </c>
      <c r="F32" s="13" t="s">
        <v>110</v>
      </c>
      <c r="G32" s="1"/>
      <c r="H32" s="1" t="s">
        <v>319</v>
      </c>
      <c r="I32" s="6" t="s">
        <v>320</v>
      </c>
      <c r="J32" s="1" t="s">
        <v>321</v>
      </c>
      <c r="K32" s="1"/>
      <c r="L32" s="1"/>
      <c r="M32" s="1"/>
      <c r="N32" s="20"/>
      <c r="O32" s="20"/>
      <c r="P32" s="20"/>
      <c r="Q32" s="1"/>
      <c r="R32" s="1"/>
      <c r="S32" s="1"/>
      <c r="T32" s="1"/>
      <c r="U32" s="1"/>
      <c r="V32" s="1"/>
      <c r="W32" s="1"/>
      <c r="X32" s="3"/>
      <c r="Y32" s="3"/>
      <c r="Z32" s="3"/>
      <c r="AA32" s="3"/>
    </row>
    <row r="33" spans="1:27" ht="16.5">
      <c r="A33" s="1"/>
      <c r="B33" s="1"/>
      <c r="C33" s="3">
        <v>32</v>
      </c>
      <c r="D33" s="3">
        <v>32</v>
      </c>
      <c r="E33" s="13" t="s">
        <v>111</v>
      </c>
      <c r="F33" s="13" t="s">
        <v>112</v>
      </c>
      <c r="G33" s="1"/>
      <c r="H33" s="1" t="s">
        <v>322</v>
      </c>
      <c r="I33" s="6" t="s">
        <v>323</v>
      </c>
      <c r="J33" s="1" t="s">
        <v>324</v>
      </c>
      <c r="K33" s="1"/>
      <c r="L33" s="1"/>
      <c r="M33" s="1"/>
      <c r="N33" s="20"/>
      <c r="O33" s="20"/>
      <c r="P33" s="20"/>
      <c r="Q33" s="1"/>
      <c r="R33" s="1"/>
      <c r="S33" s="1"/>
      <c r="T33" s="1"/>
      <c r="U33" s="1"/>
      <c r="V33" s="1"/>
      <c r="W33" s="1"/>
      <c r="X33" s="3"/>
      <c r="Y33" s="3"/>
      <c r="Z33" s="3"/>
      <c r="AA33" s="3"/>
    </row>
    <row r="34" spans="1:27" ht="16.5">
      <c r="A34" s="7"/>
      <c r="B34" s="7"/>
      <c r="C34" s="3">
        <v>33</v>
      </c>
      <c r="D34" s="3">
        <v>33</v>
      </c>
      <c r="E34" s="15" t="s">
        <v>113</v>
      </c>
      <c r="F34" s="15" t="s">
        <v>114</v>
      </c>
      <c r="G34" s="1"/>
      <c r="H34" s="1" t="s">
        <v>325</v>
      </c>
      <c r="I34" s="6" t="s">
        <v>326</v>
      </c>
      <c r="J34" s="1" t="s">
        <v>327</v>
      </c>
      <c r="K34" s="1"/>
      <c r="L34" s="1"/>
      <c r="M34" s="1"/>
      <c r="N34" s="20"/>
      <c r="O34" s="20"/>
      <c r="P34" s="20"/>
      <c r="Q34" s="1"/>
      <c r="R34" s="1"/>
      <c r="S34" s="1"/>
      <c r="T34" s="1"/>
      <c r="U34" s="1"/>
      <c r="V34" s="1"/>
      <c r="W34" s="1"/>
      <c r="X34" s="3"/>
      <c r="Y34" s="3"/>
      <c r="Z34" s="3"/>
      <c r="AA34" s="3"/>
    </row>
    <row r="35" spans="1:27" ht="16.5">
      <c r="A35" s="7"/>
      <c r="B35" s="7"/>
      <c r="C35" s="3">
        <v>34</v>
      </c>
      <c r="D35" s="3">
        <v>34</v>
      </c>
      <c r="E35" s="15" t="s">
        <v>115</v>
      </c>
      <c r="F35" s="15" t="s">
        <v>241</v>
      </c>
      <c r="G35" s="1"/>
      <c r="H35" s="1"/>
      <c r="I35" s="6"/>
      <c r="J35" s="1"/>
      <c r="K35" s="1"/>
      <c r="L35" s="1"/>
      <c r="M35" s="1"/>
      <c r="N35" s="20"/>
      <c r="O35" s="20"/>
      <c r="P35" s="20"/>
      <c r="Q35" s="1"/>
      <c r="R35" s="1"/>
      <c r="S35" s="1"/>
      <c r="T35" s="1"/>
      <c r="U35" s="1"/>
      <c r="V35" s="1"/>
      <c r="W35" s="1"/>
      <c r="X35" s="3"/>
      <c r="Y35" s="3"/>
      <c r="Z35" s="3"/>
      <c r="AA35" s="3"/>
    </row>
    <row r="36" spans="1:27" ht="16.5">
      <c r="A36" s="7"/>
      <c r="B36" s="7"/>
      <c r="C36" s="3">
        <v>35</v>
      </c>
      <c r="D36" s="3">
        <v>35</v>
      </c>
      <c r="E36" s="15" t="s">
        <v>116</v>
      </c>
      <c r="F36" s="15" t="s">
        <v>117</v>
      </c>
      <c r="G36" s="1"/>
      <c r="H36" s="1" t="s">
        <v>328</v>
      </c>
      <c r="I36" s="6"/>
      <c r="J36" s="1" t="s">
        <v>329</v>
      </c>
      <c r="K36" s="1"/>
      <c r="L36" s="1"/>
      <c r="M36" s="1"/>
      <c r="N36" s="20"/>
      <c r="O36" s="20"/>
      <c r="P36" s="20"/>
      <c r="Q36" s="1"/>
      <c r="R36" s="1"/>
      <c r="S36" s="1"/>
      <c r="T36" s="1"/>
      <c r="U36" s="1"/>
      <c r="V36" s="1"/>
      <c r="W36" s="1"/>
      <c r="X36" s="3"/>
      <c r="Y36" s="3"/>
      <c r="Z36" s="3"/>
      <c r="AA36" s="3"/>
    </row>
    <row r="37" spans="1:27" ht="16.5">
      <c r="A37" s="7"/>
      <c r="B37" s="7"/>
      <c r="C37" s="3">
        <v>36</v>
      </c>
      <c r="D37" s="3">
        <v>36</v>
      </c>
      <c r="E37" s="15" t="s">
        <v>118</v>
      </c>
      <c r="F37" s="15" t="s">
        <v>119</v>
      </c>
      <c r="G37" s="1"/>
      <c r="H37" s="1" t="s">
        <v>330</v>
      </c>
      <c r="I37" s="6"/>
      <c r="J37" s="1" t="s">
        <v>331</v>
      </c>
      <c r="K37" s="1"/>
      <c r="L37" s="1"/>
      <c r="M37" s="1"/>
      <c r="N37" s="20"/>
      <c r="O37" s="20"/>
      <c r="P37" s="20"/>
      <c r="Q37" s="1"/>
      <c r="R37" s="1"/>
      <c r="S37" s="1"/>
      <c r="T37" s="1"/>
      <c r="U37" s="1"/>
      <c r="V37" s="1"/>
      <c r="W37" s="1"/>
      <c r="X37" s="3"/>
      <c r="Y37" s="3"/>
      <c r="Z37" s="3"/>
      <c r="AA37" s="3"/>
    </row>
    <row r="38" spans="1:27" ht="16.5">
      <c r="A38" s="7"/>
      <c r="B38" s="7"/>
      <c r="C38" s="3">
        <v>37</v>
      </c>
      <c r="D38" s="3">
        <v>37</v>
      </c>
      <c r="E38" s="13" t="s">
        <v>120</v>
      </c>
      <c r="F38" s="15" t="s">
        <v>121</v>
      </c>
      <c r="G38" s="1"/>
      <c r="H38" s="1" t="s">
        <v>275</v>
      </c>
      <c r="I38" s="6"/>
      <c r="J38" s="1" t="s">
        <v>332</v>
      </c>
      <c r="K38" s="1"/>
      <c r="L38" s="1"/>
      <c r="M38" s="1"/>
      <c r="N38" s="20"/>
      <c r="O38" s="20"/>
      <c r="P38" s="20"/>
      <c r="Q38" s="1"/>
      <c r="R38" s="1"/>
      <c r="S38" s="1"/>
      <c r="T38" s="1"/>
      <c r="U38" s="1"/>
      <c r="V38" s="1"/>
      <c r="W38" s="1"/>
      <c r="X38" s="3"/>
      <c r="Y38" s="3"/>
      <c r="Z38" s="3"/>
      <c r="AA38" s="3"/>
    </row>
    <row r="39" spans="1:27" ht="16.5">
      <c r="A39" s="7"/>
      <c r="B39" s="7"/>
      <c r="C39" s="3">
        <v>38</v>
      </c>
      <c r="D39" s="3">
        <v>38</v>
      </c>
      <c r="E39" s="13" t="s">
        <v>122</v>
      </c>
      <c r="F39" s="13" t="s">
        <v>123</v>
      </c>
      <c r="G39" s="1"/>
      <c r="H39" s="1" t="s">
        <v>274</v>
      </c>
      <c r="I39" s="6"/>
      <c r="J39" s="1" t="s">
        <v>333</v>
      </c>
      <c r="K39" s="1"/>
      <c r="L39" s="1"/>
      <c r="M39" s="1"/>
      <c r="N39" s="20"/>
      <c r="O39" s="20"/>
      <c r="P39" s="20"/>
      <c r="Q39" s="1"/>
      <c r="R39" s="1"/>
      <c r="S39" s="1"/>
      <c r="T39" s="1"/>
      <c r="U39" s="1"/>
      <c r="V39" s="1"/>
      <c r="W39" s="1"/>
      <c r="X39" s="3"/>
      <c r="Y39" s="3"/>
      <c r="Z39" s="3"/>
      <c r="AA39" s="3"/>
    </row>
    <row r="40" spans="1:27" ht="16.5">
      <c r="A40" s="7"/>
      <c r="B40" s="7"/>
      <c r="C40" s="3">
        <v>39</v>
      </c>
      <c r="D40" s="3">
        <v>39</v>
      </c>
      <c r="E40" s="13" t="s">
        <v>124</v>
      </c>
      <c r="F40" s="13" t="s">
        <v>125</v>
      </c>
      <c r="G40" s="1"/>
      <c r="H40" s="1" t="s">
        <v>271</v>
      </c>
      <c r="I40" s="6"/>
      <c r="J40" s="1" t="s">
        <v>334</v>
      </c>
      <c r="K40" s="1"/>
      <c r="L40" s="1"/>
      <c r="M40" s="1"/>
      <c r="N40" s="20"/>
      <c r="O40" s="20"/>
      <c r="P40" s="20"/>
      <c r="Q40" s="1"/>
      <c r="R40" s="1"/>
      <c r="S40" s="1"/>
      <c r="T40" s="1"/>
      <c r="U40" s="1"/>
      <c r="V40" s="1"/>
      <c r="W40" s="1"/>
      <c r="X40" s="3"/>
      <c r="Y40" s="3"/>
      <c r="Z40" s="3"/>
      <c r="AA40" s="3"/>
    </row>
    <row r="41" spans="1:27" ht="16.5">
      <c r="A41" s="7"/>
      <c r="B41" s="7"/>
      <c r="C41" s="3">
        <v>40</v>
      </c>
      <c r="D41" s="3">
        <v>40</v>
      </c>
      <c r="E41" s="13" t="s">
        <v>126</v>
      </c>
      <c r="F41" s="13" t="s">
        <v>127</v>
      </c>
      <c r="G41" s="1"/>
      <c r="H41" s="1" t="s">
        <v>268</v>
      </c>
      <c r="I41" s="6" t="s">
        <v>335</v>
      </c>
      <c r="J41" s="1" t="s">
        <v>336</v>
      </c>
      <c r="K41" s="1"/>
      <c r="L41" s="1"/>
      <c r="M41" s="1"/>
      <c r="N41" s="20"/>
      <c r="O41" s="20"/>
      <c r="P41" s="20"/>
      <c r="Q41" s="1"/>
      <c r="R41" s="1"/>
      <c r="S41" s="1"/>
      <c r="T41" s="1"/>
      <c r="U41" s="1"/>
      <c r="V41" s="1"/>
      <c r="W41" s="1"/>
      <c r="X41" s="3"/>
      <c r="Y41" s="3"/>
      <c r="Z41" s="3"/>
      <c r="AA41" s="3"/>
    </row>
    <row r="42" spans="1:27" ht="16.5">
      <c r="A42" s="1"/>
      <c r="B42" s="1"/>
      <c r="C42" s="3">
        <v>41</v>
      </c>
      <c r="D42" s="3">
        <v>41</v>
      </c>
      <c r="E42" s="13" t="s">
        <v>128</v>
      </c>
      <c r="F42" s="13" t="s">
        <v>129</v>
      </c>
      <c r="G42" s="1"/>
      <c r="H42" s="1" t="s">
        <v>265</v>
      </c>
      <c r="I42" s="6" t="s">
        <v>337</v>
      </c>
      <c r="J42" s="1"/>
      <c r="K42" s="1"/>
      <c r="L42" s="1"/>
      <c r="M42" s="1"/>
      <c r="N42" s="20"/>
      <c r="O42" s="20"/>
      <c r="P42" s="20"/>
      <c r="Q42" s="1"/>
      <c r="R42" s="1"/>
      <c r="S42" s="1"/>
      <c r="T42" s="1"/>
      <c r="U42" s="1"/>
      <c r="V42" s="1"/>
      <c r="W42" s="1"/>
      <c r="X42" s="3"/>
      <c r="Y42" s="3"/>
      <c r="Z42" s="3"/>
      <c r="AA42" s="3"/>
    </row>
    <row r="43" spans="1:27" ht="16.5">
      <c r="A43" s="1"/>
      <c r="B43" s="1"/>
      <c r="C43" s="3">
        <v>42</v>
      </c>
      <c r="D43" s="3">
        <v>42</v>
      </c>
      <c r="E43" s="13" t="s">
        <v>130</v>
      </c>
      <c r="F43" s="13" t="s">
        <v>131</v>
      </c>
      <c r="G43" s="1"/>
      <c r="H43" s="1" t="s">
        <v>261</v>
      </c>
      <c r="I43" s="6" t="s">
        <v>338</v>
      </c>
      <c r="J43" s="1"/>
      <c r="K43" s="1"/>
      <c r="L43" s="1"/>
      <c r="M43" s="1"/>
      <c r="N43" s="20"/>
      <c r="O43" s="20"/>
      <c r="P43" s="20"/>
      <c r="Q43" s="1"/>
      <c r="R43" s="1"/>
      <c r="S43" s="1"/>
      <c r="T43" s="1"/>
      <c r="U43" s="1"/>
      <c r="V43" s="1"/>
      <c r="W43" s="1"/>
      <c r="X43" s="3"/>
      <c r="Y43" s="3"/>
      <c r="Z43" s="3"/>
      <c r="AA43" s="3"/>
    </row>
    <row r="44" spans="1:27" ht="16.5">
      <c r="A44" s="1"/>
      <c r="B44" s="1"/>
      <c r="C44" s="3">
        <v>43</v>
      </c>
      <c r="D44" s="3">
        <v>43</v>
      </c>
      <c r="E44" s="13" t="s">
        <v>132</v>
      </c>
      <c r="F44" s="13" t="s">
        <v>133</v>
      </c>
      <c r="G44" s="1"/>
      <c r="H44" s="1" t="s">
        <v>257</v>
      </c>
      <c r="I44" s="6" t="s">
        <v>339</v>
      </c>
      <c r="J44" s="1"/>
      <c r="K44" s="1"/>
      <c r="L44" s="1"/>
      <c r="M44" s="1"/>
      <c r="N44" s="20"/>
      <c r="O44" s="20"/>
      <c r="P44" s="20"/>
      <c r="Q44" s="1"/>
      <c r="R44" s="1"/>
      <c r="S44" s="1"/>
      <c r="T44" s="1"/>
      <c r="U44" s="1"/>
      <c r="V44" s="1"/>
      <c r="W44" s="1"/>
      <c r="X44" s="3"/>
      <c r="Y44" s="3"/>
      <c r="Z44" s="3"/>
      <c r="AA44" s="3"/>
    </row>
    <row r="45" spans="1:27" ht="16.5">
      <c r="A45" s="1"/>
      <c r="B45" s="1"/>
      <c r="C45" s="3">
        <v>44</v>
      </c>
      <c r="D45" s="3">
        <v>44</v>
      </c>
      <c r="E45" s="13" t="s">
        <v>134</v>
      </c>
      <c r="F45" s="13" t="s">
        <v>135</v>
      </c>
      <c r="G45" s="10"/>
      <c r="H45" s="1" t="s">
        <v>253</v>
      </c>
      <c r="I45" s="6" t="s">
        <v>340</v>
      </c>
      <c r="J45" s="1"/>
      <c r="K45" s="1"/>
      <c r="L45" s="1"/>
      <c r="M45" s="1"/>
      <c r="N45" s="20"/>
      <c r="O45" s="20"/>
      <c r="P45" s="20"/>
      <c r="Q45" s="10"/>
      <c r="R45" s="10"/>
      <c r="S45" s="10"/>
      <c r="T45" s="10"/>
      <c r="U45" s="10"/>
      <c r="V45" s="10"/>
      <c r="W45" s="10"/>
      <c r="X45" s="3"/>
      <c r="Y45" s="3"/>
      <c r="Z45" s="3"/>
      <c r="AA45" s="3"/>
    </row>
    <row r="46" spans="1:27" ht="16.5">
      <c r="A46" s="1">
        <v>17</v>
      </c>
      <c r="B46" s="1">
        <v>17</v>
      </c>
      <c r="C46" s="3">
        <v>45</v>
      </c>
      <c r="D46" s="3">
        <v>45</v>
      </c>
      <c r="E46" s="13" t="s">
        <v>136</v>
      </c>
      <c r="F46" s="13" t="s">
        <v>137</v>
      </c>
      <c r="G46" s="1"/>
      <c r="H46" s="1" t="s">
        <v>300</v>
      </c>
      <c r="I46" s="6" t="s">
        <v>269</v>
      </c>
      <c r="J46" s="1" t="s">
        <v>270</v>
      </c>
      <c r="K46" s="1"/>
      <c r="L46" s="1"/>
      <c r="M46" s="1"/>
      <c r="N46" s="20"/>
      <c r="O46" s="20"/>
      <c r="P46" s="20"/>
      <c r="Q46" s="1"/>
      <c r="R46" s="1"/>
      <c r="S46" s="1"/>
      <c r="T46" s="1"/>
      <c r="U46" s="1"/>
      <c r="V46" s="1"/>
      <c r="W46" s="1"/>
      <c r="X46" s="3"/>
      <c r="Y46" s="3"/>
      <c r="Z46" s="3"/>
      <c r="AA46" s="3"/>
    </row>
    <row r="47" spans="1:27" ht="16.5">
      <c r="A47" s="1">
        <v>18</v>
      </c>
      <c r="B47" s="1">
        <v>18</v>
      </c>
      <c r="C47" s="3">
        <v>46</v>
      </c>
      <c r="D47" s="3">
        <v>46</v>
      </c>
      <c r="E47" s="13" t="s">
        <v>138</v>
      </c>
      <c r="F47" s="13" t="s">
        <v>139</v>
      </c>
      <c r="G47" s="1"/>
      <c r="H47" s="1" t="s">
        <v>301</v>
      </c>
      <c r="I47" s="6" t="s">
        <v>272</v>
      </c>
      <c r="J47" s="1" t="s">
        <v>273</v>
      </c>
      <c r="K47" s="1"/>
      <c r="L47" s="1"/>
      <c r="M47" s="1"/>
      <c r="N47" s="20"/>
      <c r="O47" s="20"/>
      <c r="P47" s="20"/>
      <c r="Q47" s="1"/>
      <c r="R47" s="1"/>
      <c r="S47" s="1"/>
      <c r="T47" s="1"/>
      <c r="U47" s="1"/>
      <c r="V47" s="1"/>
      <c r="W47" s="1"/>
      <c r="X47" s="3"/>
      <c r="Y47" s="3"/>
      <c r="Z47" s="3"/>
      <c r="AA47" s="3"/>
    </row>
    <row r="48" spans="1:27" ht="16.5">
      <c r="A48" s="1">
        <v>19</v>
      </c>
      <c r="B48" s="1">
        <v>19</v>
      </c>
      <c r="C48" s="3">
        <v>47</v>
      </c>
      <c r="D48" s="3">
        <v>47</v>
      </c>
      <c r="E48" s="13" t="s">
        <v>82</v>
      </c>
      <c r="F48" s="13" t="s">
        <v>240</v>
      </c>
      <c r="G48" s="1"/>
      <c r="H48" s="1"/>
      <c r="I48" s="6"/>
      <c r="J48" s="1"/>
      <c r="K48" s="1"/>
      <c r="L48" s="1"/>
      <c r="M48" s="1"/>
      <c r="N48" s="20"/>
      <c r="O48" s="20"/>
      <c r="P48" s="20"/>
      <c r="Q48" s="1"/>
      <c r="R48" s="1"/>
      <c r="S48" s="1"/>
      <c r="T48" s="1"/>
      <c r="U48" s="1"/>
      <c r="V48" s="1"/>
      <c r="W48" s="1"/>
      <c r="X48" s="3"/>
      <c r="Y48" s="3"/>
      <c r="Z48" s="3"/>
      <c r="AA48" s="3"/>
    </row>
    <row r="49" spans="1:27" ht="16.5">
      <c r="A49" s="1">
        <v>20</v>
      </c>
      <c r="B49" s="1">
        <v>20</v>
      </c>
      <c r="C49" s="3">
        <v>48</v>
      </c>
      <c r="D49" s="3">
        <v>48</v>
      </c>
      <c r="E49" s="13" t="s">
        <v>83</v>
      </c>
      <c r="F49" s="13" t="s">
        <v>241</v>
      </c>
      <c r="G49" s="1"/>
      <c r="H49" s="1"/>
      <c r="I49" s="6"/>
      <c r="J49" s="1"/>
      <c r="K49" s="1"/>
      <c r="L49" s="1"/>
      <c r="M49" s="1"/>
      <c r="N49" s="20"/>
      <c r="O49" s="20"/>
      <c r="P49" s="20"/>
      <c r="Q49" s="1"/>
      <c r="R49" s="1"/>
      <c r="S49" s="1"/>
      <c r="T49" s="1"/>
      <c r="U49" s="1"/>
      <c r="V49" s="1"/>
      <c r="W49" s="1"/>
      <c r="X49" s="3"/>
      <c r="Y49" s="3"/>
      <c r="Z49" s="3"/>
      <c r="AA49" s="3"/>
    </row>
    <row r="50" spans="1:27" ht="16.5">
      <c r="A50" s="1">
        <v>21</v>
      </c>
      <c r="B50" s="1">
        <v>21</v>
      </c>
      <c r="C50" s="3">
        <v>49</v>
      </c>
      <c r="D50" s="3">
        <v>49</v>
      </c>
      <c r="E50" s="13" t="s">
        <v>140</v>
      </c>
      <c r="F50" s="13" t="s">
        <v>141</v>
      </c>
      <c r="G50" s="1"/>
      <c r="H50" s="1" t="s">
        <v>297</v>
      </c>
      <c r="I50" s="6" t="s">
        <v>341</v>
      </c>
      <c r="J50" s="1" t="s">
        <v>315</v>
      </c>
      <c r="K50" s="1"/>
      <c r="L50" s="1"/>
      <c r="M50" s="1"/>
      <c r="N50" s="20"/>
      <c r="O50" s="20"/>
      <c r="P50" s="20"/>
      <c r="Q50" s="1"/>
      <c r="R50" s="1"/>
      <c r="S50" s="1"/>
      <c r="T50" s="1"/>
      <c r="U50" s="1"/>
      <c r="V50" s="1"/>
      <c r="W50" s="1"/>
      <c r="X50" s="3"/>
      <c r="Y50" s="3"/>
      <c r="Z50" s="3"/>
      <c r="AA50" s="3"/>
    </row>
    <row r="51" spans="1:27" ht="16.5">
      <c r="A51" s="1">
        <v>22</v>
      </c>
      <c r="B51" s="1">
        <v>22</v>
      </c>
      <c r="C51" s="3">
        <v>50</v>
      </c>
      <c r="D51" s="3">
        <v>50</v>
      </c>
      <c r="E51" s="13" t="s">
        <v>142</v>
      </c>
      <c r="F51" s="13" t="s">
        <v>143</v>
      </c>
      <c r="G51" s="1"/>
      <c r="H51" s="1" t="s">
        <v>307</v>
      </c>
      <c r="I51" s="6" t="s">
        <v>342</v>
      </c>
      <c r="J51" s="1" t="s">
        <v>318</v>
      </c>
      <c r="K51" s="1"/>
      <c r="L51" s="1"/>
      <c r="M51" s="1"/>
      <c r="N51" s="20"/>
      <c r="O51" s="20"/>
      <c r="P51" s="20"/>
      <c r="Q51" s="1"/>
      <c r="R51" s="1"/>
      <c r="S51" s="1"/>
      <c r="T51" s="1"/>
      <c r="U51" s="1"/>
      <c r="V51" s="1"/>
      <c r="W51" s="1"/>
      <c r="X51" s="3"/>
      <c r="Y51" s="3"/>
      <c r="Z51" s="3"/>
      <c r="AA51" s="3"/>
    </row>
    <row r="52" spans="1:27" ht="16.5">
      <c r="A52" s="1">
        <v>23</v>
      </c>
      <c r="B52" s="1">
        <v>23</v>
      </c>
      <c r="C52" s="3">
        <v>51</v>
      </c>
      <c r="D52" s="3">
        <v>51</v>
      </c>
      <c r="E52" s="13" t="s">
        <v>144</v>
      </c>
      <c r="F52" s="13" t="s">
        <v>145</v>
      </c>
      <c r="G52" s="1"/>
      <c r="H52" s="1" t="s">
        <v>309</v>
      </c>
      <c r="I52" s="6" t="s">
        <v>343</v>
      </c>
      <c r="J52" s="1" t="s">
        <v>321</v>
      </c>
      <c r="K52" s="1"/>
      <c r="L52" s="1"/>
      <c r="M52" s="1"/>
      <c r="N52" s="20"/>
      <c r="O52" s="20"/>
      <c r="P52" s="20"/>
      <c r="Q52" s="1"/>
      <c r="R52" s="1"/>
      <c r="S52" s="1"/>
      <c r="T52" s="1"/>
      <c r="U52" s="1"/>
      <c r="V52" s="1"/>
      <c r="W52" s="1"/>
      <c r="X52" s="3"/>
      <c r="Y52" s="3"/>
      <c r="Z52" s="3"/>
      <c r="AA52" s="3"/>
    </row>
    <row r="53" spans="1:27" ht="16.5">
      <c r="A53" s="1">
        <v>24</v>
      </c>
      <c r="B53" s="1">
        <v>24</v>
      </c>
      <c r="C53" s="3">
        <v>52</v>
      </c>
      <c r="D53" s="3">
        <v>52</v>
      </c>
      <c r="E53" s="13" t="s">
        <v>146</v>
      </c>
      <c r="F53" s="13" t="s">
        <v>147</v>
      </c>
      <c r="G53" s="1"/>
      <c r="H53" s="1" t="s">
        <v>311</v>
      </c>
      <c r="I53" s="6" t="s">
        <v>344</v>
      </c>
      <c r="J53" s="1" t="s">
        <v>324</v>
      </c>
      <c r="K53" s="1"/>
      <c r="L53" s="1"/>
      <c r="M53" s="1"/>
      <c r="N53" s="20"/>
      <c r="O53" s="20"/>
      <c r="P53" s="20"/>
      <c r="Q53" s="1"/>
      <c r="R53" s="1"/>
      <c r="S53" s="1"/>
      <c r="T53" s="1"/>
      <c r="U53" s="1"/>
      <c r="V53" s="1"/>
      <c r="W53" s="1"/>
      <c r="X53" s="3"/>
      <c r="Y53" s="3"/>
      <c r="Z53" s="3"/>
      <c r="AA53" s="3"/>
    </row>
    <row r="54" spans="1:27" ht="16.5">
      <c r="A54" s="1">
        <v>25</v>
      </c>
      <c r="B54" s="1">
        <v>25</v>
      </c>
      <c r="C54" s="3">
        <v>53</v>
      </c>
      <c r="D54" s="3">
        <v>53</v>
      </c>
      <c r="E54" s="13" t="s">
        <v>148</v>
      </c>
      <c r="F54" s="13" t="s">
        <v>149</v>
      </c>
      <c r="G54" s="1"/>
      <c r="H54" s="1" t="s">
        <v>312</v>
      </c>
      <c r="I54" s="6" t="s">
        <v>345</v>
      </c>
      <c r="J54" s="1" t="s">
        <v>327</v>
      </c>
      <c r="K54" s="1"/>
      <c r="L54" s="1"/>
      <c r="M54" s="1"/>
      <c r="N54" s="20"/>
      <c r="O54" s="20"/>
      <c r="P54" s="20"/>
      <c r="Q54" s="1"/>
      <c r="R54" s="1"/>
      <c r="S54" s="1"/>
      <c r="T54" s="1"/>
      <c r="U54" s="1"/>
      <c r="V54" s="1"/>
      <c r="W54" s="1"/>
      <c r="X54" s="3"/>
      <c r="Y54" s="3"/>
      <c r="Z54" s="3"/>
      <c r="AA54" s="3"/>
    </row>
    <row r="55" spans="1:27" ht="16.5">
      <c r="A55" s="1">
        <v>26</v>
      </c>
      <c r="B55" s="1">
        <v>26</v>
      </c>
      <c r="C55" s="3">
        <v>54</v>
      </c>
      <c r="D55" s="3">
        <v>54</v>
      </c>
      <c r="E55" s="13" t="s">
        <v>150</v>
      </c>
      <c r="F55" s="13" t="s">
        <v>151</v>
      </c>
      <c r="G55" s="1"/>
      <c r="H55" s="1" t="s">
        <v>313</v>
      </c>
      <c r="I55" s="6" t="s">
        <v>346</v>
      </c>
      <c r="J55" s="1" t="s">
        <v>270</v>
      </c>
      <c r="K55" s="1"/>
      <c r="L55" s="1"/>
      <c r="M55" s="1"/>
      <c r="N55" s="20"/>
      <c r="O55" s="20"/>
      <c r="P55" s="20"/>
      <c r="Q55" s="1"/>
      <c r="R55" s="1"/>
      <c r="S55" s="1"/>
      <c r="T55" s="1"/>
      <c r="U55" s="1"/>
      <c r="V55" s="1"/>
      <c r="W55" s="1"/>
      <c r="X55" s="3"/>
      <c r="Y55" s="3"/>
      <c r="Z55" s="3"/>
      <c r="AA55" s="3"/>
    </row>
    <row r="56" spans="1:27" ht="16.5">
      <c r="A56" s="1">
        <v>27</v>
      </c>
      <c r="B56" s="1">
        <v>27</v>
      </c>
      <c r="C56" s="3">
        <v>55</v>
      </c>
      <c r="D56" s="3">
        <v>55</v>
      </c>
      <c r="E56" s="13" t="s">
        <v>152</v>
      </c>
      <c r="F56" s="13" t="s">
        <v>28</v>
      </c>
      <c r="G56" s="1"/>
      <c r="H56" s="1" t="s">
        <v>316</v>
      </c>
      <c r="I56" s="6" t="s">
        <v>255</v>
      </c>
      <c r="J56" s="1" t="s">
        <v>273</v>
      </c>
      <c r="K56" s="1"/>
      <c r="L56" s="1"/>
      <c r="M56" s="1"/>
      <c r="N56" s="20"/>
      <c r="O56" s="20"/>
      <c r="P56" s="20"/>
      <c r="Q56" s="1"/>
      <c r="R56" s="1"/>
      <c r="S56" s="1"/>
      <c r="T56" s="1"/>
      <c r="U56" s="1"/>
      <c r="V56" s="1"/>
      <c r="W56" s="1"/>
      <c r="X56" s="3"/>
      <c r="Y56" s="3"/>
      <c r="Z56" s="3"/>
      <c r="AA56" s="3"/>
    </row>
    <row r="57" spans="1:27" ht="16.5">
      <c r="A57" s="1">
        <v>28</v>
      </c>
      <c r="B57" s="1">
        <v>28</v>
      </c>
      <c r="C57" s="3">
        <v>56</v>
      </c>
      <c r="D57" s="3">
        <v>56</v>
      </c>
      <c r="E57" s="13" t="s">
        <v>153</v>
      </c>
      <c r="F57" s="13" t="s">
        <v>27</v>
      </c>
      <c r="G57" s="1"/>
      <c r="H57" s="1" t="s">
        <v>347</v>
      </c>
      <c r="I57" s="6" t="s">
        <v>259</v>
      </c>
      <c r="J57" s="1" t="s">
        <v>337</v>
      </c>
      <c r="K57" s="1"/>
      <c r="L57" s="1"/>
      <c r="M57" s="1"/>
      <c r="N57" s="18"/>
      <c r="O57" s="18"/>
      <c r="P57" s="18"/>
      <c r="Q57" s="1"/>
      <c r="R57" s="1"/>
      <c r="S57" s="1"/>
      <c r="T57" s="1"/>
      <c r="U57" s="1"/>
      <c r="V57" s="1"/>
      <c r="W57" s="1"/>
      <c r="X57" s="3"/>
      <c r="Y57" s="3"/>
      <c r="Z57" s="3"/>
      <c r="AA57" s="3"/>
    </row>
    <row r="58" spans="1:27" ht="16.5">
      <c r="A58" s="1">
        <v>29</v>
      </c>
      <c r="B58" s="1">
        <v>29</v>
      </c>
      <c r="C58" s="3">
        <v>57</v>
      </c>
      <c r="D58" s="3">
        <v>57</v>
      </c>
      <c r="E58" s="13" t="s">
        <v>154</v>
      </c>
      <c r="F58" s="13" t="s">
        <v>26</v>
      </c>
      <c r="G58" s="1"/>
      <c r="H58" s="1" t="s">
        <v>348</v>
      </c>
      <c r="I58" s="6" t="s">
        <v>263</v>
      </c>
      <c r="J58" s="1" t="s">
        <v>338</v>
      </c>
      <c r="K58" s="1"/>
      <c r="L58" s="1"/>
      <c r="M58" s="1"/>
      <c r="N58" s="18"/>
      <c r="O58" s="18"/>
      <c r="P58" s="18"/>
      <c r="Q58" s="1"/>
      <c r="R58" s="1"/>
      <c r="S58" s="1"/>
      <c r="T58" s="1"/>
      <c r="U58" s="1"/>
      <c r="V58" s="1"/>
      <c r="W58" s="1"/>
      <c r="X58" s="3"/>
      <c r="Y58" s="3"/>
      <c r="Z58" s="3"/>
      <c r="AA58" s="3"/>
    </row>
    <row r="59" spans="1:27" ht="16.5">
      <c r="A59" s="1">
        <v>30</v>
      </c>
      <c r="B59" s="1">
        <v>30</v>
      </c>
      <c r="C59" s="3">
        <v>58</v>
      </c>
      <c r="D59" s="3">
        <v>58</v>
      </c>
      <c r="E59" s="13" t="s">
        <v>155</v>
      </c>
      <c r="F59" s="13" t="s">
        <v>156</v>
      </c>
      <c r="G59" s="1"/>
      <c r="H59" s="1" t="s">
        <v>349</v>
      </c>
      <c r="I59" s="6" t="s">
        <v>267</v>
      </c>
      <c r="J59" s="1" t="s">
        <v>339</v>
      </c>
      <c r="K59" s="1"/>
      <c r="L59" s="1"/>
      <c r="M59" s="1"/>
      <c r="N59" s="20"/>
      <c r="O59" s="20"/>
      <c r="P59" s="20"/>
      <c r="Q59" s="1"/>
      <c r="R59" s="1"/>
      <c r="S59" s="1"/>
      <c r="T59" s="1"/>
      <c r="U59" s="1"/>
      <c r="V59" s="1"/>
      <c r="W59" s="1"/>
      <c r="X59" s="3"/>
      <c r="Y59" s="3"/>
      <c r="Z59" s="3"/>
      <c r="AA59" s="3"/>
    </row>
    <row r="60" spans="1:27" ht="16.5">
      <c r="A60" s="1">
        <v>31</v>
      </c>
      <c r="B60" s="1">
        <v>31</v>
      </c>
      <c r="C60" s="3">
        <v>59</v>
      </c>
      <c r="D60" s="3">
        <v>59</v>
      </c>
      <c r="E60" s="13" t="s">
        <v>157</v>
      </c>
      <c r="F60" s="13" t="s">
        <v>158</v>
      </c>
      <c r="G60" s="1"/>
      <c r="H60" s="7" t="s">
        <v>350</v>
      </c>
      <c r="I60" s="6" t="s">
        <v>279</v>
      </c>
      <c r="J60" s="1" t="s">
        <v>340</v>
      </c>
      <c r="K60" s="1"/>
      <c r="L60" s="1"/>
      <c r="M60" s="1"/>
      <c r="N60" s="20"/>
      <c r="O60" s="20"/>
      <c r="P60" s="20"/>
      <c r="Q60" s="1" t="s">
        <v>44</v>
      </c>
      <c r="R60" s="1"/>
      <c r="S60" s="1"/>
      <c r="T60" s="1"/>
      <c r="U60" s="1"/>
      <c r="V60" s="1"/>
      <c r="W60" s="1"/>
      <c r="X60" s="3"/>
      <c r="Y60" s="3"/>
      <c r="Z60" s="3"/>
      <c r="AA60" s="3"/>
    </row>
    <row r="61" spans="1:27" ht="16.5">
      <c r="A61" s="1">
        <v>32</v>
      </c>
      <c r="B61" s="1">
        <v>32</v>
      </c>
      <c r="C61" s="3">
        <v>60</v>
      </c>
      <c r="D61" s="3">
        <v>60</v>
      </c>
      <c r="E61" s="13" t="s">
        <v>82</v>
      </c>
      <c r="F61" s="13" t="s">
        <v>240</v>
      </c>
      <c r="G61" s="1"/>
      <c r="H61" s="1"/>
      <c r="I61" s="6"/>
      <c r="J61" s="1"/>
      <c r="K61" s="1"/>
      <c r="L61" s="1"/>
      <c r="M61" s="1"/>
      <c r="N61" s="20"/>
      <c r="O61" s="20"/>
      <c r="P61" s="20"/>
      <c r="Q61" s="1"/>
      <c r="R61" s="1"/>
      <c r="S61" s="1"/>
      <c r="T61" s="1"/>
      <c r="U61" s="1"/>
      <c r="V61" s="1"/>
      <c r="W61" s="1"/>
      <c r="X61" s="3"/>
      <c r="Y61" s="3"/>
      <c r="Z61" s="3"/>
      <c r="AA61" s="3"/>
    </row>
    <row r="62" spans="1:27" ht="16.5">
      <c r="A62" s="1"/>
      <c r="B62" s="1"/>
      <c r="C62" s="3">
        <v>61</v>
      </c>
      <c r="D62" s="3">
        <v>61</v>
      </c>
      <c r="E62" s="13" t="s">
        <v>83</v>
      </c>
      <c r="F62" s="13" t="s">
        <v>241</v>
      </c>
      <c r="G62" s="1"/>
      <c r="H62" s="1"/>
      <c r="I62" s="6"/>
      <c r="J62" s="1"/>
      <c r="K62" s="1"/>
      <c r="L62" s="1"/>
      <c r="M62" s="1"/>
      <c r="N62" s="20"/>
      <c r="O62" s="20"/>
      <c r="P62" s="20"/>
      <c r="Q62" s="1"/>
      <c r="R62" s="1"/>
      <c r="S62" s="1"/>
      <c r="T62" s="1"/>
      <c r="U62" s="1"/>
      <c r="V62" s="1"/>
      <c r="W62" s="1"/>
      <c r="X62" s="3"/>
      <c r="Y62" s="3"/>
      <c r="Z62" s="3"/>
      <c r="AA62" s="3"/>
    </row>
    <row r="63" spans="1:27" ht="16.5">
      <c r="A63" s="1">
        <v>33</v>
      </c>
      <c r="B63" s="1">
        <v>33</v>
      </c>
      <c r="C63" s="3">
        <v>62</v>
      </c>
      <c r="D63" s="3">
        <v>62</v>
      </c>
      <c r="E63" s="13" t="s">
        <v>1617</v>
      </c>
      <c r="F63" s="13" t="s">
        <v>159</v>
      </c>
      <c r="G63" s="1"/>
      <c r="H63" s="1"/>
      <c r="I63" s="6"/>
      <c r="J63" s="1"/>
      <c r="K63" s="1"/>
      <c r="L63" s="1"/>
      <c r="M63" s="1"/>
      <c r="N63" s="20"/>
      <c r="O63" s="18"/>
      <c r="P63" s="18"/>
      <c r="Q63" s="1"/>
      <c r="R63" s="1"/>
      <c r="S63" s="1"/>
      <c r="T63" s="1"/>
      <c r="U63" s="1"/>
      <c r="V63" s="1"/>
      <c r="W63" s="1"/>
      <c r="X63" s="3"/>
      <c r="Y63" s="3"/>
      <c r="Z63" s="3"/>
      <c r="AA63" s="3"/>
    </row>
    <row r="64" spans="1:27" ht="16.5">
      <c r="A64" s="1">
        <v>34</v>
      </c>
      <c r="B64" s="1">
        <v>34</v>
      </c>
      <c r="C64" s="3">
        <v>63</v>
      </c>
      <c r="D64" s="3">
        <v>63</v>
      </c>
      <c r="E64" s="13" t="s">
        <v>160</v>
      </c>
      <c r="F64" s="13" t="s">
        <v>161</v>
      </c>
      <c r="G64" s="1"/>
      <c r="H64" s="1" t="s">
        <v>351</v>
      </c>
      <c r="I64" s="6" t="s">
        <v>352</v>
      </c>
      <c r="J64" s="1" t="s">
        <v>335</v>
      </c>
      <c r="K64" s="1"/>
      <c r="L64" s="1"/>
      <c r="M64" s="1"/>
      <c r="N64" s="18"/>
      <c r="O64" s="18"/>
      <c r="P64" s="18"/>
      <c r="Q64" s="1"/>
      <c r="R64" s="1"/>
      <c r="S64" s="1"/>
      <c r="T64" s="1"/>
      <c r="U64" s="1"/>
      <c r="V64" s="1"/>
      <c r="W64" s="1"/>
      <c r="X64" s="3"/>
      <c r="Y64" s="3"/>
      <c r="Z64" s="3"/>
      <c r="AA64" s="3"/>
    </row>
    <row r="65" spans="1:27" ht="16.5">
      <c r="A65" s="1">
        <v>35</v>
      </c>
      <c r="B65" s="1">
        <v>35</v>
      </c>
      <c r="C65" s="3">
        <v>64</v>
      </c>
      <c r="D65" s="3">
        <v>64</v>
      </c>
      <c r="E65" s="13" t="s">
        <v>162</v>
      </c>
      <c r="F65" s="13" t="s">
        <v>163</v>
      </c>
      <c r="G65" s="1"/>
      <c r="H65" s="1" t="s">
        <v>353</v>
      </c>
      <c r="I65" s="6" t="s">
        <v>354</v>
      </c>
      <c r="J65" s="1" t="s">
        <v>355</v>
      </c>
      <c r="K65" s="1"/>
      <c r="L65" s="1"/>
      <c r="M65" s="1"/>
      <c r="N65" s="18"/>
      <c r="O65" s="18"/>
      <c r="P65" s="18"/>
      <c r="Q65" s="1"/>
      <c r="R65" s="1"/>
      <c r="S65" s="1"/>
      <c r="T65" s="1"/>
      <c r="U65" s="1"/>
      <c r="V65" s="1"/>
      <c r="W65" s="1"/>
      <c r="X65" s="3"/>
      <c r="Y65" s="3"/>
      <c r="Z65" s="3"/>
      <c r="AA65" s="3"/>
    </row>
    <row r="66" spans="1:27" ht="16.5">
      <c r="A66" s="1">
        <v>36</v>
      </c>
      <c r="B66" s="1">
        <v>36</v>
      </c>
      <c r="C66" s="3">
        <v>65</v>
      </c>
      <c r="D66" s="3">
        <v>65</v>
      </c>
      <c r="E66" s="13" t="s">
        <v>164</v>
      </c>
      <c r="F66" s="13" t="s">
        <v>165</v>
      </c>
      <c r="G66" s="1"/>
      <c r="H66" s="1" t="s">
        <v>356</v>
      </c>
      <c r="I66" s="6" t="s">
        <v>357</v>
      </c>
      <c r="J66" s="1" t="s">
        <v>358</v>
      </c>
      <c r="K66" s="1"/>
      <c r="L66" s="1"/>
      <c r="M66" s="1"/>
      <c r="N66" s="20"/>
      <c r="O66" s="20"/>
      <c r="P66" s="20"/>
      <c r="Q66" s="1"/>
      <c r="R66" s="1"/>
      <c r="S66" s="1"/>
      <c r="T66" s="1"/>
      <c r="U66" s="1"/>
      <c r="V66" s="1"/>
      <c r="W66" s="1"/>
      <c r="X66" s="3"/>
      <c r="Y66" s="3"/>
      <c r="Z66" s="3"/>
      <c r="AA66" s="3"/>
    </row>
    <row r="67" spans="1:27" ht="16.5">
      <c r="A67" s="1"/>
      <c r="B67" s="1"/>
      <c r="C67" s="3">
        <v>66</v>
      </c>
      <c r="D67" s="3">
        <v>66</v>
      </c>
      <c r="E67" s="13" t="s">
        <v>166</v>
      </c>
      <c r="F67" s="13" t="s">
        <v>167</v>
      </c>
      <c r="G67" s="1"/>
      <c r="H67" s="1" t="s">
        <v>359</v>
      </c>
      <c r="I67" s="6" t="s">
        <v>360</v>
      </c>
      <c r="J67" s="1" t="s">
        <v>361</v>
      </c>
      <c r="K67" s="1"/>
      <c r="L67" s="1"/>
      <c r="M67" s="1"/>
      <c r="N67" s="20"/>
      <c r="O67" s="20"/>
      <c r="P67" s="20"/>
      <c r="Q67" s="1"/>
      <c r="R67" s="1"/>
      <c r="S67" s="1"/>
      <c r="T67" s="1"/>
      <c r="U67" s="1"/>
      <c r="V67" s="1"/>
      <c r="W67" s="1"/>
      <c r="X67" s="3"/>
      <c r="Y67" s="3"/>
      <c r="Z67" s="3"/>
      <c r="AA67" s="3"/>
    </row>
    <row r="68" spans="1:27" ht="16.5">
      <c r="A68" s="1">
        <v>37</v>
      </c>
      <c r="B68" s="1">
        <v>37</v>
      </c>
      <c r="C68" s="3">
        <v>67</v>
      </c>
      <c r="D68" s="3">
        <v>67</v>
      </c>
      <c r="E68" s="13" t="s">
        <v>168</v>
      </c>
      <c r="F68" s="13" t="s">
        <v>169</v>
      </c>
      <c r="G68" s="1"/>
      <c r="H68" s="1" t="s">
        <v>362</v>
      </c>
      <c r="I68" s="6" t="s">
        <v>363</v>
      </c>
      <c r="J68" s="1" t="s">
        <v>364</v>
      </c>
      <c r="K68" s="1"/>
      <c r="L68" s="1"/>
      <c r="M68" s="1"/>
      <c r="N68" s="20"/>
      <c r="O68" s="20"/>
      <c r="P68" s="20"/>
      <c r="Q68" s="1"/>
      <c r="R68" s="1"/>
      <c r="S68" s="1"/>
      <c r="T68" s="1"/>
      <c r="U68" s="1"/>
      <c r="V68" s="1"/>
      <c r="W68" s="1"/>
      <c r="X68" s="3"/>
      <c r="Y68" s="3"/>
      <c r="Z68" s="3"/>
      <c r="AA68" s="3"/>
    </row>
    <row r="69" spans="1:27" ht="16.5">
      <c r="A69" s="1"/>
      <c r="B69" s="1"/>
      <c r="C69" s="3">
        <v>68</v>
      </c>
      <c r="D69" s="3">
        <v>68</v>
      </c>
      <c r="E69" s="13" t="s">
        <v>170</v>
      </c>
      <c r="F69" s="13" t="s">
        <v>171</v>
      </c>
      <c r="G69" s="1"/>
      <c r="H69" s="1" t="s">
        <v>365</v>
      </c>
      <c r="I69" s="6" t="s">
        <v>366</v>
      </c>
      <c r="J69" s="1" t="s">
        <v>367</v>
      </c>
      <c r="K69" s="1"/>
      <c r="L69" s="1"/>
      <c r="M69" s="1"/>
      <c r="N69" s="20"/>
      <c r="O69" s="20"/>
      <c r="P69" s="20"/>
      <c r="Q69" s="1"/>
      <c r="R69" s="1"/>
      <c r="S69" s="1"/>
      <c r="T69" s="1"/>
      <c r="U69" s="1"/>
      <c r="V69" s="1"/>
      <c r="W69" s="1"/>
      <c r="X69" s="3"/>
      <c r="Y69" s="3"/>
      <c r="Z69" s="3"/>
      <c r="AA69" s="3"/>
    </row>
    <row r="70" spans="1:27" ht="16.5">
      <c r="A70" s="1"/>
      <c r="B70" s="1"/>
      <c r="C70" s="3">
        <v>69</v>
      </c>
      <c r="D70" s="3">
        <v>69</v>
      </c>
      <c r="E70" s="13" t="s">
        <v>172</v>
      </c>
      <c r="F70" s="13" t="s">
        <v>242</v>
      </c>
      <c r="G70" s="1"/>
      <c r="H70" s="1"/>
      <c r="I70" s="6"/>
      <c r="J70" s="1"/>
      <c r="K70" s="1"/>
      <c r="L70" s="1"/>
      <c r="M70" s="1"/>
      <c r="N70" s="20"/>
      <c r="O70" s="20"/>
      <c r="P70" s="20"/>
      <c r="Q70" s="1"/>
      <c r="R70" s="1"/>
      <c r="S70" s="1"/>
      <c r="T70" s="1"/>
      <c r="U70" s="1"/>
      <c r="V70" s="1"/>
      <c r="W70" s="1"/>
      <c r="X70" s="3"/>
      <c r="Y70" s="3"/>
      <c r="Z70" s="3"/>
      <c r="AA70" s="3"/>
    </row>
    <row r="71" spans="1:27" ht="16.5">
      <c r="A71" s="1">
        <v>38</v>
      </c>
      <c r="B71" s="1">
        <v>38</v>
      </c>
      <c r="C71" s="3">
        <v>70</v>
      </c>
      <c r="D71" s="3">
        <v>70</v>
      </c>
      <c r="E71" s="13" t="s">
        <v>173</v>
      </c>
      <c r="F71" s="13" t="s">
        <v>174</v>
      </c>
      <c r="G71" s="1"/>
      <c r="H71" s="1" t="s">
        <v>348</v>
      </c>
      <c r="I71" s="6" t="s">
        <v>330</v>
      </c>
      <c r="J71" s="1" t="s">
        <v>303</v>
      </c>
      <c r="K71" s="1"/>
      <c r="L71" s="1"/>
      <c r="M71" s="1"/>
      <c r="N71" s="20"/>
      <c r="O71" s="20"/>
      <c r="P71" s="20"/>
      <c r="Q71" s="1"/>
      <c r="R71" s="1"/>
      <c r="S71" s="1"/>
      <c r="T71" s="1"/>
      <c r="U71" s="1"/>
      <c r="V71" s="1"/>
      <c r="W71" s="1"/>
      <c r="X71" s="3"/>
      <c r="Y71" s="3"/>
      <c r="Z71" s="3"/>
      <c r="AA71" s="3"/>
    </row>
    <row r="72" spans="1:27" ht="16.5">
      <c r="A72" s="1"/>
      <c r="B72" s="1"/>
      <c r="C72" s="3">
        <v>71</v>
      </c>
      <c r="D72" s="3">
        <v>71</v>
      </c>
      <c r="E72" s="13" t="s">
        <v>175</v>
      </c>
      <c r="F72" s="13" t="s">
        <v>176</v>
      </c>
      <c r="G72" s="1"/>
      <c r="H72" s="1" t="s">
        <v>347</v>
      </c>
      <c r="I72" s="6" t="s">
        <v>328</v>
      </c>
      <c r="J72" s="1" t="s">
        <v>306</v>
      </c>
      <c r="K72" s="1"/>
      <c r="L72" s="1"/>
      <c r="M72" s="1"/>
      <c r="N72" s="20"/>
      <c r="O72" s="20"/>
      <c r="P72" s="20"/>
      <c r="Q72" s="1"/>
      <c r="R72" s="1"/>
      <c r="S72" s="1"/>
      <c r="T72" s="1"/>
      <c r="U72" s="1"/>
      <c r="V72" s="1"/>
      <c r="W72" s="1"/>
      <c r="X72" s="3"/>
      <c r="Y72" s="3"/>
      <c r="Z72" s="3"/>
      <c r="AA72" s="3"/>
    </row>
    <row r="73" spans="1:27" ht="16.5">
      <c r="A73" s="1"/>
      <c r="B73" s="1"/>
      <c r="C73" s="3">
        <v>72</v>
      </c>
      <c r="D73" s="3">
        <v>72</v>
      </c>
      <c r="E73" s="13" t="s">
        <v>177</v>
      </c>
      <c r="F73" s="13" t="s">
        <v>177</v>
      </c>
      <c r="G73" s="1"/>
      <c r="H73" s="1"/>
      <c r="I73" s="6"/>
      <c r="J73" s="1"/>
      <c r="K73" s="1"/>
      <c r="L73" s="1"/>
      <c r="M73" s="1"/>
      <c r="N73" s="20"/>
      <c r="O73" s="20"/>
      <c r="P73" s="20"/>
      <c r="Q73" s="1"/>
      <c r="R73" s="1"/>
      <c r="S73" s="1"/>
      <c r="T73" s="1"/>
      <c r="U73" s="1"/>
      <c r="V73" s="1"/>
      <c r="W73" s="1"/>
      <c r="X73" s="3"/>
      <c r="Y73" s="3"/>
      <c r="Z73" s="3"/>
      <c r="AA73" s="3"/>
    </row>
    <row r="74" spans="1:27" ht="16.5">
      <c r="A74" s="1"/>
      <c r="B74" s="1"/>
      <c r="C74" s="3">
        <v>73</v>
      </c>
      <c r="D74" s="3">
        <v>73</v>
      </c>
      <c r="E74" s="13" t="s">
        <v>178</v>
      </c>
      <c r="F74" s="13" t="s">
        <v>179</v>
      </c>
      <c r="G74" s="1"/>
      <c r="H74" s="1" t="s">
        <v>302</v>
      </c>
      <c r="I74" s="6" t="s">
        <v>368</v>
      </c>
      <c r="J74" s="1"/>
      <c r="K74" s="1"/>
      <c r="L74" s="1"/>
      <c r="M74" s="1"/>
      <c r="N74" s="20"/>
      <c r="O74" s="20"/>
      <c r="P74" s="20"/>
      <c r="Q74" s="1"/>
      <c r="R74" s="1"/>
      <c r="S74" s="1"/>
      <c r="T74" s="1"/>
      <c r="U74" s="1"/>
      <c r="V74" s="1"/>
      <c r="W74" s="1"/>
      <c r="X74" s="3"/>
      <c r="Y74" s="3"/>
      <c r="Z74" s="3"/>
      <c r="AA74" s="3"/>
    </row>
    <row r="75" spans="1:27" ht="16.5">
      <c r="A75" s="1">
        <v>39</v>
      </c>
      <c r="B75" s="1">
        <v>39</v>
      </c>
      <c r="C75" s="3">
        <v>74</v>
      </c>
      <c r="D75" s="3">
        <v>74</v>
      </c>
      <c r="E75" s="13" t="s">
        <v>180</v>
      </c>
      <c r="F75" s="13" t="s">
        <v>250</v>
      </c>
      <c r="G75" s="1"/>
      <c r="H75" s="1" t="s">
        <v>305</v>
      </c>
      <c r="I75" s="6" t="s">
        <v>369</v>
      </c>
      <c r="J75" s="1"/>
      <c r="K75" s="1"/>
      <c r="L75" s="1"/>
      <c r="M75" s="1"/>
      <c r="N75" s="20"/>
      <c r="O75" s="20"/>
      <c r="P75" s="20"/>
      <c r="Q75" s="1"/>
      <c r="R75" s="1"/>
      <c r="S75" s="1"/>
      <c r="T75" s="1"/>
      <c r="U75" s="1"/>
      <c r="V75" s="1"/>
      <c r="W75" s="1"/>
      <c r="X75" s="5"/>
      <c r="Y75" s="3"/>
      <c r="Z75" s="3"/>
      <c r="AA75" s="3"/>
    </row>
    <row r="76" spans="1:27" ht="16.5">
      <c r="A76" s="1">
        <v>40</v>
      </c>
      <c r="B76" s="1">
        <v>40</v>
      </c>
      <c r="C76" s="3">
        <v>75</v>
      </c>
      <c r="D76" s="3">
        <v>75</v>
      </c>
      <c r="E76" s="13" t="s">
        <v>181</v>
      </c>
      <c r="F76" s="13" t="s">
        <v>818</v>
      </c>
      <c r="G76" s="1"/>
      <c r="H76" s="1" t="s">
        <v>349</v>
      </c>
      <c r="I76" s="6" t="s">
        <v>370</v>
      </c>
      <c r="J76" s="1" t="s">
        <v>329</v>
      </c>
      <c r="K76" s="1"/>
      <c r="L76" s="1"/>
      <c r="M76" s="1"/>
      <c r="N76" s="20"/>
      <c r="O76" s="20"/>
      <c r="P76" s="20"/>
      <c r="Q76" s="1"/>
      <c r="R76" s="1"/>
      <c r="S76" s="1"/>
      <c r="T76" s="1"/>
      <c r="U76" s="1"/>
      <c r="V76" s="1"/>
      <c r="W76" s="1"/>
      <c r="X76" s="5"/>
      <c r="Y76" s="3"/>
      <c r="Z76" s="3"/>
      <c r="AA76" s="3"/>
    </row>
    <row r="77" spans="1:27" ht="16.5">
      <c r="A77" s="1"/>
      <c r="B77" s="1"/>
      <c r="C77" s="3">
        <v>76</v>
      </c>
      <c r="D77" s="3">
        <v>76</v>
      </c>
      <c r="E77" s="13" t="s">
        <v>182</v>
      </c>
      <c r="F77" s="13" t="s">
        <v>40</v>
      </c>
      <c r="G77" s="1"/>
      <c r="H77" s="1" t="s">
        <v>350</v>
      </c>
      <c r="I77" s="6" t="s">
        <v>371</v>
      </c>
      <c r="J77" s="1" t="s">
        <v>331</v>
      </c>
      <c r="K77" s="1"/>
      <c r="L77" s="1"/>
      <c r="M77" s="1"/>
      <c r="N77" s="20"/>
      <c r="O77" s="20"/>
      <c r="P77" s="20"/>
      <c r="Q77" s="1"/>
      <c r="R77" s="1"/>
      <c r="S77" s="1"/>
      <c r="T77" s="1"/>
      <c r="U77" s="1"/>
      <c r="V77" s="1"/>
      <c r="W77" s="1"/>
      <c r="X77" s="3"/>
      <c r="Y77" s="3"/>
      <c r="Z77" s="3"/>
      <c r="AA77" s="3"/>
    </row>
    <row r="78" spans="1:27" ht="16.5">
      <c r="A78" s="1">
        <v>41</v>
      </c>
      <c r="B78" s="1">
        <v>41</v>
      </c>
      <c r="C78" s="3">
        <v>77</v>
      </c>
      <c r="D78" s="3">
        <v>77</v>
      </c>
      <c r="E78" s="13" t="s">
        <v>251</v>
      </c>
      <c r="F78" s="13" t="s">
        <v>251</v>
      </c>
      <c r="G78" s="1"/>
      <c r="H78" s="1" t="s">
        <v>372</v>
      </c>
      <c r="I78" s="6" t="s">
        <v>351</v>
      </c>
      <c r="J78" s="1" t="s">
        <v>352</v>
      </c>
      <c r="K78" s="1"/>
      <c r="L78" s="1"/>
      <c r="M78" s="1"/>
      <c r="N78" s="20"/>
      <c r="O78" s="20"/>
      <c r="P78" s="20"/>
      <c r="Q78" s="1"/>
      <c r="R78" s="1"/>
      <c r="S78" s="1"/>
      <c r="T78" s="1"/>
      <c r="U78" s="1"/>
      <c r="V78" s="1"/>
      <c r="W78" s="1"/>
      <c r="X78" s="3"/>
      <c r="Y78" s="3"/>
      <c r="Z78" s="3"/>
      <c r="AA78" s="3"/>
    </row>
    <row r="79" spans="1:27" ht="16.5">
      <c r="A79" s="1"/>
      <c r="B79" s="1"/>
      <c r="C79" s="3">
        <v>78</v>
      </c>
      <c r="D79" s="3">
        <v>78</v>
      </c>
      <c r="E79" s="13" t="s">
        <v>183</v>
      </c>
      <c r="F79" s="13" t="s">
        <v>25</v>
      </c>
      <c r="G79" s="1"/>
      <c r="H79" s="1" t="s">
        <v>373</v>
      </c>
      <c r="I79" s="6" t="s">
        <v>353</v>
      </c>
      <c r="J79" s="1" t="s">
        <v>354</v>
      </c>
      <c r="K79" s="1"/>
      <c r="L79" s="1"/>
      <c r="M79" s="1"/>
      <c r="N79" s="20"/>
      <c r="O79" s="20"/>
      <c r="P79" s="20"/>
      <c r="Q79" s="1"/>
      <c r="R79" s="1"/>
      <c r="S79" s="1"/>
      <c r="T79" s="1"/>
      <c r="U79" s="1"/>
      <c r="V79" s="1"/>
      <c r="W79" s="1"/>
      <c r="X79" s="3"/>
      <c r="Y79" s="3"/>
      <c r="Z79" s="3"/>
      <c r="AA79" s="3"/>
    </row>
    <row r="80" spans="1:27" ht="16.5">
      <c r="A80" s="1"/>
      <c r="B80" s="1"/>
      <c r="C80" s="3">
        <v>79</v>
      </c>
      <c r="D80" s="3">
        <v>79</v>
      </c>
      <c r="E80" s="13" t="s">
        <v>184</v>
      </c>
      <c r="F80" s="13" t="s">
        <v>24</v>
      </c>
      <c r="G80" s="1"/>
      <c r="H80" s="1" t="s">
        <v>374</v>
      </c>
      <c r="I80" s="6" t="s">
        <v>356</v>
      </c>
      <c r="J80" s="1" t="s">
        <v>357</v>
      </c>
      <c r="K80" s="1"/>
      <c r="L80" s="1"/>
      <c r="M80" s="1"/>
      <c r="N80" s="20"/>
      <c r="O80" s="20"/>
      <c r="P80" s="20"/>
      <c r="Q80" s="1"/>
      <c r="R80" s="1"/>
      <c r="S80" s="1"/>
      <c r="T80" s="1"/>
      <c r="U80" s="1"/>
      <c r="V80" s="1"/>
      <c r="W80" s="1"/>
      <c r="X80" s="3"/>
      <c r="Y80" s="3"/>
      <c r="Z80" s="3"/>
      <c r="AA80" s="3"/>
    </row>
    <row r="81" spans="1:27" ht="16.5">
      <c r="A81" s="1"/>
      <c r="B81" s="1"/>
      <c r="C81" s="3">
        <v>80</v>
      </c>
      <c r="D81" s="3">
        <v>80</v>
      </c>
      <c r="E81" s="13" t="s">
        <v>185</v>
      </c>
      <c r="F81" s="13" t="s">
        <v>23</v>
      </c>
      <c r="G81" s="1"/>
      <c r="H81" s="1" t="s">
        <v>375</v>
      </c>
      <c r="I81" s="6" t="s">
        <v>359</v>
      </c>
      <c r="J81" s="1" t="s">
        <v>360</v>
      </c>
      <c r="K81" s="1"/>
      <c r="L81" s="1"/>
      <c r="M81" s="1"/>
      <c r="N81" s="20"/>
      <c r="O81" s="20"/>
      <c r="P81" s="20"/>
      <c r="Q81" s="1"/>
      <c r="R81" s="1"/>
      <c r="S81" s="1"/>
      <c r="T81" s="1"/>
      <c r="U81" s="1"/>
      <c r="V81" s="1"/>
      <c r="W81" s="1"/>
      <c r="X81" s="3"/>
      <c r="Y81" s="3"/>
      <c r="Z81" s="3"/>
      <c r="AA81" s="3"/>
    </row>
    <row r="82" spans="1:27" ht="16.5">
      <c r="A82" s="1">
        <v>42</v>
      </c>
      <c r="B82" s="1">
        <v>42</v>
      </c>
      <c r="C82" s="3">
        <v>81</v>
      </c>
      <c r="D82" s="3">
        <v>81</v>
      </c>
      <c r="E82" s="13" t="s">
        <v>186</v>
      </c>
      <c r="F82" s="13" t="s">
        <v>21</v>
      </c>
      <c r="G82" s="1"/>
      <c r="H82" s="1" t="s">
        <v>376</v>
      </c>
      <c r="I82" s="6" t="s">
        <v>362</v>
      </c>
      <c r="J82" s="1" t="s">
        <v>363</v>
      </c>
      <c r="K82" s="1"/>
      <c r="L82" s="1"/>
      <c r="M82" s="1"/>
      <c r="N82" s="20"/>
      <c r="O82" s="20"/>
      <c r="P82" s="20"/>
      <c r="Q82" s="1"/>
      <c r="R82" s="1"/>
      <c r="S82" s="1"/>
      <c r="T82" s="1"/>
      <c r="U82" s="1"/>
      <c r="V82" s="1"/>
      <c r="W82" s="1"/>
      <c r="X82" s="5"/>
      <c r="Y82" s="3"/>
      <c r="Z82" s="3"/>
      <c r="AA82" s="3"/>
    </row>
    <row r="83" spans="1:27" ht="16.5">
      <c r="A83" s="1">
        <v>43</v>
      </c>
      <c r="B83" s="1">
        <v>43</v>
      </c>
      <c r="C83" s="3">
        <v>82</v>
      </c>
      <c r="D83" s="3">
        <v>82</v>
      </c>
      <c r="E83" s="13" t="s">
        <v>187</v>
      </c>
      <c r="F83" s="13" t="s">
        <v>188</v>
      </c>
      <c r="G83" s="1"/>
      <c r="H83" s="1" t="s">
        <v>377</v>
      </c>
      <c r="I83" s="6" t="s">
        <v>365</v>
      </c>
      <c r="J83" s="1" t="s">
        <v>366</v>
      </c>
      <c r="K83" s="1"/>
      <c r="L83" s="1"/>
      <c r="M83" s="1"/>
      <c r="N83" s="20"/>
      <c r="O83" s="20"/>
      <c r="P83" s="20"/>
      <c r="Q83" s="1"/>
      <c r="R83" s="1"/>
      <c r="S83" s="1"/>
      <c r="T83" s="1"/>
      <c r="U83" s="1"/>
      <c r="V83" s="1"/>
      <c r="W83" s="1"/>
      <c r="X83" s="5"/>
      <c r="Y83" s="3"/>
      <c r="Z83" s="3"/>
      <c r="AA83" s="3"/>
    </row>
    <row r="84" spans="1:27" ht="16.5">
      <c r="A84" s="1"/>
      <c r="B84" s="1"/>
      <c r="C84" s="3">
        <v>83</v>
      </c>
      <c r="D84" s="3">
        <v>83</v>
      </c>
      <c r="E84" s="13" t="s">
        <v>82</v>
      </c>
      <c r="F84" s="13" t="s">
        <v>240</v>
      </c>
      <c r="G84" s="1"/>
      <c r="H84" s="1"/>
      <c r="I84" s="6"/>
      <c r="J84" s="1"/>
      <c r="K84" s="1"/>
      <c r="L84" s="1"/>
      <c r="M84" s="1"/>
      <c r="N84" s="20"/>
      <c r="O84" s="20"/>
      <c r="P84" s="20"/>
      <c r="Q84" s="1"/>
      <c r="R84" s="1"/>
      <c r="S84" s="1"/>
      <c r="T84" s="1"/>
      <c r="U84" s="1"/>
      <c r="V84" s="1"/>
      <c r="W84" s="1"/>
      <c r="X84" s="3"/>
      <c r="Y84" s="3"/>
      <c r="Z84" s="3"/>
      <c r="AA84" s="3"/>
    </row>
    <row r="85" spans="1:27" ht="16.5">
      <c r="A85" s="1"/>
      <c r="B85" s="1"/>
      <c r="C85" s="3">
        <v>84</v>
      </c>
      <c r="D85" s="3">
        <v>84</v>
      </c>
      <c r="E85" s="13" t="s">
        <v>83</v>
      </c>
      <c r="F85" s="13" t="s">
        <v>241</v>
      </c>
      <c r="G85" s="1"/>
      <c r="H85" s="1"/>
      <c r="I85" s="6"/>
      <c r="J85" s="1"/>
      <c r="K85" s="1"/>
      <c r="L85" s="1"/>
      <c r="M85" s="1"/>
      <c r="N85" s="20"/>
      <c r="O85" s="20"/>
      <c r="P85" s="20"/>
      <c r="Q85" s="1"/>
      <c r="R85" s="1"/>
      <c r="S85" s="1"/>
      <c r="T85" s="1"/>
      <c r="U85" s="1"/>
      <c r="V85" s="1"/>
      <c r="W85" s="1"/>
      <c r="X85" s="3"/>
      <c r="Y85" s="3"/>
      <c r="Z85" s="3"/>
      <c r="AA85" s="3"/>
    </row>
    <row r="86" spans="1:27" ht="16.5">
      <c r="A86" s="1"/>
      <c r="B86" s="1"/>
      <c r="C86" s="3">
        <v>85</v>
      </c>
      <c r="D86" s="3">
        <v>85</v>
      </c>
      <c r="E86" s="13" t="s">
        <v>189</v>
      </c>
      <c r="F86" s="13" t="s">
        <v>190</v>
      </c>
      <c r="G86" s="1"/>
      <c r="H86" s="1" t="s">
        <v>377</v>
      </c>
      <c r="I86" s="6" t="s">
        <v>378</v>
      </c>
      <c r="J86" s="1" t="s">
        <v>351</v>
      </c>
      <c r="K86" s="1"/>
      <c r="L86" s="1"/>
      <c r="M86" s="1"/>
      <c r="N86" s="20"/>
      <c r="O86" s="20"/>
      <c r="P86" s="20"/>
      <c r="Q86" s="1"/>
      <c r="R86" s="1"/>
      <c r="S86" s="1"/>
      <c r="T86" s="1"/>
      <c r="U86" s="1"/>
      <c r="V86" s="1"/>
      <c r="W86" s="1"/>
      <c r="X86" s="3"/>
      <c r="Y86" s="3"/>
      <c r="Z86" s="3"/>
      <c r="AA86" s="3"/>
    </row>
    <row r="87" spans="1:27" ht="16.5">
      <c r="A87" s="1"/>
      <c r="B87" s="1"/>
      <c r="C87" s="3">
        <v>86</v>
      </c>
      <c r="D87" s="3">
        <v>86</v>
      </c>
      <c r="E87" s="13" t="s">
        <v>191</v>
      </c>
      <c r="F87" s="13" t="s">
        <v>192</v>
      </c>
      <c r="G87" s="1"/>
      <c r="H87" s="1" t="s">
        <v>376</v>
      </c>
      <c r="I87" s="6" t="s">
        <v>379</v>
      </c>
      <c r="J87" s="1" t="s">
        <v>353</v>
      </c>
      <c r="K87" s="1"/>
      <c r="L87" s="1"/>
      <c r="M87" s="1"/>
      <c r="N87" s="20"/>
      <c r="O87" s="20"/>
      <c r="P87" s="20"/>
      <c r="Q87" s="1"/>
      <c r="R87" s="1"/>
      <c r="S87" s="1"/>
      <c r="T87" s="1"/>
      <c r="U87" s="1"/>
      <c r="V87" s="1"/>
      <c r="W87" s="1"/>
      <c r="X87" s="3"/>
      <c r="Y87" s="3"/>
      <c r="Z87" s="3"/>
      <c r="AA87" s="3"/>
    </row>
    <row r="88" spans="1:27" ht="16.5">
      <c r="A88" s="1"/>
      <c r="B88" s="1"/>
      <c r="C88" s="3">
        <v>87</v>
      </c>
      <c r="D88" s="3">
        <v>87</v>
      </c>
      <c r="E88" s="13" t="s">
        <v>193</v>
      </c>
      <c r="F88" s="13" t="s">
        <v>194</v>
      </c>
      <c r="G88" s="1"/>
      <c r="H88" s="1" t="s">
        <v>375</v>
      </c>
      <c r="I88" s="6" t="s">
        <v>380</v>
      </c>
      <c r="J88" s="1" t="s">
        <v>356</v>
      </c>
      <c r="K88" s="1"/>
      <c r="L88" s="1"/>
      <c r="M88" s="1"/>
      <c r="N88" s="20"/>
      <c r="O88" s="20"/>
      <c r="P88" s="20"/>
      <c r="Q88" s="1"/>
      <c r="R88" s="1"/>
      <c r="S88" s="1"/>
      <c r="T88" s="1"/>
      <c r="U88" s="1"/>
      <c r="V88" s="1"/>
      <c r="W88" s="1"/>
      <c r="X88" s="3"/>
      <c r="Y88" s="3"/>
      <c r="Z88" s="3"/>
      <c r="AA88" s="3"/>
    </row>
    <row r="89" spans="1:27" ht="16.5">
      <c r="A89" s="1"/>
      <c r="B89" s="1"/>
      <c r="C89" s="3">
        <v>88</v>
      </c>
      <c r="D89" s="3">
        <v>88</v>
      </c>
      <c r="E89" s="13" t="s">
        <v>195</v>
      </c>
      <c r="F89" s="13" t="s">
        <v>196</v>
      </c>
      <c r="G89" s="1"/>
      <c r="H89" s="1" t="s">
        <v>374</v>
      </c>
      <c r="I89" s="6" t="s">
        <v>381</v>
      </c>
      <c r="J89" s="1" t="s">
        <v>359</v>
      </c>
      <c r="K89" s="1"/>
      <c r="L89" s="1"/>
      <c r="M89" s="1"/>
      <c r="N89" s="20"/>
      <c r="O89" s="20"/>
      <c r="P89" s="20"/>
      <c r="Q89" s="1"/>
      <c r="R89" s="1"/>
      <c r="S89" s="1"/>
      <c r="T89" s="1"/>
      <c r="U89" s="1"/>
      <c r="V89" s="1"/>
      <c r="W89" s="1"/>
      <c r="X89" s="3"/>
      <c r="Y89" s="3"/>
      <c r="Z89" s="3"/>
      <c r="AA89" s="3"/>
    </row>
    <row r="90" spans="1:27" ht="16.5">
      <c r="A90" s="1"/>
      <c r="B90" s="1"/>
      <c r="C90" s="3">
        <v>89</v>
      </c>
      <c r="D90" s="3">
        <v>89</v>
      </c>
      <c r="E90" s="13" t="s">
        <v>197</v>
      </c>
      <c r="F90" s="13" t="s">
        <v>198</v>
      </c>
      <c r="G90" s="1"/>
      <c r="H90" s="1" t="s">
        <v>373</v>
      </c>
      <c r="I90" s="6" t="s">
        <v>382</v>
      </c>
      <c r="J90" s="1" t="s">
        <v>362</v>
      </c>
      <c r="K90" s="1"/>
      <c r="L90" s="1"/>
      <c r="M90" s="1"/>
      <c r="N90" s="20"/>
      <c r="O90" s="20"/>
      <c r="P90" s="20"/>
      <c r="Q90" s="1"/>
      <c r="R90" s="1"/>
      <c r="S90" s="1"/>
      <c r="T90" s="1"/>
      <c r="U90" s="1"/>
      <c r="V90" s="1"/>
      <c r="W90" s="1"/>
      <c r="X90" s="3"/>
      <c r="Y90" s="3"/>
      <c r="Z90" s="3"/>
      <c r="AA90" s="3"/>
    </row>
    <row r="91" spans="1:27" ht="16.5">
      <c r="A91" s="1"/>
      <c r="B91" s="1"/>
      <c r="C91" s="3">
        <v>90</v>
      </c>
      <c r="D91" s="3">
        <v>90</v>
      </c>
      <c r="E91" s="13" t="s">
        <v>199</v>
      </c>
      <c r="F91" s="13" t="s">
        <v>200</v>
      </c>
      <c r="G91" s="1"/>
      <c r="H91" s="1" t="s">
        <v>372</v>
      </c>
      <c r="I91" s="6" t="s">
        <v>383</v>
      </c>
      <c r="J91" s="1" t="s">
        <v>365</v>
      </c>
      <c r="K91" s="1"/>
      <c r="L91" s="1"/>
      <c r="M91" s="1"/>
      <c r="N91" s="20"/>
      <c r="O91" s="20"/>
      <c r="P91" s="20"/>
      <c r="Q91" s="1"/>
      <c r="R91" s="1"/>
      <c r="S91" s="1"/>
      <c r="T91" s="1"/>
      <c r="U91" s="1"/>
      <c r="V91" s="1"/>
      <c r="W91" s="1"/>
      <c r="X91" s="3"/>
      <c r="Y91" s="3"/>
      <c r="Z91" s="3"/>
      <c r="AA91" s="3"/>
    </row>
    <row r="92" spans="1:27" ht="16.5">
      <c r="A92" s="1"/>
      <c r="B92" s="1"/>
      <c r="C92" s="3">
        <v>91</v>
      </c>
      <c r="D92" s="3">
        <v>91</v>
      </c>
      <c r="E92" s="13" t="s">
        <v>201</v>
      </c>
      <c r="F92" s="13" t="s">
        <v>202</v>
      </c>
      <c r="G92" s="1"/>
      <c r="H92" s="1"/>
      <c r="I92" s="6" t="s">
        <v>384</v>
      </c>
      <c r="J92" s="1"/>
      <c r="K92" s="1"/>
      <c r="L92" s="1"/>
      <c r="M92" s="1"/>
      <c r="N92" s="20"/>
      <c r="O92" s="20"/>
      <c r="P92" s="20"/>
      <c r="Q92" s="1"/>
      <c r="R92" s="1"/>
      <c r="S92" s="1"/>
      <c r="T92" s="1"/>
      <c r="U92" s="1"/>
      <c r="V92" s="1"/>
      <c r="W92" s="1"/>
      <c r="X92" s="3"/>
      <c r="Y92" s="3"/>
      <c r="Z92" s="3"/>
      <c r="AA92" s="3"/>
    </row>
    <row r="93" spans="1:27" ht="16.5">
      <c r="A93" s="1">
        <v>44</v>
      </c>
      <c r="B93" s="1">
        <v>44</v>
      </c>
      <c r="C93" s="3">
        <v>92</v>
      </c>
      <c r="D93" s="3">
        <v>92</v>
      </c>
      <c r="E93" s="13" t="s">
        <v>203</v>
      </c>
      <c r="F93" s="13" t="s">
        <v>39</v>
      </c>
      <c r="G93" s="1"/>
      <c r="H93" s="1"/>
      <c r="I93" s="6" t="s">
        <v>302</v>
      </c>
      <c r="J93" s="1" t="s">
        <v>270</v>
      </c>
      <c r="K93" s="1"/>
      <c r="L93" s="1"/>
      <c r="M93" s="1"/>
      <c r="N93" s="20"/>
      <c r="O93" s="20"/>
      <c r="P93" s="20"/>
      <c r="Q93" s="1"/>
      <c r="R93" s="1"/>
      <c r="S93" s="1"/>
      <c r="T93" s="1"/>
      <c r="U93" s="1"/>
      <c r="V93" s="1"/>
      <c r="W93" s="1"/>
      <c r="X93" s="3"/>
      <c r="Y93" s="3"/>
      <c r="Z93" s="3"/>
      <c r="AA93" s="3"/>
    </row>
    <row r="94" spans="1:27" ht="16.5">
      <c r="A94" s="1"/>
      <c r="B94" s="1"/>
      <c r="C94" s="3">
        <v>93</v>
      </c>
      <c r="D94" s="3">
        <v>93</v>
      </c>
      <c r="E94" s="13" t="s">
        <v>204</v>
      </c>
      <c r="F94" s="13" t="s">
        <v>38</v>
      </c>
      <c r="G94" s="1"/>
      <c r="H94" s="1"/>
      <c r="I94" s="6" t="s">
        <v>305</v>
      </c>
      <c r="J94" s="1" t="s">
        <v>273</v>
      </c>
      <c r="K94" s="1"/>
      <c r="L94" s="1"/>
      <c r="M94" s="1"/>
      <c r="N94" s="20"/>
      <c r="O94" s="20"/>
      <c r="P94" s="20"/>
      <c r="Q94" s="1"/>
      <c r="R94" s="1"/>
      <c r="S94" s="1"/>
      <c r="T94" s="1"/>
      <c r="U94" s="1"/>
      <c r="V94" s="1"/>
      <c r="W94" s="1"/>
      <c r="X94" s="3"/>
      <c r="Y94" s="3"/>
      <c r="Z94" s="3"/>
      <c r="AA94" s="3"/>
    </row>
    <row r="95" spans="1:27" ht="16.5">
      <c r="A95" s="1">
        <v>45</v>
      </c>
      <c r="B95" s="1">
        <v>45</v>
      </c>
      <c r="C95" s="3">
        <v>94</v>
      </c>
      <c r="D95" s="3">
        <v>94</v>
      </c>
      <c r="E95" s="13" t="s">
        <v>205</v>
      </c>
      <c r="F95" s="13" t="s">
        <v>37</v>
      </c>
      <c r="G95" s="1"/>
      <c r="H95" s="1"/>
      <c r="I95" s="6"/>
      <c r="J95" s="1" t="s">
        <v>368</v>
      </c>
      <c r="K95" s="1"/>
      <c r="L95" s="1"/>
      <c r="M95" s="1"/>
      <c r="N95" s="20"/>
      <c r="O95" s="20"/>
      <c r="P95" s="20"/>
      <c r="Q95" s="1"/>
      <c r="R95" s="1"/>
      <c r="S95" s="1"/>
      <c r="T95" s="1"/>
      <c r="U95" s="1"/>
      <c r="V95" s="1"/>
      <c r="W95" s="1"/>
      <c r="X95" s="3"/>
      <c r="Y95" s="3"/>
      <c r="Z95" s="3"/>
      <c r="AA95" s="3"/>
    </row>
    <row r="96" spans="1:27" ht="16.5">
      <c r="A96" s="1">
        <v>46</v>
      </c>
      <c r="B96" s="1">
        <v>46</v>
      </c>
      <c r="C96" s="3">
        <v>95</v>
      </c>
      <c r="D96" s="3">
        <v>95</v>
      </c>
      <c r="E96" s="13" t="s">
        <v>206</v>
      </c>
      <c r="F96" s="13" t="s">
        <v>36</v>
      </c>
      <c r="G96" s="1"/>
      <c r="H96" s="1"/>
      <c r="I96" s="6" t="s">
        <v>385</v>
      </c>
      <c r="J96" s="1" t="s">
        <v>369</v>
      </c>
      <c r="K96" s="1"/>
      <c r="L96" s="1"/>
      <c r="M96" s="1"/>
      <c r="N96" s="20"/>
      <c r="O96" s="20"/>
      <c r="P96" s="20"/>
      <c r="Q96" s="2"/>
      <c r="R96" s="2"/>
      <c r="S96" s="2"/>
      <c r="T96" s="2"/>
      <c r="U96" s="2"/>
      <c r="V96" s="2"/>
      <c r="W96" s="2"/>
      <c r="X96" s="3"/>
      <c r="Y96" s="3"/>
      <c r="Z96" s="3"/>
      <c r="AA96" s="3"/>
    </row>
    <row r="97" spans="1:27" ht="16.5">
      <c r="A97" s="1">
        <v>47</v>
      </c>
      <c r="B97" s="1">
        <v>47</v>
      </c>
      <c r="C97" s="3">
        <v>96</v>
      </c>
      <c r="D97" s="3">
        <v>96</v>
      </c>
      <c r="E97" s="13" t="s">
        <v>207</v>
      </c>
      <c r="F97" s="13" t="s">
        <v>35</v>
      </c>
      <c r="G97" s="1"/>
      <c r="H97" s="1" t="s">
        <v>386</v>
      </c>
      <c r="I97" s="6" t="s">
        <v>387</v>
      </c>
      <c r="J97" s="1" t="s">
        <v>358</v>
      </c>
      <c r="K97" s="1"/>
      <c r="L97" s="1"/>
      <c r="M97" s="1"/>
      <c r="N97" s="20"/>
      <c r="O97" s="20"/>
      <c r="P97" s="20"/>
      <c r="Q97" s="2"/>
      <c r="R97" s="2"/>
      <c r="S97" s="2"/>
      <c r="T97" s="2"/>
      <c r="U97" s="2"/>
      <c r="V97" s="2"/>
      <c r="W97" s="2"/>
      <c r="X97" s="3"/>
      <c r="Y97" s="3"/>
      <c r="Z97" s="3"/>
      <c r="AA97" s="3"/>
    </row>
    <row r="98" spans="1:27" ht="16.5">
      <c r="A98" s="1">
        <v>48</v>
      </c>
      <c r="B98" s="1">
        <v>48</v>
      </c>
      <c r="C98" s="3">
        <v>97</v>
      </c>
      <c r="D98" s="3">
        <v>97</v>
      </c>
      <c r="E98" s="13" t="s">
        <v>208</v>
      </c>
      <c r="F98" s="13" t="s">
        <v>34</v>
      </c>
      <c r="G98" s="1"/>
      <c r="H98" s="1" t="s">
        <v>388</v>
      </c>
      <c r="I98" s="6" t="s">
        <v>389</v>
      </c>
      <c r="J98" s="1" t="s">
        <v>361</v>
      </c>
      <c r="K98" s="1"/>
      <c r="L98" s="1"/>
      <c r="M98" s="1"/>
      <c r="N98" s="20"/>
      <c r="O98" s="20"/>
      <c r="P98" s="20"/>
      <c r="Q98" s="2"/>
      <c r="R98" s="2"/>
      <c r="S98" s="2"/>
      <c r="T98" s="2"/>
      <c r="U98" s="2"/>
      <c r="V98" s="2"/>
      <c r="W98" s="2"/>
      <c r="X98" s="3"/>
      <c r="Y98" s="3"/>
      <c r="Z98" s="3"/>
      <c r="AA98" s="3"/>
    </row>
    <row r="99" spans="1:27" ht="16.5">
      <c r="A99" s="1">
        <v>49</v>
      </c>
      <c r="B99" s="1">
        <v>49</v>
      </c>
      <c r="C99" s="3">
        <v>98</v>
      </c>
      <c r="D99" s="3">
        <v>98</v>
      </c>
      <c r="E99" s="13" t="s">
        <v>209</v>
      </c>
      <c r="F99" s="13" t="s">
        <v>33</v>
      </c>
      <c r="G99" s="1"/>
      <c r="H99" s="1" t="s">
        <v>390</v>
      </c>
      <c r="I99" s="6" t="s">
        <v>391</v>
      </c>
      <c r="J99" s="1" t="s">
        <v>364</v>
      </c>
      <c r="K99" s="1"/>
      <c r="L99" s="1"/>
      <c r="M99" s="1"/>
      <c r="N99" s="20"/>
      <c r="O99" s="20"/>
      <c r="P99" s="20"/>
      <c r="Q99" s="2"/>
      <c r="R99" s="2"/>
      <c r="S99" s="2"/>
      <c r="T99" s="2"/>
      <c r="U99" s="2"/>
      <c r="V99" s="2"/>
      <c r="W99" s="2"/>
      <c r="X99" s="3"/>
      <c r="Y99" s="3"/>
      <c r="Z99" s="3"/>
      <c r="AA99" s="3"/>
    </row>
    <row r="100" spans="1:27" ht="16.5">
      <c r="A100" s="1">
        <v>50</v>
      </c>
      <c r="B100" s="1">
        <v>50</v>
      </c>
      <c r="C100" s="3">
        <v>99</v>
      </c>
      <c r="D100" s="3">
        <v>99</v>
      </c>
      <c r="E100" s="13" t="s">
        <v>210</v>
      </c>
      <c r="F100" s="13" t="s">
        <v>211</v>
      </c>
      <c r="G100" s="1"/>
      <c r="H100" s="1" t="s">
        <v>392</v>
      </c>
      <c r="I100" s="6" t="s">
        <v>393</v>
      </c>
      <c r="J100" s="1" t="s">
        <v>367</v>
      </c>
      <c r="K100" s="1"/>
      <c r="L100" s="1"/>
      <c r="M100" s="1"/>
      <c r="N100" s="20"/>
      <c r="O100" s="20"/>
      <c r="P100" s="20"/>
      <c r="Q100" s="2"/>
      <c r="R100" s="2"/>
      <c r="S100" s="2"/>
      <c r="T100" s="2"/>
      <c r="U100" s="2"/>
      <c r="V100" s="2"/>
      <c r="W100" s="2"/>
      <c r="X100" s="3"/>
      <c r="Y100" s="3"/>
      <c r="Z100" s="3"/>
      <c r="AA100" s="3"/>
    </row>
    <row r="101" spans="1:27" ht="16.5">
      <c r="A101" s="1">
        <v>51</v>
      </c>
      <c r="B101" s="1">
        <v>51</v>
      </c>
      <c r="C101" s="3">
        <v>100</v>
      </c>
      <c r="D101" s="3">
        <v>100</v>
      </c>
      <c r="E101" s="13" t="s">
        <v>212</v>
      </c>
      <c r="F101" s="13" t="s">
        <v>213</v>
      </c>
      <c r="G101" s="1"/>
      <c r="H101" s="1" t="s">
        <v>386</v>
      </c>
      <c r="I101" s="6" t="s">
        <v>394</v>
      </c>
      <c r="J101" s="1" t="s">
        <v>355</v>
      </c>
      <c r="K101" s="1"/>
      <c r="L101" s="1"/>
      <c r="M101" s="1"/>
      <c r="N101" s="20"/>
      <c r="O101" s="20"/>
      <c r="P101" s="20"/>
      <c r="Q101" s="2"/>
      <c r="R101" s="2"/>
      <c r="S101" s="2"/>
      <c r="T101" s="2"/>
      <c r="U101" s="2"/>
      <c r="V101" s="2"/>
      <c r="W101" s="2"/>
      <c r="X101" s="3"/>
      <c r="Y101" s="3"/>
      <c r="Z101" s="3"/>
      <c r="AA101" s="3"/>
    </row>
    <row r="102" spans="1:27" ht="16.5">
      <c r="A102" s="1"/>
      <c r="B102" s="1"/>
      <c r="C102" s="3">
        <v>101</v>
      </c>
      <c r="D102" s="3">
        <v>101</v>
      </c>
      <c r="E102" s="13" t="s">
        <v>214</v>
      </c>
      <c r="F102" s="13" t="s">
        <v>55</v>
      </c>
      <c r="G102" s="1"/>
      <c r="H102" s="1" t="s">
        <v>315</v>
      </c>
      <c r="I102" s="6" t="s">
        <v>395</v>
      </c>
      <c r="J102" s="1" t="s">
        <v>368</v>
      </c>
      <c r="K102" s="1"/>
      <c r="L102" s="1"/>
      <c r="M102" s="1"/>
      <c r="N102" s="20"/>
      <c r="O102" s="20"/>
      <c r="P102" s="20"/>
      <c r="Q102" s="1"/>
      <c r="R102" s="1"/>
      <c r="S102" s="1"/>
      <c r="T102" s="1"/>
      <c r="U102" s="1"/>
      <c r="V102" s="1"/>
      <c r="W102" s="1"/>
      <c r="X102" s="3"/>
      <c r="Y102" s="3"/>
      <c r="Z102" s="3"/>
      <c r="AA102" s="3"/>
    </row>
    <row r="103" spans="1:27" ht="16.5">
      <c r="A103" s="1">
        <v>52</v>
      </c>
      <c r="B103" s="1">
        <v>52</v>
      </c>
      <c r="C103" s="3">
        <v>102</v>
      </c>
      <c r="D103" s="3">
        <v>102</v>
      </c>
      <c r="E103" s="13" t="s">
        <v>215</v>
      </c>
      <c r="F103" s="13" t="s">
        <v>57</v>
      </c>
      <c r="G103" s="1"/>
      <c r="H103" s="1" t="s">
        <v>318</v>
      </c>
      <c r="I103" s="6" t="s">
        <v>396</v>
      </c>
      <c r="J103" s="1" t="s">
        <v>369</v>
      </c>
      <c r="K103" s="1"/>
      <c r="L103" s="1"/>
      <c r="M103" s="1"/>
      <c r="N103" s="20"/>
      <c r="O103" s="20"/>
      <c r="P103" s="20"/>
      <c r="Q103" s="1"/>
      <c r="R103" s="1"/>
      <c r="S103" s="1"/>
      <c r="T103" s="1"/>
      <c r="U103" s="1"/>
      <c r="V103" s="1"/>
      <c r="W103" s="1"/>
      <c r="X103" s="3"/>
      <c r="Y103" s="3"/>
      <c r="Z103" s="3"/>
      <c r="AA103" s="3"/>
    </row>
    <row r="104" spans="1:27" ht="16.5">
      <c r="A104" s="1">
        <v>53</v>
      </c>
      <c r="B104" s="1">
        <v>53</v>
      </c>
      <c r="C104" s="3">
        <v>103</v>
      </c>
      <c r="D104" s="3">
        <v>103</v>
      </c>
      <c r="E104" s="13" t="s">
        <v>216</v>
      </c>
      <c r="F104" s="13" t="s">
        <v>59</v>
      </c>
      <c r="G104" s="1"/>
      <c r="H104" s="1" t="s">
        <v>321</v>
      </c>
      <c r="I104" s="6" t="s">
        <v>269</v>
      </c>
      <c r="J104" s="1"/>
      <c r="K104" s="1"/>
      <c r="L104" s="1"/>
      <c r="M104" s="1"/>
      <c r="N104" s="20"/>
      <c r="O104" s="20"/>
      <c r="P104" s="20"/>
      <c r="Q104" s="1"/>
      <c r="R104" s="1"/>
      <c r="S104" s="1"/>
      <c r="T104" s="1"/>
      <c r="U104" s="1"/>
      <c r="V104" s="1"/>
      <c r="W104" s="1"/>
      <c r="X104" s="3"/>
      <c r="Y104" s="3"/>
      <c r="Z104" s="3"/>
      <c r="AA104" s="3"/>
    </row>
    <row r="105" spans="1:27" ht="16.5">
      <c r="A105" s="1"/>
      <c r="B105" s="1"/>
      <c r="C105" s="3">
        <v>104</v>
      </c>
      <c r="D105" s="3">
        <v>104</v>
      </c>
      <c r="E105" s="13" t="s">
        <v>217</v>
      </c>
      <c r="F105" s="13" t="s">
        <v>60</v>
      </c>
      <c r="G105" s="1"/>
      <c r="H105" s="1" t="s">
        <v>324</v>
      </c>
      <c r="I105" s="6" t="s">
        <v>272</v>
      </c>
      <c r="J105" s="1"/>
      <c r="K105" s="1"/>
      <c r="L105" s="1"/>
      <c r="M105" s="1"/>
      <c r="N105" s="20"/>
      <c r="O105" s="20"/>
      <c r="P105" s="20"/>
      <c r="Q105" s="1"/>
      <c r="R105" s="1"/>
      <c r="S105" s="1"/>
      <c r="T105" s="1"/>
      <c r="U105" s="1"/>
      <c r="V105" s="1"/>
      <c r="W105" s="1"/>
      <c r="X105" s="3"/>
      <c r="Y105" s="3"/>
      <c r="Z105" s="3"/>
      <c r="AA105" s="3"/>
    </row>
    <row r="106" spans="1:27" ht="16.5">
      <c r="A106" s="2"/>
      <c r="B106" s="2"/>
      <c r="C106" s="3">
        <v>105</v>
      </c>
      <c r="D106" s="3">
        <v>105</v>
      </c>
      <c r="E106" s="13" t="s">
        <v>243</v>
      </c>
      <c r="F106" s="13" t="s">
        <v>243</v>
      </c>
      <c r="G106" s="1"/>
      <c r="H106" s="1"/>
      <c r="I106" s="6"/>
      <c r="J106" s="1"/>
      <c r="K106" s="1"/>
      <c r="L106" s="1"/>
      <c r="M106" s="1"/>
      <c r="N106" s="18"/>
      <c r="O106" s="18"/>
      <c r="P106" s="18"/>
      <c r="Q106" s="1"/>
      <c r="R106" s="1"/>
      <c r="S106" s="1"/>
      <c r="T106" s="1"/>
      <c r="U106" s="1"/>
      <c r="V106" s="1"/>
      <c r="W106" s="1"/>
      <c r="X106" s="3"/>
      <c r="Y106" s="3"/>
      <c r="Z106" s="3"/>
      <c r="AA106" s="3"/>
    </row>
    <row r="107" spans="1:27" ht="16.5">
      <c r="A107" s="1">
        <v>54</v>
      </c>
      <c r="B107" s="1">
        <v>54</v>
      </c>
      <c r="C107" s="3">
        <v>106</v>
      </c>
      <c r="D107" s="3">
        <v>106</v>
      </c>
      <c r="E107" s="13" t="s">
        <v>244</v>
      </c>
      <c r="F107" s="13" t="s">
        <v>244</v>
      </c>
      <c r="G107" s="1"/>
      <c r="H107" s="1"/>
      <c r="I107" s="6"/>
      <c r="J107" s="1"/>
      <c r="K107" s="1"/>
      <c r="L107" s="1"/>
      <c r="M107" s="1"/>
      <c r="N107" s="18"/>
      <c r="O107" s="18"/>
      <c r="P107" s="18"/>
      <c r="Q107" s="1"/>
      <c r="R107" s="1"/>
      <c r="S107" s="1"/>
      <c r="T107" s="1"/>
      <c r="U107" s="1"/>
      <c r="V107" s="1"/>
      <c r="W107" s="1"/>
      <c r="X107" s="5"/>
      <c r="Y107" s="3"/>
      <c r="Z107" s="3"/>
      <c r="AA107" s="3"/>
    </row>
    <row r="108" spans="1:27" ht="16.5">
      <c r="A108" s="1">
        <v>55</v>
      </c>
      <c r="B108" s="1">
        <v>55</v>
      </c>
      <c r="C108" s="3">
        <v>107</v>
      </c>
      <c r="D108" s="3">
        <v>107</v>
      </c>
      <c r="E108" s="13" t="s">
        <v>245</v>
      </c>
      <c r="F108" s="13" t="s">
        <v>245</v>
      </c>
      <c r="G108" s="1"/>
      <c r="H108" s="1"/>
      <c r="I108" s="6"/>
      <c r="J108" s="1"/>
      <c r="K108" s="1"/>
      <c r="L108" s="1"/>
      <c r="M108" s="1"/>
      <c r="N108" s="20"/>
      <c r="O108" s="20"/>
      <c r="P108" s="20"/>
      <c r="Q108" s="2"/>
      <c r="R108" s="2"/>
      <c r="S108" s="2"/>
      <c r="T108" s="2"/>
      <c r="U108" s="2"/>
      <c r="V108" s="2"/>
      <c r="W108" s="2"/>
      <c r="X108" s="5"/>
      <c r="Y108" s="3"/>
      <c r="Z108" s="3"/>
      <c r="AA108" s="3"/>
    </row>
    <row r="109" spans="1:27" ht="16.5">
      <c r="A109" s="1"/>
      <c r="B109" s="1"/>
      <c r="C109" s="3">
        <v>108</v>
      </c>
      <c r="D109" s="3">
        <v>108</v>
      </c>
      <c r="E109" s="13" t="s">
        <v>246</v>
      </c>
      <c r="F109" s="13" t="s">
        <v>246</v>
      </c>
      <c r="G109" s="1"/>
      <c r="H109" s="1"/>
      <c r="I109" s="6"/>
      <c r="J109" s="1"/>
      <c r="K109" s="1"/>
      <c r="L109" s="1"/>
      <c r="M109" s="1"/>
      <c r="N109" s="20"/>
      <c r="O109" s="20"/>
      <c r="P109" s="20"/>
      <c r="Q109" s="1"/>
      <c r="R109" s="1"/>
      <c r="S109" s="1"/>
      <c r="T109" s="1"/>
      <c r="U109" s="1"/>
      <c r="V109" s="1"/>
      <c r="W109" s="1"/>
      <c r="X109" s="3"/>
      <c r="Y109" s="3"/>
      <c r="Z109" s="3"/>
      <c r="AA109" s="3"/>
    </row>
    <row r="110" spans="1:27" ht="16.5">
      <c r="A110" s="1"/>
      <c r="B110" s="1"/>
      <c r="C110" s="3">
        <v>109</v>
      </c>
      <c r="D110" s="3">
        <v>109</v>
      </c>
      <c r="E110" s="13" t="s">
        <v>247</v>
      </c>
      <c r="F110" s="13" t="s">
        <v>247</v>
      </c>
      <c r="G110" s="1"/>
      <c r="H110" s="1"/>
      <c r="I110" s="6"/>
      <c r="J110" s="1"/>
      <c r="K110" s="1"/>
      <c r="L110" s="1"/>
      <c r="M110" s="1"/>
      <c r="N110" s="20"/>
      <c r="O110" s="20"/>
      <c r="P110" s="20"/>
      <c r="Q110" s="1"/>
      <c r="R110" s="1"/>
      <c r="S110" s="1"/>
      <c r="T110" s="1"/>
      <c r="U110" s="1"/>
      <c r="V110" s="1"/>
      <c r="W110" s="1"/>
      <c r="X110" s="3"/>
      <c r="Y110" s="3"/>
      <c r="Z110" s="3"/>
      <c r="AA110" s="3"/>
    </row>
    <row r="111" spans="1:27" ht="16.5">
      <c r="A111" s="1"/>
      <c r="B111" s="1"/>
      <c r="C111" s="3">
        <v>110</v>
      </c>
      <c r="D111" s="3">
        <v>110</v>
      </c>
      <c r="E111" s="13" t="s">
        <v>248</v>
      </c>
      <c r="F111" s="13" t="s">
        <v>248</v>
      </c>
      <c r="G111" s="1"/>
      <c r="H111" s="1"/>
      <c r="I111" s="6"/>
      <c r="J111" s="1"/>
      <c r="K111" s="1"/>
      <c r="L111" s="1"/>
      <c r="M111" s="1"/>
      <c r="N111" s="20"/>
      <c r="O111" s="20"/>
      <c r="P111" s="20"/>
      <c r="Q111" s="1"/>
      <c r="R111" s="1"/>
      <c r="S111" s="1"/>
      <c r="T111" s="1"/>
      <c r="U111" s="1"/>
      <c r="V111" s="1"/>
      <c r="W111" s="1"/>
      <c r="X111" s="3"/>
      <c r="Y111" s="3"/>
      <c r="Z111" s="3"/>
      <c r="AA111" s="3"/>
    </row>
    <row r="112" spans="1:27" ht="16.5">
      <c r="A112" s="1"/>
      <c r="B112" s="1"/>
      <c r="C112" s="3">
        <v>111</v>
      </c>
      <c r="D112" s="3">
        <v>111</v>
      </c>
      <c r="E112" s="13" t="s">
        <v>218</v>
      </c>
      <c r="F112" s="17" t="s">
        <v>218</v>
      </c>
      <c r="G112" s="1"/>
      <c r="H112" s="1"/>
      <c r="I112" s="6"/>
      <c r="J112" s="1"/>
      <c r="K112" s="1"/>
      <c r="L112" s="1"/>
      <c r="M112" s="1"/>
      <c r="N112" s="20"/>
      <c r="O112" s="20"/>
      <c r="P112" s="20"/>
      <c r="Q112" s="1"/>
      <c r="R112" s="1"/>
      <c r="S112" s="1"/>
      <c r="T112" s="1"/>
      <c r="U112" s="1"/>
      <c r="V112" s="1"/>
      <c r="W112" s="1"/>
      <c r="X112" s="3"/>
      <c r="Y112" s="3"/>
      <c r="Z112" s="3"/>
      <c r="AA112" s="3"/>
    </row>
    <row r="113" spans="1:27" ht="16.5">
      <c r="A113" s="1">
        <v>56</v>
      </c>
      <c r="B113" s="1">
        <v>56</v>
      </c>
      <c r="C113" s="3">
        <v>112</v>
      </c>
      <c r="D113" s="3">
        <v>112</v>
      </c>
      <c r="E113" s="13" t="s">
        <v>249</v>
      </c>
      <c r="F113" s="13" t="s">
        <v>249</v>
      </c>
      <c r="G113" s="1"/>
      <c r="H113" s="1"/>
      <c r="I113" s="6"/>
      <c r="J113" s="1"/>
      <c r="K113" s="1"/>
      <c r="L113" s="1"/>
      <c r="M113" s="1"/>
      <c r="N113" s="20"/>
      <c r="O113" s="20"/>
      <c r="P113" s="20"/>
      <c r="Q113" s="1"/>
      <c r="R113" s="1"/>
      <c r="S113" s="1"/>
      <c r="T113" s="1"/>
      <c r="U113" s="1"/>
      <c r="V113" s="1"/>
      <c r="W113" s="1"/>
      <c r="X113" s="3"/>
      <c r="Y113" s="3"/>
      <c r="Z113" s="3"/>
      <c r="AA113" s="3"/>
    </row>
    <row r="114" spans="1:27" ht="16.5">
      <c r="A114" s="1">
        <v>57</v>
      </c>
      <c r="B114" s="1">
        <v>57</v>
      </c>
      <c r="C114" s="3">
        <v>113</v>
      </c>
      <c r="D114" s="3">
        <v>113</v>
      </c>
      <c r="E114" s="13" t="s">
        <v>219</v>
      </c>
      <c r="F114" s="13" t="s">
        <v>51</v>
      </c>
      <c r="G114" s="1"/>
      <c r="H114" s="1"/>
      <c r="I114" s="6" t="s">
        <v>282</v>
      </c>
      <c r="J114" s="1" t="s">
        <v>351</v>
      </c>
      <c r="K114" s="1"/>
      <c r="L114" s="1"/>
      <c r="M114" s="1"/>
      <c r="N114" s="20"/>
      <c r="O114" s="20"/>
      <c r="P114" s="20"/>
      <c r="Q114" s="1"/>
      <c r="R114" s="1"/>
      <c r="S114" s="1"/>
      <c r="T114" s="1"/>
      <c r="U114" s="1"/>
      <c r="V114" s="1"/>
      <c r="W114" s="1"/>
      <c r="X114" s="3"/>
      <c r="Y114" s="3"/>
      <c r="Z114" s="3"/>
      <c r="AA114" s="3"/>
    </row>
    <row r="115" spans="1:27" ht="16.5">
      <c r="A115" s="1">
        <v>58</v>
      </c>
      <c r="B115" s="1">
        <v>58</v>
      </c>
      <c r="C115" s="3">
        <v>114</v>
      </c>
      <c r="D115" s="3">
        <v>114</v>
      </c>
      <c r="E115" s="13" t="s">
        <v>220</v>
      </c>
      <c r="F115" s="13" t="s">
        <v>50</v>
      </c>
      <c r="G115" s="1"/>
      <c r="H115" s="1"/>
      <c r="I115" s="6" t="s">
        <v>278</v>
      </c>
      <c r="J115" s="1" t="s">
        <v>353</v>
      </c>
      <c r="K115" s="1"/>
      <c r="L115" s="1"/>
      <c r="M115" s="1"/>
      <c r="N115" s="20"/>
      <c r="O115" s="20"/>
      <c r="P115" s="20"/>
      <c r="Q115" s="2"/>
      <c r="R115" s="2"/>
      <c r="S115" s="2"/>
      <c r="T115" s="2"/>
      <c r="U115" s="2"/>
      <c r="V115" s="2"/>
      <c r="W115" s="2"/>
      <c r="X115" s="3"/>
      <c r="Y115" s="3"/>
      <c r="Z115" s="3"/>
      <c r="AA115" s="3"/>
    </row>
    <row r="116" spans="1:27" ht="16.5">
      <c r="A116" s="1">
        <v>59</v>
      </c>
      <c r="B116" s="1">
        <v>59</v>
      </c>
      <c r="C116" s="3">
        <v>115</v>
      </c>
      <c r="D116" s="3">
        <v>115</v>
      </c>
      <c r="E116" s="13" t="s">
        <v>221</v>
      </c>
      <c r="F116" s="13" t="s">
        <v>49</v>
      </c>
      <c r="G116" s="1"/>
      <c r="H116" s="1" t="s">
        <v>284</v>
      </c>
      <c r="I116" s="6" t="s">
        <v>254</v>
      </c>
      <c r="J116" s="1" t="s">
        <v>356</v>
      </c>
      <c r="K116" s="1"/>
      <c r="L116" s="1"/>
      <c r="M116" s="1"/>
      <c r="N116" s="20"/>
      <c r="O116" s="20"/>
      <c r="P116" s="20"/>
      <c r="Q116" s="1"/>
      <c r="R116" s="1"/>
      <c r="S116" s="1"/>
      <c r="T116" s="1"/>
      <c r="U116" s="1"/>
      <c r="V116" s="1"/>
      <c r="W116" s="1"/>
      <c r="X116" s="3"/>
      <c r="Y116" s="3"/>
      <c r="Z116" s="3"/>
      <c r="AA116" s="3"/>
    </row>
    <row r="117" spans="1:27" ht="16.5">
      <c r="A117" s="1">
        <v>60</v>
      </c>
      <c r="B117" s="1">
        <v>60</v>
      </c>
      <c r="C117" s="3">
        <v>116</v>
      </c>
      <c r="D117" s="3">
        <v>116</v>
      </c>
      <c r="E117" s="13" t="s">
        <v>222</v>
      </c>
      <c r="F117" s="13" t="s">
        <v>48</v>
      </c>
      <c r="G117" s="1"/>
      <c r="H117" s="1" t="s">
        <v>288</v>
      </c>
      <c r="I117" s="6" t="s">
        <v>258</v>
      </c>
      <c r="J117" s="1" t="s">
        <v>359</v>
      </c>
      <c r="K117" s="1"/>
      <c r="L117" s="1"/>
      <c r="M117" s="1"/>
      <c r="N117" s="20"/>
      <c r="O117" s="20"/>
      <c r="P117" s="20"/>
      <c r="Q117" s="1"/>
      <c r="R117" s="1"/>
      <c r="S117" s="1"/>
      <c r="T117" s="1"/>
      <c r="U117" s="1"/>
      <c r="V117" s="1"/>
      <c r="W117" s="1"/>
      <c r="X117" s="3"/>
      <c r="Y117" s="3"/>
      <c r="Z117" s="3"/>
      <c r="AA117" s="3"/>
    </row>
    <row r="118" spans="1:27" ht="16.5">
      <c r="A118" s="1">
        <v>61</v>
      </c>
      <c r="B118" s="1">
        <v>61</v>
      </c>
      <c r="C118" s="3">
        <v>117</v>
      </c>
      <c r="D118" s="3">
        <v>117</v>
      </c>
      <c r="E118" s="13" t="s">
        <v>223</v>
      </c>
      <c r="F118" s="13" t="s">
        <v>47</v>
      </c>
      <c r="G118" s="1"/>
      <c r="H118" s="1" t="s">
        <v>291</v>
      </c>
      <c r="I118" s="6" t="s">
        <v>262</v>
      </c>
      <c r="J118" s="1" t="s">
        <v>362</v>
      </c>
      <c r="K118" s="1"/>
      <c r="L118" s="1"/>
      <c r="M118" s="1"/>
      <c r="N118" s="20"/>
      <c r="O118" s="20"/>
      <c r="P118" s="20"/>
      <c r="Q118" s="1"/>
      <c r="R118" s="1"/>
      <c r="S118" s="1"/>
      <c r="T118" s="1"/>
      <c r="U118" s="1"/>
      <c r="V118" s="1"/>
      <c r="W118" s="1"/>
      <c r="X118" s="3"/>
      <c r="Y118" s="3"/>
      <c r="Z118" s="3"/>
      <c r="AA118" s="3"/>
    </row>
    <row r="119" spans="1:27" ht="16.5">
      <c r="A119" s="1">
        <v>62</v>
      </c>
      <c r="B119" s="1">
        <v>62</v>
      </c>
      <c r="C119" s="3">
        <v>118</v>
      </c>
      <c r="D119" s="3">
        <v>118</v>
      </c>
      <c r="E119" s="13" t="s">
        <v>224</v>
      </c>
      <c r="F119" s="13" t="s">
        <v>46</v>
      </c>
      <c r="G119" s="1"/>
      <c r="H119" s="1" t="s">
        <v>294</v>
      </c>
      <c r="I119" s="6" t="s">
        <v>266</v>
      </c>
      <c r="J119" s="1" t="s">
        <v>365</v>
      </c>
      <c r="K119" s="1" t="s">
        <v>56</v>
      </c>
      <c r="L119" s="1"/>
      <c r="M119" s="1"/>
      <c r="N119" s="20"/>
      <c r="O119" s="20"/>
      <c r="P119" s="20"/>
      <c r="Q119" s="1"/>
      <c r="R119" s="1"/>
      <c r="S119" s="1"/>
      <c r="T119" s="1"/>
      <c r="U119" s="1"/>
      <c r="V119" s="1"/>
      <c r="W119" s="1"/>
      <c r="X119" s="3"/>
      <c r="Y119" s="3"/>
      <c r="Z119" s="3"/>
      <c r="AA119" s="3"/>
    </row>
    <row r="120" spans="1:27" ht="16.5">
      <c r="A120" s="1">
        <v>63</v>
      </c>
      <c r="B120" s="1">
        <v>63</v>
      </c>
      <c r="C120" s="3">
        <v>119</v>
      </c>
      <c r="D120" s="3">
        <v>119</v>
      </c>
      <c r="E120" s="13" t="s">
        <v>82</v>
      </c>
      <c r="F120" s="13" t="s">
        <v>240</v>
      </c>
      <c r="G120" s="1"/>
      <c r="H120" s="1"/>
      <c r="I120" s="6"/>
      <c r="J120" s="1"/>
      <c r="K120" s="1" t="s">
        <v>58</v>
      </c>
      <c r="L120" s="1"/>
      <c r="M120" s="1"/>
      <c r="N120" s="20"/>
      <c r="O120" s="20"/>
      <c r="P120" s="20"/>
      <c r="Q120" s="1"/>
      <c r="R120" s="1"/>
      <c r="S120" s="1"/>
      <c r="T120" s="1"/>
      <c r="U120" s="1"/>
      <c r="V120" s="1"/>
      <c r="W120" s="1"/>
      <c r="X120" s="3"/>
      <c r="Y120" s="3"/>
      <c r="Z120" s="3"/>
      <c r="AA120" s="3"/>
    </row>
    <row r="121" spans="1:27" ht="16.5">
      <c r="A121" s="1"/>
      <c r="B121" s="1"/>
      <c r="C121" s="3">
        <v>120</v>
      </c>
      <c r="D121" s="3">
        <v>120</v>
      </c>
      <c r="E121" s="13" t="s">
        <v>83</v>
      </c>
      <c r="F121" s="13" t="s">
        <v>241</v>
      </c>
      <c r="G121" s="1"/>
      <c r="H121" s="1"/>
      <c r="I121" s="6"/>
      <c r="J121" s="1"/>
      <c r="K121" s="1"/>
      <c r="L121" s="1"/>
      <c r="M121" s="1"/>
      <c r="N121" s="20"/>
      <c r="O121" s="20"/>
      <c r="P121" s="20"/>
      <c r="Q121" s="1"/>
      <c r="R121" s="1"/>
      <c r="S121" s="1"/>
      <c r="T121" s="1"/>
      <c r="U121" s="1"/>
      <c r="V121" s="1"/>
      <c r="W121" s="1"/>
      <c r="X121" s="3"/>
      <c r="Y121" s="3"/>
      <c r="Z121" s="3"/>
      <c r="AA121" s="3"/>
    </row>
    <row r="122" spans="1:27" ht="16.5">
      <c r="A122" s="1"/>
      <c r="B122" s="1"/>
      <c r="C122" s="3">
        <v>121</v>
      </c>
      <c r="D122" s="3">
        <v>121</v>
      </c>
      <c r="E122" s="13" t="s">
        <v>225</v>
      </c>
      <c r="F122" s="13" t="s">
        <v>45</v>
      </c>
      <c r="G122" s="1"/>
      <c r="H122" s="1" t="s">
        <v>386</v>
      </c>
      <c r="I122" s="6" t="s">
        <v>363</v>
      </c>
      <c r="J122" s="1" t="s">
        <v>292</v>
      </c>
      <c r="K122" s="1"/>
      <c r="L122" s="1"/>
      <c r="M122" s="1"/>
      <c r="N122" s="20"/>
      <c r="O122" s="20"/>
      <c r="P122" s="20"/>
      <c r="Q122" s="1"/>
      <c r="R122" s="1"/>
      <c r="S122" s="1"/>
      <c r="T122" s="1"/>
      <c r="U122" s="1"/>
      <c r="V122" s="1"/>
      <c r="W122" s="1"/>
      <c r="X122" s="3"/>
      <c r="Y122" s="3"/>
      <c r="Z122" s="3"/>
      <c r="AA122" s="3"/>
    </row>
    <row r="123" spans="1:27" ht="16.5">
      <c r="A123" s="1"/>
      <c r="B123" s="1"/>
      <c r="C123" s="3">
        <v>122</v>
      </c>
      <c r="D123" s="3">
        <v>122</v>
      </c>
      <c r="E123" s="13" t="s">
        <v>226</v>
      </c>
      <c r="F123" s="13" t="s">
        <v>227</v>
      </c>
      <c r="G123" s="1"/>
      <c r="H123" s="1" t="s">
        <v>388</v>
      </c>
      <c r="I123" s="6" t="s">
        <v>366</v>
      </c>
      <c r="J123" s="1" t="s">
        <v>295</v>
      </c>
      <c r="K123" s="1"/>
      <c r="L123" s="1"/>
      <c r="M123" s="1"/>
      <c r="N123" s="20"/>
      <c r="O123" s="20"/>
      <c r="P123" s="20"/>
      <c r="Q123" s="1"/>
      <c r="R123" s="1"/>
      <c r="S123" s="1"/>
      <c r="T123" s="1"/>
      <c r="U123" s="1"/>
      <c r="V123" s="1"/>
      <c r="W123" s="1"/>
      <c r="X123" s="3"/>
      <c r="Y123" s="3"/>
      <c r="Z123" s="3"/>
      <c r="AA123" s="3"/>
    </row>
    <row r="124" spans="1:27" ht="16.5">
      <c r="A124" s="1"/>
      <c r="B124" s="1"/>
      <c r="C124" s="3">
        <v>123</v>
      </c>
      <c r="D124" s="3">
        <v>123</v>
      </c>
      <c r="E124" s="13" t="s">
        <v>228</v>
      </c>
      <c r="F124" s="13" t="s">
        <v>229</v>
      </c>
      <c r="G124" s="1"/>
      <c r="H124" s="1" t="s">
        <v>390</v>
      </c>
      <c r="I124" s="6" t="s">
        <v>360</v>
      </c>
      <c r="J124" s="1" t="s">
        <v>285</v>
      </c>
      <c r="K124" s="1"/>
      <c r="L124" s="1"/>
      <c r="M124" s="1"/>
      <c r="N124" s="20"/>
      <c r="O124" s="20"/>
      <c r="P124" s="20"/>
      <c r="Q124" s="1"/>
      <c r="R124" s="1"/>
      <c r="S124" s="1"/>
      <c r="T124" s="1"/>
      <c r="U124" s="1"/>
      <c r="V124" s="1"/>
      <c r="W124" s="1"/>
      <c r="X124" s="3"/>
      <c r="Y124" s="3"/>
      <c r="Z124" s="3"/>
      <c r="AA124" s="3"/>
    </row>
    <row r="125" spans="1:27" ht="16.5">
      <c r="A125" s="1"/>
      <c r="B125" s="1"/>
      <c r="C125" s="3">
        <v>124</v>
      </c>
      <c r="D125" s="3">
        <v>124</v>
      </c>
      <c r="E125" s="13" t="s">
        <v>230</v>
      </c>
      <c r="F125" s="13" t="s">
        <v>231</v>
      </c>
      <c r="G125" s="1"/>
      <c r="H125" s="1" t="s">
        <v>392</v>
      </c>
      <c r="I125" s="6" t="s">
        <v>357</v>
      </c>
      <c r="J125" s="1" t="s">
        <v>289</v>
      </c>
      <c r="K125" s="1"/>
      <c r="L125" s="1"/>
      <c r="M125" s="1"/>
      <c r="N125" s="20"/>
      <c r="O125" s="20"/>
      <c r="P125" s="20"/>
      <c r="Q125" s="1"/>
      <c r="R125" s="1"/>
      <c r="S125" s="1"/>
      <c r="T125" s="1"/>
      <c r="U125" s="1"/>
      <c r="V125" s="1"/>
      <c r="W125" s="1"/>
      <c r="X125" s="3"/>
      <c r="Y125" s="3"/>
      <c r="Z125" s="3"/>
      <c r="AA125" s="3"/>
    </row>
    <row r="126" spans="1:27" ht="16.5">
      <c r="A126" s="1"/>
      <c r="B126" s="1"/>
      <c r="C126" s="3">
        <v>125</v>
      </c>
      <c r="D126" s="3">
        <v>125</v>
      </c>
      <c r="E126" s="13" t="s">
        <v>232</v>
      </c>
      <c r="F126" s="13" t="s">
        <v>233</v>
      </c>
      <c r="G126" s="1"/>
      <c r="H126" s="1" t="s">
        <v>397</v>
      </c>
      <c r="I126" s="6" t="s">
        <v>352</v>
      </c>
      <c r="J126" s="1" t="s">
        <v>298</v>
      </c>
      <c r="K126" s="1"/>
      <c r="L126" s="1"/>
      <c r="M126" s="1"/>
      <c r="N126" s="20"/>
      <c r="O126" s="20"/>
      <c r="P126" s="20"/>
      <c r="Q126" s="1"/>
      <c r="R126" s="1"/>
      <c r="S126" s="1"/>
      <c r="T126" s="1"/>
      <c r="U126" s="1"/>
      <c r="V126" s="1"/>
      <c r="W126" s="1"/>
      <c r="X126" s="3"/>
      <c r="Y126" s="3"/>
      <c r="Z126" s="3"/>
      <c r="AA126" s="3"/>
    </row>
    <row r="127" spans="1:27" ht="16.5">
      <c r="A127" s="1"/>
      <c r="B127" s="1"/>
      <c r="C127" s="3">
        <v>126</v>
      </c>
      <c r="D127" s="3">
        <v>126</v>
      </c>
      <c r="E127" s="13" t="s">
        <v>234</v>
      </c>
      <c r="F127" s="13" t="s">
        <v>235</v>
      </c>
      <c r="G127" s="1"/>
      <c r="H127" s="1" t="s">
        <v>398</v>
      </c>
      <c r="I127" s="6" t="s">
        <v>354</v>
      </c>
      <c r="J127" s="1"/>
      <c r="K127" s="1"/>
      <c r="L127" s="1"/>
      <c r="M127" s="1"/>
      <c r="N127" s="20"/>
      <c r="O127" s="20"/>
      <c r="P127" s="20"/>
      <c r="Q127" s="1"/>
      <c r="R127" s="1"/>
      <c r="S127" s="1"/>
      <c r="T127" s="1"/>
      <c r="U127" s="1"/>
      <c r="V127" s="1"/>
      <c r="W127" s="1"/>
      <c r="X127" s="3"/>
      <c r="Y127" s="3"/>
      <c r="Z127" s="3"/>
      <c r="AA127" s="3"/>
    </row>
    <row r="128" spans="1:27" ht="16.5">
      <c r="A128" s="1"/>
      <c r="B128" s="1"/>
      <c r="C128" s="3">
        <v>127</v>
      </c>
      <c r="D128" s="3">
        <v>127</v>
      </c>
      <c r="E128" s="13" t="s">
        <v>236</v>
      </c>
      <c r="F128" s="13" t="s">
        <v>237</v>
      </c>
      <c r="G128" s="1"/>
      <c r="H128" s="1" t="s">
        <v>300</v>
      </c>
      <c r="I128" s="6" t="s">
        <v>399</v>
      </c>
      <c r="J128" s="1" t="s">
        <v>400</v>
      </c>
      <c r="K128" s="1"/>
      <c r="L128" s="1"/>
      <c r="M128" s="1"/>
      <c r="N128" s="20"/>
      <c r="O128" s="20"/>
      <c r="P128" s="20"/>
      <c r="Q128" s="1"/>
      <c r="R128" s="1"/>
      <c r="S128" s="1"/>
      <c r="T128" s="1"/>
      <c r="U128" s="1"/>
      <c r="V128" s="1"/>
      <c r="W128" s="1"/>
      <c r="X128" s="3"/>
      <c r="Y128" s="3"/>
      <c r="Z128" s="3"/>
      <c r="AA128" s="3"/>
    </row>
    <row r="129" spans="1:27" ht="16.5">
      <c r="A129" s="1">
        <v>64</v>
      </c>
      <c r="B129" s="1">
        <v>64</v>
      </c>
      <c r="C129" s="3">
        <v>128</v>
      </c>
      <c r="D129" s="3">
        <v>128</v>
      </c>
      <c r="E129" s="13" t="s">
        <v>238</v>
      </c>
      <c r="F129" s="13" t="s">
        <v>239</v>
      </c>
      <c r="G129" s="1"/>
      <c r="H129" s="1" t="s">
        <v>301</v>
      </c>
      <c r="I129" s="6" t="s">
        <v>401</v>
      </c>
      <c r="J129" s="1" t="s">
        <v>402</v>
      </c>
      <c r="K129" s="1"/>
      <c r="L129" s="1"/>
      <c r="M129" s="1"/>
      <c r="N129" s="20"/>
      <c r="O129" s="20"/>
      <c r="P129" s="20"/>
      <c r="Q129" s="1"/>
      <c r="R129" s="1"/>
      <c r="S129" s="1"/>
      <c r="T129" s="1"/>
      <c r="U129" s="1"/>
      <c r="V129" s="1"/>
      <c r="W129" s="1"/>
      <c r="X129" s="3"/>
      <c r="Y129" s="3"/>
      <c r="Z129" s="3"/>
      <c r="AA129" s="3"/>
    </row>
  </sheetData>
  <phoneticPr fontId="56"/>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148"/>
  <sheetViews>
    <sheetView tabSelected="1" zoomScale="70" zoomScaleNormal="70" workbookViewId="0"/>
  </sheetViews>
  <sheetFormatPr defaultRowHeight="15.75" outlineLevelCol="2"/>
  <cols>
    <col min="1" max="1" width="6.5703125" bestFit="1" customWidth="1"/>
    <col min="2" max="5" width="9.7109375" bestFit="1" customWidth="1"/>
    <col min="6" max="7" width="13.140625" bestFit="1" customWidth="1"/>
    <col min="8" max="9" width="19.5703125" bestFit="1" customWidth="1"/>
    <col min="10" max="10" width="25.28515625" bestFit="1" customWidth="1"/>
    <col min="11" max="11" width="19.5703125" bestFit="1" customWidth="1"/>
    <col min="12" max="13" width="13.85546875" bestFit="1" customWidth="1"/>
    <col min="14" max="14" width="10.5703125" bestFit="1" customWidth="1"/>
    <col min="15" max="15" width="3" customWidth="1"/>
    <col min="16" max="16" width="12.42578125" bestFit="1" customWidth="1" outlineLevel="2"/>
    <col min="17" max="17" width="9.7109375" bestFit="1" customWidth="1" outlineLevel="2"/>
    <col min="18" max="18" width="15.28515625" bestFit="1" customWidth="1" outlineLevel="2"/>
    <col min="19" max="19" width="16.7109375" bestFit="1" customWidth="1" outlineLevel="2"/>
    <col min="20" max="20" width="3" customWidth="1"/>
    <col min="21" max="21" width="13.85546875" bestFit="1" customWidth="1" outlineLevel="2"/>
    <col min="22" max="22" width="15.28515625" bestFit="1" customWidth="1" outlineLevel="2"/>
    <col min="23" max="25" width="13.85546875" bestFit="1" customWidth="1" outlineLevel="2"/>
    <col min="26" max="26" width="3" customWidth="1" outlineLevel="1"/>
    <col min="27" max="27" width="13.85546875" bestFit="1" customWidth="1" outlineLevel="2"/>
    <col min="28" max="28" width="15.28515625" bestFit="1" customWidth="1" outlineLevel="2"/>
    <col min="29" max="29" width="13.85546875" bestFit="1" customWidth="1" outlineLevel="2"/>
    <col min="30" max="30" width="12.28515625" bestFit="1" customWidth="1" outlineLevel="2"/>
    <col min="31" max="31" width="13.85546875" bestFit="1" customWidth="1" outlineLevel="2"/>
    <col min="32" max="32" width="3" customWidth="1" outlineLevel="1"/>
    <col min="33" max="33" width="13.85546875" bestFit="1" customWidth="1" outlineLevel="2"/>
    <col min="34" max="34" width="15.28515625" bestFit="1" customWidth="1" outlineLevel="2"/>
    <col min="35" max="35" width="13.85546875" bestFit="1" customWidth="1" outlineLevel="2"/>
    <col min="36" max="36" width="3" customWidth="1" outlineLevel="1"/>
    <col min="37" max="37" width="13.85546875" bestFit="1" customWidth="1" outlineLevel="2"/>
    <col min="38" max="38" width="15.28515625" bestFit="1" customWidth="1" outlineLevel="2"/>
    <col min="39" max="40" width="13.85546875" bestFit="1" customWidth="1" outlineLevel="2"/>
    <col min="41" max="41" width="3" customWidth="1" outlineLevel="1"/>
    <col min="42" max="45" width="13.85546875" bestFit="1" customWidth="1" outlineLevel="2"/>
    <col min="46" max="46" width="3" customWidth="1" outlineLevel="1"/>
    <col min="47" max="50" width="13.85546875" bestFit="1" customWidth="1" outlineLevel="2"/>
    <col min="51" max="51" width="3" customWidth="1" outlineLevel="1"/>
    <col min="52" max="55" width="11.42578125" bestFit="1" customWidth="1"/>
  </cols>
  <sheetData>
    <row r="1" spans="1:56" ht="32.25" thickBot="1">
      <c r="A1" s="66" t="s">
        <v>453</v>
      </c>
      <c r="B1" s="57" t="s">
        <v>454</v>
      </c>
      <c r="C1" s="58" t="s">
        <v>455</v>
      </c>
      <c r="D1" s="58" t="s">
        <v>456</v>
      </c>
      <c r="E1" s="58" t="s">
        <v>457</v>
      </c>
      <c r="F1" s="59" t="s">
        <v>458</v>
      </c>
      <c r="G1" s="59" t="s">
        <v>459</v>
      </c>
      <c r="H1" s="60" t="s">
        <v>403</v>
      </c>
      <c r="I1" s="60" t="s">
        <v>460</v>
      </c>
      <c r="J1" s="60" t="s">
        <v>461</v>
      </c>
      <c r="K1" s="60" t="s">
        <v>462</v>
      </c>
      <c r="L1" s="68" t="s">
        <v>463</v>
      </c>
      <c r="M1" s="60" t="s">
        <v>464</v>
      </c>
      <c r="N1" s="60" t="s">
        <v>465</v>
      </c>
      <c r="O1" s="85"/>
      <c r="P1" s="86" t="s">
        <v>403</v>
      </c>
      <c r="Q1" s="86" t="s">
        <v>1695</v>
      </c>
      <c r="R1" s="86" t="s">
        <v>1786</v>
      </c>
      <c r="S1" s="86" t="s">
        <v>1787</v>
      </c>
      <c r="T1" s="85"/>
      <c r="U1" s="86" t="s">
        <v>403</v>
      </c>
      <c r="V1" s="86" t="s">
        <v>1788</v>
      </c>
      <c r="W1" s="86" t="s">
        <v>967</v>
      </c>
      <c r="X1" s="86" t="s">
        <v>1789</v>
      </c>
      <c r="Y1" s="86" t="s">
        <v>968</v>
      </c>
      <c r="Z1" s="85"/>
      <c r="AA1" s="86" t="s">
        <v>460</v>
      </c>
      <c r="AB1" s="86" t="s">
        <v>1788</v>
      </c>
      <c r="AC1" s="86" t="s">
        <v>967</v>
      </c>
      <c r="AD1" s="86" t="s">
        <v>1789</v>
      </c>
      <c r="AE1" s="86" t="s">
        <v>968</v>
      </c>
      <c r="AF1" s="85"/>
      <c r="AG1" s="86" t="s">
        <v>461</v>
      </c>
      <c r="AH1" s="86" t="s">
        <v>1788</v>
      </c>
      <c r="AI1" s="86" t="s">
        <v>967</v>
      </c>
      <c r="AJ1" s="85"/>
      <c r="AK1" s="86" t="s">
        <v>462</v>
      </c>
      <c r="AL1" s="86" t="s">
        <v>1788</v>
      </c>
      <c r="AM1" s="86" t="s">
        <v>967</v>
      </c>
      <c r="AN1" s="86" t="s">
        <v>968</v>
      </c>
      <c r="AO1" s="85"/>
      <c r="AP1" s="86" t="s">
        <v>463</v>
      </c>
      <c r="AQ1" s="86" t="s">
        <v>1788</v>
      </c>
      <c r="AR1" s="86" t="s">
        <v>967</v>
      </c>
      <c r="AS1" s="86" t="s">
        <v>968</v>
      </c>
      <c r="AT1" s="85"/>
      <c r="AU1" s="86" t="s">
        <v>464</v>
      </c>
      <c r="AV1" s="86" t="s">
        <v>1788</v>
      </c>
      <c r="AW1" s="86" t="s">
        <v>967</v>
      </c>
      <c r="AX1" s="86" t="s">
        <v>968</v>
      </c>
      <c r="AY1" s="85"/>
      <c r="AZ1" s="64" t="s">
        <v>8</v>
      </c>
      <c r="BA1" s="64" t="s">
        <v>9</v>
      </c>
      <c r="BB1" s="64" t="s">
        <v>10</v>
      </c>
      <c r="BC1" s="65" t="s">
        <v>1175</v>
      </c>
    </row>
    <row r="2" spans="1:56" ht="16.5">
      <c r="A2" s="66">
        <v>1</v>
      </c>
      <c r="B2" s="69"/>
      <c r="C2" s="69"/>
      <c r="D2" s="117"/>
      <c r="E2" s="117">
        <v>1</v>
      </c>
      <c r="F2" s="51" t="s">
        <v>82</v>
      </c>
      <c r="G2" s="51" t="s">
        <v>240</v>
      </c>
      <c r="H2" s="79"/>
      <c r="I2" s="79"/>
      <c r="J2" s="79"/>
      <c r="K2" s="79"/>
      <c r="L2" s="79"/>
      <c r="M2" s="79"/>
      <c r="N2" s="79"/>
      <c r="O2" s="79"/>
      <c r="P2" s="87"/>
      <c r="Q2" s="87"/>
      <c r="R2" s="87"/>
      <c r="S2" s="87"/>
      <c r="T2" s="79"/>
      <c r="U2" s="87"/>
      <c r="V2" s="87"/>
      <c r="W2" s="87"/>
      <c r="X2" s="87"/>
      <c r="Y2" s="87"/>
      <c r="Z2" s="79"/>
      <c r="AA2" s="87"/>
      <c r="AB2" s="87"/>
      <c r="AC2" s="87"/>
      <c r="AD2" s="87"/>
      <c r="AE2" s="87"/>
      <c r="AF2" s="79"/>
      <c r="AG2" s="87"/>
      <c r="AH2" s="87"/>
      <c r="AI2" s="87"/>
      <c r="AJ2" s="79"/>
      <c r="AK2" s="87"/>
      <c r="AL2" s="87"/>
      <c r="AM2" s="87"/>
      <c r="AN2" s="87"/>
      <c r="AO2" s="79"/>
      <c r="AP2" s="87"/>
      <c r="AQ2" s="87"/>
      <c r="AR2" s="87"/>
      <c r="AS2" s="87"/>
      <c r="AT2" s="79"/>
      <c r="AU2" s="87"/>
      <c r="AV2" s="87"/>
      <c r="AW2" s="87"/>
      <c r="AX2" s="87"/>
      <c r="AY2" s="79"/>
      <c r="AZ2" s="9" t="s">
        <v>1284</v>
      </c>
      <c r="BA2" s="9" t="s">
        <v>1284</v>
      </c>
      <c r="BB2" s="9" t="s">
        <v>1284</v>
      </c>
      <c r="BC2" s="9"/>
      <c r="BD2" s="118"/>
    </row>
    <row r="3" spans="1:56" ht="16.5">
      <c r="A3" s="66">
        <v>2</v>
      </c>
      <c r="B3" s="7"/>
      <c r="C3" s="7"/>
      <c r="D3" s="119">
        <v>1</v>
      </c>
      <c r="E3" s="119">
        <v>2</v>
      </c>
      <c r="F3" s="1" t="s">
        <v>466</v>
      </c>
      <c r="G3" s="120" t="s">
        <v>799</v>
      </c>
      <c r="H3" s="79"/>
      <c r="I3" s="79"/>
      <c r="J3" s="79"/>
      <c r="K3" s="79"/>
      <c r="L3" s="79"/>
      <c r="M3" s="79"/>
      <c r="N3" s="79"/>
      <c r="O3" s="79"/>
      <c r="P3" s="18"/>
      <c r="Q3" s="18"/>
      <c r="R3" s="18"/>
      <c r="S3" s="18"/>
      <c r="T3" s="79"/>
      <c r="U3" s="18"/>
      <c r="V3" s="18"/>
      <c r="W3" s="18"/>
      <c r="X3" s="18"/>
      <c r="Y3" s="18"/>
      <c r="Z3" s="79"/>
      <c r="AA3" s="18"/>
      <c r="AB3" s="18"/>
      <c r="AC3" s="18"/>
      <c r="AD3" s="18"/>
      <c r="AE3" s="18"/>
      <c r="AF3" s="79"/>
      <c r="AG3" s="18"/>
      <c r="AH3" s="18"/>
      <c r="AI3" s="18"/>
      <c r="AJ3" s="79"/>
      <c r="AK3" s="18"/>
      <c r="AL3" s="18"/>
      <c r="AM3" s="18"/>
      <c r="AN3" s="18"/>
      <c r="AO3" s="79"/>
      <c r="AP3" s="18"/>
      <c r="AQ3" s="18"/>
      <c r="AR3" s="18"/>
      <c r="AS3" s="18"/>
      <c r="AT3" s="79"/>
      <c r="AU3" s="18"/>
      <c r="AV3" s="18"/>
      <c r="AW3" s="18"/>
      <c r="AX3" s="18"/>
      <c r="AY3" s="79"/>
      <c r="AZ3" s="9" t="s">
        <v>1498</v>
      </c>
      <c r="BA3" s="9" t="s">
        <v>1391</v>
      </c>
      <c r="BB3" s="9" t="s">
        <v>1283</v>
      </c>
      <c r="BC3" s="9" t="s">
        <v>1176</v>
      </c>
      <c r="BD3" s="118"/>
    </row>
    <row r="4" spans="1:56" ht="16.5">
      <c r="A4" s="66">
        <v>3</v>
      </c>
      <c r="B4" s="7"/>
      <c r="C4" s="7"/>
      <c r="D4" s="119"/>
      <c r="E4" s="119">
        <v>3</v>
      </c>
      <c r="F4" s="1" t="s">
        <v>909</v>
      </c>
      <c r="G4" s="120" t="s">
        <v>467</v>
      </c>
      <c r="H4" s="79"/>
      <c r="I4" s="79"/>
      <c r="J4" s="79"/>
      <c r="K4" s="79"/>
      <c r="L4" s="79"/>
      <c r="M4" s="79"/>
      <c r="N4" s="79"/>
      <c r="O4" s="79"/>
      <c r="P4" s="18"/>
      <c r="Q4" s="18"/>
      <c r="R4" s="18"/>
      <c r="S4" s="18"/>
      <c r="T4" s="79"/>
      <c r="U4" s="18"/>
      <c r="V4" s="18"/>
      <c r="W4" s="18"/>
      <c r="X4" s="18"/>
      <c r="Y4" s="18"/>
      <c r="Z4" s="79"/>
      <c r="AA4" s="18"/>
      <c r="AB4" s="18"/>
      <c r="AC4" s="18"/>
      <c r="AD4" s="18"/>
      <c r="AE4" s="18"/>
      <c r="AF4" s="79"/>
      <c r="AG4" s="18"/>
      <c r="AH4" s="18"/>
      <c r="AI4" s="18"/>
      <c r="AJ4" s="79"/>
      <c r="AK4" s="18"/>
      <c r="AL4" s="18"/>
      <c r="AM4" s="18"/>
      <c r="AN4" s="18"/>
      <c r="AO4" s="79"/>
      <c r="AP4" s="18"/>
      <c r="AQ4" s="18"/>
      <c r="AR4" s="18"/>
      <c r="AS4" s="18"/>
      <c r="AT4" s="79"/>
      <c r="AU4" s="18"/>
      <c r="AV4" s="18"/>
      <c r="AW4" s="18"/>
      <c r="AX4" s="18"/>
      <c r="AY4" s="79"/>
      <c r="AZ4" s="9" t="s">
        <v>1284</v>
      </c>
      <c r="BA4" s="9" t="s">
        <v>1284</v>
      </c>
      <c r="BB4" s="9" t="s">
        <v>1284</v>
      </c>
      <c r="BC4" s="9"/>
      <c r="BD4" s="118"/>
    </row>
    <row r="5" spans="1:56" ht="16.5">
      <c r="A5" s="66">
        <v>4</v>
      </c>
      <c r="B5" s="7"/>
      <c r="C5" s="7"/>
      <c r="D5" s="119">
        <v>2</v>
      </c>
      <c r="E5" s="119">
        <v>4</v>
      </c>
      <c r="F5" s="1" t="s">
        <v>468</v>
      </c>
      <c r="G5" s="120" t="s">
        <v>719</v>
      </c>
      <c r="H5" s="79"/>
      <c r="I5" s="79"/>
      <c r="J5" s="79"/>
      <c r="K5" s="79"/>
      <c r="L5" s="79"/>
      <c r="M5" s="79"/>
      <c r="N5" s="79"/>
      <c r="O5" s="79"/>
      <c r="P5" s="18"/>
      <c r="Q5" s="18"/>
      <c r="R5" s="18"/>
      <c r="S5" s="18"/>
      <c r="T5" s="79"/>
      <c r="U5" s="18"/>
      <c r="V5" s="18"/>
      <c r="W5" s="18"/>
      <c r="X5" s="18"/>
      <c r="Y5" s="18"/>
      <c r="Z5" s="79"/>
      <c r="AA5" s="18"/>
      <c r="AB5" s="18"/>
      <c r="AC5" s="18"/>
      <c r="AD5" s="18"/>
      <c r="AE5" s="18"/>
      <c r="AF5" s="79"/>
      <c r="AG5" s="18"/>
      <c r="AH5" s="18"/>
      <c r="AI5" s="18"/>
      <c r="AJ5" s="79"/>
      <c r="AK5" s="18"/>
      <c r="AL5" s="18"/>
      <c r="AM5" s="18"/>
      <c r="AN5" s="18"/>
      <c r="AO5" s="79"/>
      <c r="AP5" s="18"/>
      <c r="AQ5" s="18"/>
      <c r="AR5" s="18"/>
      <c r="AS5" s="18"/>
      <c r="AT5" s="79"/>
      <c r="AU5" s="18"/>
      <c r="AV5" s="18"/>
      <c r="AW5" s="18"/>
      <c r="AX5" s="18"/>
      <c r="AY5" s="79"/>
      <c r="AZ5" s="9" t="s">
        <v>1499</v>
      </c>
      <c r="BA5" s="9" t="s">
        <v>1392</v>
      </c>
      <c r="BB5" s="9" t="s">
        <v>1285</v>
      </c>
      <c r="BC5" s="9" t="s">
        <v>1177</v>
      </c>
      <c r="BD5" s="118"/>
    </row>
    <row r="6" spans="1:56" ht="16.5">
      <c r="A6" s="66">
        <v>5</v>
      </c>
      <c r="B6" s="7">
        <v>1</v>
      </c>
      <c r="C6" s="7">
        <v>1</v>
      </c>
      <c r="D6" s="119">
        <v>3</v>
      </c>
      <c r="E6" s="119">
        <v>5</v>
      </c>
      <c r="F6" s="54" t="s">
        <v>469</v>
      </c>
      <c r="G6" s="120" t="s">
        <v>720</v>
      </c>
      <c r="H6" s="79" t="s">
        <v>470</v>
      </c>
      <c r="I6" s="79" t="s">
        <v>471</v>
      </c>
      <c r="J6" s="79"/>
      <c r="K6" s="79" t="s">
        <v>2130</v>
      </c>
      <c r="L6" s="79"/>
      <c r="M6" s="79"/>
      <c r="N6" s="79"/>
      <c r="O6" s="79"/>
      <c r="P6" s="18"/>
      <c r="Q6" s="18"/>
      <c r="R6" s="18"/>
      <c r="S6" s="18"/>
      <c r="T6" s="79"/>
      <c r="U6" s="18"/>
      <c r="V6" s="18"/>
      <c r="W6" s="18"/>
      <c r="X6" s="18"/>
      <c r="Y6" s="18"/>
      <c r="Z6" s="79"/>
      <c r="AA6" s="18"/>
      <c r="AB6" s="18"/>
      <c r="AC6" s="18"/>
      <c r="AD6" s="18"/>
      <c r="AE6" s="18"/>
      <c r="AF6" s="79"/>
      <c r="AG6" s="18"/>
      <c r="AH6" s="18"/>
      <c r="AI6" s="18"/>
      <c r="AJ6" s="79"/>
      <c r="AK6" s="18"/>
      <c r="AL6" s="18"/>
      <c r="AM6" s="18"/>
      <c r="AN6" s="18"/>
      <c r="AO6" s="79"/>
      <c r="AP6" s="18"/>
      <c r="AQ6" s="18"/>
      <c r="AR6" s="18"/>
      <c r="AS6" s="18"/>
      <c r="AT6" s="79"/>
      <c r="AU6" s="18"/>
      <c r="AV6" s="18"/>
      <c r="AW6" s="18"/>
      <c r="AX6" s="18"/>
      <c r="AY6" s="79"/>
      <c r="AZ6" s="9" t="s">
        <v>854</v>
      </c>
      <c r="BA6" s="9" t="s">
        <v>855</v>
      </c>
      <c r="BB6" s="9" t="s">
        <v>856</v>
      </c>
      <c r="BC6" s="9" t="s">
        <v>798</v>
      </c>
      <c r="BD6" s="118"/>
    </row>
    <row r="7" spans="1:56" ht="16.5">
      <c r="A7" s="66">
        <v>6</v>
      </c>
      <c r="B7" s="7">
        <v>2</v>
      </c>
      <c r="C7" s="7">
        <v>2</v>
      </c>
      <c r="D7" s="119">
        <v>4</v>
      </c>
      <c r="E7" s="119">
        <v>6</v>
      </c>
      <c r="F7" s="120" t="s">
        <v>473</v>
      </c>
      <c r="G7" s="120" t="s">
        <v>721</v>
      </c>
      <c r="H7" s="79" t="s">
        <v>474</v>
      </c>
      <c r="I7" s="79" t="s">
        <v>475</v>
      </c>
      <c r="J7" s="79"/>
      <c r="K7" s="79" t="s">
        <v>2131</v>
      </c>
      <c r="L7" s="79"/>
      <c r="M7" s="79"/>
      <c r="N7" s="79"/>
      <c r="O7" s="79"/>
      <c r="P7" s="18"/>
      <c r="Q7" s="18"/>
      <c r="R7" s="18"/>
      <c r="S7" s="18"/>
      <c r="T7" s="79"/>
      <c r="U7" s="18"/>
      <c r="V7" s="18"/>
      <c r="W7" s="18"/>
      <c r="X7" s="18"/>
      <c r="Y7" s="18"/>
      <c r="Z7" s="79"/>
      <c r="AA7" s="18"/>
      <c r="AB7" s="18"/>
      <c r="AC7" s="18"/>
      <c r="AD7" s="18"/>
      <c r="AE7" s="18"/>
      <c r="AF7" s="79"/>
      <c r="AG7" s="18"/>
      <c r="AH7" s="18"/>
      <c r="AI7" s="18"/>
      <c r="AJ7" s="79"/>
      <c r="AK7" s="18"/>
      <c r="AL7" s="18"/>
      <c r="AM7" s="18"/>
      <c r="AN7" s="18"/>
      <c r="AO7" s="79"/>
      <c r="AP7" s="18"/>
      <c r="AQ7" s="18"/>
      <c r="AR7" s="18"/>
      <c r="AS7" s="18"/>
      <c r="AT7" s="79"/>
      <c r="AU7" s="18"/>
      <c r="AV7" s="18"/>
      <c r="AW7" s="18"/>
      <c r="AX7" s="18"/>
      <c r="AY7" s="79"/>
      <c r="AZ7" s="9" t="s">
        <v>1500</v>
      </c>
      <c r="BA7" s="9" t="s">
        <v>1393</v>
      </c>
      <c r="BB7" s="9" t="s">
        <v>1286</v>
      </c>
      <c r="BC7" s="9" t="s">
        <v>1178</v>
      </c>
      <c r="BD7" s="118"/>
    </row>
    <row r="8" spans="1:56" ht="16.5">
      <c r="A8" s="66">
        <v>7</v>
      </c>
      <c r="B8" s="119">
        <v>3</v>
      </c>
      <c r="C8" s="119">
        <v>3</v>
      </c>
      <c r="D8" s="119">
        <v>5</v>
      </c>
      <c r="E8" s="119">
        <v>7</v>
      </c>
      <c r="F8" s="120" t="s">
        <v>477</v>
      </c>
      <c r="G8" s="120" t="s">
        <v>722</v>
      </c>
      <c r="H8" s="79" t="s">
        <v>478</v>
      </c>
      <c r="I8" s="79" t="s">
        <v>479</v>
      </c>
      <c r="J8" s="79"/>
      <c r="K8" s="79" t="s">
        <v>2132</v>
      </c>
      <c r="L8" s="79"/>
      <c r="M8" s="79"/>
      <c r="N8" s="79"/>
      <c r="O8" s="79"/>
      <c r="P8" s="18"/>
      <c r="Q8" s="18"/>
      <c r="R8" s="18"/>
      <c r="S8" s="18"/>
      <c r="T8" s="79"/>
      <c r="U8" s="18"/>
      <c r="V8" s="18"/>
      <c r="W8" s="18"/>
      <c r="X8" s="18"/>
      <c r="Y8" s="18"/>
      <c r="Z8" s="79"/>
      <c r="AA8" s="18"/>
      <c r="AB8" s="18"/>
      <c r="AC8" s="18"/>
      <c r="AD8" s="18"/>
      <c r="AE8" s="18"/>
      <c r="AF8" s="79"/>
      <c r="AG8" s="18"/>
      <c r="AH8" s="18"/>
      <c r="AI8" s="18"/>
      <c r="AJ8" s="79"/>
      <c r="AK8" s="18"/>
      <c r="AL8" s="18"/>
      <c r="AM8" s="18"/>
      <c r="AN8" s="18"/>
      <c r="AO8" s="79"/>
      <c r="AP8" s="18"/>
      <c r="AQ8" s="18"/>
      <c r="AR8" s="18"/>
      <c r="AS8" s="18"/>
      <c r="AT8" s="79"/>
      <c r="AU8" s="18"/>
      <c r="AV8" s="18"/>
      <c r="AW8" s="18"/>
      <c r="AX8" s="18"/>
      <c r="AY8" s="79"/>
      <c r="AZ8" s="9" t="s">
        <v>1501</v>
      </c>
      <c r="BA8" s="9" t="s">
        <v>1394</v>
      </c>
      <c r="BB8" s="9" t="s">
        <v>1287</v>
      </c>
      <c r="BC8" s="9" t="s">
        <v>1179</v>
      </c>
      <c r="BD8" s="118"/>
    </row>
    <row r="9" spans="1:56" ht="16.5">
      <c r="A9" s="66">
        <v>8</v>
      </c>
      <c r="B9" s="119">
        <v>4</v>
      </c>
      <c r="C9" s="119">
        <v>4</v>
      </c>
      <c r="D9" s="119">
        <v>6</v>
      </c>
      <c r="E9" s="119">
        <v>8</v>
      </c>
      <c r="F9" s="120" t="s">
        <v>481</v>
      </c>
      <c r="G9" s="120" t="s">
        <v>723</v>
      </c>
      <c r="H9" s="79" t="s">
        <v>482</v>
      </c>
      <c r="I9" s="79" t="s">
        <v>483</v>
      </c>
      <c r="J9" s="79"/>
      <c r="K9" s="79" t="s">
        <v>2133</v>
      </c>
      <c r="L9" s="79"/>
      <c r="M9" s="79"/>
      <c r="N9" s="79"/>
      <c r="O9" s="79"/>
      <c r="P9" s="18"/>
      <c r="Q9" s="18"/>
      <c r="R9" s="18"/>
      <c r="S9" s="18"/>
      <c r="T9" s="79"/>
      <c r="U9" s="18"/>
      <c r="V9" s="18"/>
      <c r="W9" s="18"/>
      <c r="X9" s="18"/>
      <c r="Y9" s="18"/>
      <c r="Z9" s="79"/>
      <c r="AA9" s="18"/>
      <c r="AB9" s="18"/>
      <c r="AC9" s="18"/>
      <c r="AD9" s="18"/>
      <c r="AE9" s="18"/>
      <c r="AF9" s="79"/>
      <c r="AG9" s="18"/>
      <c r="AH9" s="18"/>
      <c r="AI9" s="18"/>
      <c r="AJ9" s="79"/>
      <c r="AK9" s="18"/>
      <c r="AL9" s="18"/>
      <c r="AM9" s="18"/>
      <c r="AN9" s="18"/>
      <c r="AO9" s="79"/>
      <c r="AP9" s="18"/>
      <c r="AQ9" s="18"/>
      <c r="AR9" s="18"/>
      <c r="AS9" s="18"/>
      <c r="AT9" s="79"/>
      <c r="AU9" s="18"/>
      <c r="AV9" s="18"/>
      <c r="AW9" s="18"/>
      <c r="AX9" s="18"/>
      <c r="AY9" s="79"/>
      <c r="AZ9" s="9" t="s">
        <v>1502</v>
      </c>
      <c r="BA9" s="9" t="s">
        <v>1395</v>
      </c>
      <c r="BB9" s="9" t="s">
        <v>1288</v>
      </c>
      <c r="BC9" s="9" t="s">
        <v>1180</v>
      </c>
      <c r="BD9" s="118"/>
    </row>
    <row r="10" spans="1:56" ht="16.5">
      <c r="A10" s="66">
        <v>9</v>
      </c>
      <c r="B10" s="119">
        <v>5</v>
      </c>
      <c r="C10" s="119">
        <v>5</v>
      </c>
      <c r="D10" s="119">
        <v>7</v>
      </c>
      <c r="E10" s="119">
        <v>9</v>
      </c>
      <c r="F10" s="120" t="s">
        <v>485</v>
      </c>
      <c r="G10" s="120" t="s">
        <v>724</v>
      </c>
      <c r="H10" s="79" t="s">
        <v>486</v>
      </c>
      <c r="I10" s="79" t="s">
        <v>487</v>
      </c>
      <c r="J10" s="79"/>
      <c r="K10" s="79" t="s">
        <v>2134</v>
      </c>
      <c r="L10" s="79"/>
      <c r="M10" s="79"/>
      <c r="N10" s="79"/>
      <c r="O10" s="79"/>
      <c r="P10" s="18"/>
      <c r="Q10" s="18"/>
      <c r="R10" s="18"/>
      <c r="S10" s="18"/>
      <c r="T10" s="79"/>
      <c r="U10" s="18"/>
      <c r="V10" s="18"/>
      <c r="W10" s="18"/>
      <c r="X10" s="18"/>
      <c r="Y10" s="18"/>
      <c r="Z10" s="79"/>
      <c r="AA10" s="18"/>
      <c r="AB10" s="18"/>
      <c r="AC10" s="18"/>
      <c r="AD10" s="18"/>
      <c r="AE10" s="18"/>
      <c r="AF10" s="79"/>
      <c r="AG10" s="18"/>
      <c r="AH10" s="18"/>
      <c r="AI10" s="18"/>
      <c r="AJ10" s="79"/>
      <c r="AK10" s="18"/>
      <c r="AL10" s="18"/>
      <c r="AM10" s="18"/>
      <c r="AN10" s="18"/>
      <c r="AO10" s="79"/>
      <c r="AP10" s="18"/>
      <c r="AQ10" s="18"/>
      <c r="AR10" s="18"/>
      <c r="AS10" s="18"/>
      <c r="AT10" s="79"/>
      <c r="AU10" s="18"/>
      <c r="AV10" s="18"/>
      <c r="AW10" s="18"/>
      <c r="AX10" s="18"/>
      <c r="AY10" s="79"/>
      <c r="AZ10" s="9" t="s">
        <v>1503</v>
      </c>
      <c r="BA10" s="9" t="s">
        <v>1396</v>
      </c>
      <c r="BB10" s="9" t="s">
        <v>1289</v>
      </c>
      <c r="BC10" s="9" t="s">
        <v>1181</v>
      </c>
      <c r="BD10" s="118"/>
    </row>
    <row r="11" spans="1:56" ht="16.5">
      <c r="A11" s="66">
        <v>10</v>
      </c>
      <c r="B11" s="119">
        <v>6</v>
      </c>
      <c r="C11" s="119">
        <v>6</v>
      </c>
      <c r="D11" s="119">
        <v>8</v>
      </c>
      <c r="E11" s="119">
        <v>10</v>
      </c>
      <c r="F11" s="120" t="s">
        <v>489</v>
      </c>
      <c r="G11" s="120" t="s">
        <v>725</v>
      </c>
      <c r="H11" s="79" t="s">
        <v>490</v>
      </c>
      <c r="I11" s="79" t="s">
        <v>491</v>
      </c>
      <c r="J11" s="79"/>
      <c r="K11" s="79" t="s">
        <v>2135</v>
      </c>
      <c r="L11" s="79"/>
      <c r="M11" s="79"/>
      <c r="N11" s="79"/>
      <c r="O11" s="79"/>
      <c r="P11" s="18"/>
      <c r="Q11" s="18"/>
      <c r="R11" s="18"/>
      <c r="S11" s="18"/>
      <c r="T11" s="79"/>
      <c r="U11" s="18"/>
      <c r="V11" s="18"/>
      <c r="W11" s="18"/>
      <c r="X11" s="18"/>
      <c r="Y11" s="18"/>
      <c r="Z11" s="79"/>
      <c r="AA11" s="18"/>
      <c r="AB11" s="18"/>
      <c r="AC11" s="18"/>
      <c r="AD11" s="18"/>
      <c r="AE11" s="18"/>
      <c r="AF11" s="79"/>
      <c r="AG11" s="18"/>
      <c r="AH11" s="18"/>
      <c r="AI11" s="18"/>
      <c r="AJ11" s="79"/>
      <c r="AK11" s="18"/>
      <c r="AL11" s="18"/>
      <c r="AM11" s="18"/>
      <c r="AN11" s="18"/>
      <c r="AO11" s="79"/>
      <c r="AP11" s="18"/>
      <c r="AQ11" s="18"/>
      <c r="AR11" s="18"/>
      <c r="AS11" s="18"/>
      <c r="AT11" s="79"/>
      <c r="AU11" s="18"/>
      <c r="AV11" s="18"/>
      <c r="AW11" s="18"/>
      <c r="AX11" s="18"/>
      <c r="AY11" s="79"/>
      <c r="AZ11" s="9" t="s">
        <v>1504</v>
      </c>
      <c r="BA11" s="9" t="s">
        <v>1397</v>
      </c>
      <c r="BB11" s="9" t="s">
        <v>1290</v>
      </c>
      <c r="BC11" s="9" t="s">
        <v>1182</v>
      </c>
      <c r="BD11" s="118"/>
    </row>
    <row r="12" spans="1:56" ht="16.5">
      <c r="A12" s="66">
        <v>11</v>
      </c>
      <c r="B12" s="7"/>
      <c r="C12" s="7"/>
      <c r="D12" s="119">
        <v>9</v>
      </c>
      <c r="E12" s="119">
        <v>11</v>
      </c>
      <c r="F12" s="121" t="s">
        <v>493</v>
      </c>
      <c r="G12" s="121" t="s">
        <v>726</v>
      </c>
      <c r="H12" s="79" t="s">
        <v>494</v>
      </c>
      <c r="I12" s="79" t="s">
        <v>495</v>
      </c>
      <c r="J12" s="79" t="s">
        <v>2168</v>
      </c>
      <c r="K12" s="79" t="s">
        <v>2201</v>
      </c>
      <c r="L12" s="79"/>
      <c r="M12" s="79"/>
      <c r="N12" s="79"/>
      <c r="O12" s="79"/>
      <c r="P12" s="18"/>
      <c r="Q12" s="18"/>
      <c r="R12" s="18"/>
      <c r="S12" s="18"/>
      <c r="T12" s="79"/>
      <c r="U12" s="18"/>
      <c r="V12" s="18"/>
      <c r="W12" s="18"/>
      <c r="X12" s="18"/>
      <c r="Y12" s="18"/>
      <c r="Z12" s="79"/>
      <c r="AA12" s="18"/>
      <c r="AB12" s="18"/>
      <c r="AC12" s="18"/>
      <c r="AD12" s="18"/>
      <c r="AE12" s="18"/>
      <c r="AF12" s="79"/>
      <c r="AG12" s="18"/>
      <c r="AH12" s="18"/>
      <c r="AI12" s="18"/>
      <c r="AJ12" s="79"/>
      <c r="AK12" s="18"/>
      <c r="AL12" s="18"/>
      <c r="AM12" s="18"/>
      <c r="AN12" s="18"/>
      <c r="AO12" s="79"/>
      <c r="AP12" s="18"/>
      <c r="AQ12" s="18"/>
      <c r="AR12" s="18"/>
      <c r="AS12" s="18"/>
      <c r="AT12" s="79"/>
      <c r="AU12" s="18"/>
      <c r="AV12" s="18"/>
      <c r="AW12" s="18"/>
      <c r="AX12" s="18"/>
      <c r="AY12" s="79"/>
      <c r="AZ12" s="9" t="s">
        <v>1505</v>
      </c>
      <c r="BA12" s="9" t="s">
        <v>1398</v>
      </c>
      <c r="BB12" s="9" t="s">
        <v>1291</v>
      </c>
      <c r="BC12" s="9" t="s">
        <v>1183</v>
      </c>
      <c r="BD12" s="118"/>
    </row>
    <row r="13" spans="1:56" ht="16.5">
      <c r="A13" s="66">
        <v>12</v>
      </c>
      <c r="B13" s="7"/>
      <c r="C13" s="7"/>
      <c r="D13" s="119">
        <v>10</v>
      </c>
      <c r="E13" s="119">
        <v>12</v>
      </c>
      <c r="F13" s="121" t="s">
        <v>497</v>
      </c>
      <c r="G13" s="121" t="s">
        <v>727</v>
      </c>
      <c r="H13" s="79" t="s">
        <v>498</v>
      </c>
      <c r="I13" s="79" t="s">
        <v>499</v>
      </c>
      <c r="J13" s="79" t="s">
        <v>2169</v>
      </c>
      <c r="K13" s="79" t="s">
        <v>2175</v>
      </c>
      <c r="L13" s="79"/>
      <c r="M13" s="79"/>
      <c r="N13" s="79"/>
      <c r="O13" s="79"/>
      <c r="P13" s="18"/>
      <c r="Q13" s="18"/>
      <c r="R13" s="18"/>
      <c r="S13" s="18"/>
      <c r="T13" s="79"/>
      <c r="U13" s="18"/>
      <c r="V13" s="18"/>
      <c r="W13" s="18"/>
      <c r="X13" s="18"/>
      <c r="Y13" s="18"/>
      <c r="Z13" s="79"/>
      <c r="AA13" s="18"/>
      <c r="AB13" s="18"/>
      <c r="AC13" s="18"/>
      <c r="AD13" s="18"/>
      <c r="AE13" s="18"/>
      <c r="AF13" s="79"/>
      <c r="AG13" s="18"/>
      <c r="AH13" s="18"/>
      <c r="AI13" s="18"/>
      <c r="AJ13" s="79"/>
      <c r="AK13" s="18"/>
      <c r="AL13" s="18"/>
      <c r="AM13" s="18"/>
      <c r="AN13" s="18"/>
      <c r="AO13" s="79"/>
      <c r="AP13" s="18"/>
      <c r="AQ13" s="18"/>
      <c r="AR13" s="18"/>
      <c r="AS13" s="18"/>
      <c r="AT13" s="79"/>
      <c r="AU13" s="18"/>
      <c r="AV13" s="18"/>
      <c r="AW13" s="18"/>
      <c r="AX13" s="18"/>
      <c r="AY13" s="79"/>
      <c r="AZ13" s="9" t="s">
        <v>1506</v>
      </c>
      <c r="BA13" s="9" t="s">
        <v>1399</v>
      </c>
      <c r="BB13" s="9" t="s">
        <v>1292</v>
      </c>
      <c r="BC13" s="9" t="s">
        <v>1184</v>
      </c>
      <c r="BD13" s="118"/>
    </row>
    <row r="14" spans="1:56" ht="16.5">
      <c r="A14" s="66">
        <v>13</v>
      </c>
      <c r="B14" s="7">
        <v>7</v>
      </c>
      <c r="C14" s="7">
        <v>7</v>
      </c>
      <c r="D14" s="119">
        <v>11</v>
      </c>
      <c r="E14" s="119">
        <v>13</v>
      </c>
      <c r="F14" s="121" t="s">
        <v>177</v>
      </c>
      <c r="G14" s="121" t="s">
        <v>501</v>
      </c>
      <c r="H14" s="79"/>
      <c r="I14" s="79"/>
      <c r="J14" s="79"/>
      <c r="K14" s="79"/>
      <c r="L14" s="79"/>
      <c r="M14" s="79"/>
      <c r="N14" s="79"/>
      <c r="O14" s="79"/>
      <c r="P14" s="18"/>
      <c r="Q14" s="18"/>
      <c r="R14" s="18"/>
      <c r="S14" s="18"/>
      <c r="T14" s="79"/>
      <c r="U14" s="18"/>
      <c r="V14" s="18"/>
      <c r="W14" s="18"/>
      <c r="X14" s="18"/>
      <c r="Y14" s="18"/>
      <c r="Z14" s="79"/>
      <c r="AA14" s="18"/>
      <c r="AB14" s="18"/>
      <c r="AC14" s="18"/>
      <c r="AD14" s="18"/>
      <c r="AE14" s="18"/>
      <c r="AF14" s="79"/>
      <c r="AG14" s="18"/>
      <c r="AH14" s="18"/>
      <c r="AI14" s="18"/>
      <c r="AJ14" s="79"/>
      <c r="AK14" s="18"/>
      <c r="AL14" s="18"/>
      <c r="AM14" s="18"/>
      <c r="AN14" s="18"/>
      <c r="AO14" s="79"/>
      <c r="AP14" s="18"/>
      <c r="AQ14" s="18"/>
      <c r="AR14" s="18"/>
      <c r="AS14" s="18"/>
      <c r="AT14" s="79"/>
      <c r="AU14" s="18"/>
      <c r="AV14" s="18"/>
      <c r="AW14" s="18"/>
      <c r="AX14" s="18"/>
      <c r="AY14" s="79"/>
      <c r="AZ14" s="9" t="s">
        <v>1284</v>
      </c>
      <c r="BA14" s="9" t="s">
        <v>1284</v>
      </c>
      <c r="BB14" s="9" t="s">
        <v>1284</v>
      </c>
      <c r="BC14" s="9"/>
      <c r="BD14" s="118"/>
    </row>
    <row r="15" spans="1:56" ht="16.5">
      <c r="A15" s="66">
        <v>14</v>
      </c>
      <c r="B15" s="7"/>
      <c r="C15" s="7">
        <v>8</v>
      </c>
      <c r="D15" s="119">
        <v>12</v>
      </c>
      <c r="E15" s="119">
        <v>14</v>
      </c>
      <c r="F15" s="121" t="s">
        <v>502</v>
      </c>
      <c r="G15" s="121" t="s">
        <v>728</v>
      </c>
      <c r="H15" s="79" t="s">
        <v>503</v>
      </c>
      <c r="I15" s="79" t="s">
        <v>1760</v>
      </c>
      <c r="J15" s="18" t="s">
        <v>1790</v>
      </c>
      <c r="K15" s="18" t="s">
        <v>1791</v>
      </c>
      <c r="L15" s="79"/>
      <c r="M15" s="79"/>
      <c r="N15" s="79"/>
      <c r="O15" s="79"/>
      <c r="P15" s="18"/>
      <c r="Q15" s="18"/>
      <c r="R15" s="18"/>
      <c r="S15" s="18"/>
      <c r="T15" s="79"/>
      <c r="U15" s="18"/>
      <c r="V15" s="18"/>
      <c r="W15" s="18"/>
      <c r="X15" s="18"/>
      <c r="Y15" s="18"/>
      <c r="Z15" s="79"/>
      <c r="AA15" s="18"/>
      <c r="AB15" s="18"/>
      <c r="AC15" s="18"/>
      <c r="AD15" s="18"/>
      <c r="AE15" s="18"/>
      <c r="AF15" s="79"/>
      <c r="AG15" s="18" t="s">
        <v>1790</v>
      </c>
      <c r="AH15" s="18" t="s">
        <v>2224</v>
      </c>
      <c r="AI15" s="18" t="s">
        <v>2198</v>
      </c>
      <c r="AJ15" s="79"/>
      <c r="AK15" s="18" t="s">
        <v>1791</v>
      </c>
      <c r="AL15" s="18" t="s">
        <v>2225</v>
      </c>
      <c r="AM15" s="18" t="s">
        <v>2184</v>
      </c>
      <c r="AN15" s="18"/>
      <c r="AO15" s="79"/>
      <c r="AP15" s="18"/>
      <c r="AQ15" s="18"/>
      <c r="AR15" s="18"/>
      <c r="AS15" s="18"/>
      <c r="AT15" s="79"/>
      <c r="AU15" s="18"/>
      <c r="AV15" s="18"/>
      <c r="AW15" s="18"/>
      <c r="AX15" s="18"/>
      <c r="AY15" s="79"/>
      <c r="AZ15" s="9" t="s">
        <v>885</v>
      </c>
      <c r="BA15" s="9" t="s">
        <v>871</v>
      </c>
      <c r="BB15" s="9" t="s">
        <v>857</v>
      </c>
      <c r="BC15" s="9" t="s">
        <v>801</v>
      </c>
      <c r="BD15" s="118"/>
    </row>
    <row r="16" spans="1:56" ht="16.5">
      <c r="A16" s="66">
        <v>15</v>
      </c>
      <c r="B16" s="7"/>
      <c r="C16" s="7">
        <v>9</v>
      </c>
      <c r="D16" s="119">
        <v>13</v>
      </c>
      <c r="E16" s="119">
        <v>15</v>
      </c>
      <c r="F16" s="121" t="s">
        <v>505</v>
      </c>
      <c r="G16" s="121" t="s">
        <v>729</v>
      </c>
      <c r="H16" s="79" t="s">
        <v>506</v>
      </c>
      <c r="I16" s="79" t="s">
        <v>1761</v>
      </c>
      <c r="J16" s="18" t="s">
        <v>1158</v>
      </c>
      <c r="K16" s="18" t="s">
        <v>1168</v>
      </c>
      <c r="L16" s="18" t="s">
        <v>1792</v>
      </c>
      <c r="M16" s="18" t="s">
        <v>1793</v>
      </c>
      <c r="N16" s="79"/>
      <c r="O16" s="79"/>
      <c r="P16" s="18"/>
      <c r="Q16" s="18"/>
      <c r="R16" s="18"/>
      <c r="S16" s="18"/>
      <c r="T16" s="79"/>
      <c r="U16" s="18"/>
      <c r="V16" s="18"/>
      <c r="W16" s="18"/>
      <c r="X16" s="18"/>
      <c r="Y16" s="18"/>
      <c r="Z16" s="79"/>
      <c r="AA16" s="18"/>
      <c r="AB16" s="18"/>
      <c r="AC16" s="18"/>
      <c r="AD16" s="18"/>
      <c r="AE16" s="18"/>
      <c r="AF16" s="79"/>
      <c r="AG16" s="18" t="s">
        <v>1158</v>
      </c>
      <c r="AH16" s="18" t="s">
        <v>2156</v>
      </c>
      <c r="AI16" s="18" t="s">
        <v>2180</v>
      </c>
      <c r="AJ16" s="79"/>
      <c r="AK16" s="18" t="s">
        <v>1168</v>
      </c>
      <c r="AL16" s="79" t="s">
        <v>2163</v>
      </c>
      <c r="AM16" s="18"/>
      <c r="AN16" s="18"/>
      <c r="AO16" s="79"/>
      <c r="AP16" s="18" t="s">
        <v>1792</v>
      </c>
      <c r="AQ16" s="18" t="s">
        <v>2159</v>
      </c>
      <c r="AR16" s="18" t="s">
        <v>2183</v>
      </c>
      <c r="AS16" s="18" t="s">
        <v>2217</v>
      </c>
      <c r="AT16" s="79"/>
      <c r="AU16" s="18" t="s">
        <v>1793</v>
      </c>
      <c r="AV16" s="18" t="s">
        <v>2166</v>
      </c>
      <c r="AW16" s="18"/>
      <c r="AX16" s="122" t="s">
        <v>2219</v>
      </c>
      <c r="AY16" s="79"/>
      <c r="AZ16" s="9" t="s">
        <v>1507</v>
      </c>
      <c r="BA16" s="9" t="s">
        <v>1400</v>
      </c>
      <c r="BB16" s="9" t="s">
        <v>1293</v>
      </c>
      <c r="BC16" s="9" t="s">
        <v>1185</v>
      </c>
      <c r="BD16" s="118"/>
    </row>
    <row r="17" spans="1:56" ht="16.5">
      <c r="A17" s="66">
        <v>16</v>
      </c>
      <c r="B17" s="7"/>
      <c r="C17" s="7">
        <v>10</v>
      </c>
      <c r="D17" s="119">
        <v>14</v>
      </c>
      <c r="E17" s="119">
        <v>16</v>
      </c>
      <c r="F17" s="120" t="s">
        <v>509</v>
      </c>
      <c r="G17" s="121" t="s">
        <v>730</v>
      </c>
      <c r="H17" s="79" t="s">
        <v>510</v>
      </c>
      <c r="I17" s="79" t="s">
        <v>1762</v>
      </c>
      <c r="J17" s="18" t="s">
        <v>1159</v>
      </c>
      <c r="K17" s="18" t="s">
        <v>1169</v>
      </c>
      <c r="L17" s="18" t="s">
        <v>1794</v>
      </c>
      <c r="M17" s="18" t="s">
        <v>1795</v>
      </c>
      <c r="N17" s="79"/>
      <c r="O17" s="79"/>
      <c r="P17" s="18"/>
      <c r="Q17" s="18"/>
      <c r="R17" s="18"/>
      <c r="S17" s="18"/>
      <c r="T17" s="79"/>
      <c r="U17" s="18"/>
      <c r="V17" s="18"/>
      <c r="W17" s="18"/>
      <c r="X17" s="18"/>
      <c r="Y17" s="18"/>
      <c r="Z17" s="79"/>
      <c r="AA17" s="18"/>
      <c r="AB17" s="18"/>
      <c r="AC17" s="18"/>
      <c r="AD17" s="18"/>
      <c r="AE17" s="18"/>
      <c r="AF17" s="79"/>
      <c r="AG17" s="18" t="s">
        <v>1159</v>
      </c>
      <c r="AH17" s="79" t="s">
        <v>2163</v>
      </c>
      <c r="AI17" s="18"/>
      <c r="AJ17" s="79"/>
      <c r="AK17" s="18" t="s">
        <v>1169</v>
      </c>
      <c r="AL17" s="18" t="s">
        <v>2156</v>
      </c>
      <c r="AM17" s="18" t="s">
        <v>2180</v>
      </c>
      <c r="AN17" s="18"/>
      <c r="AO17" s="79"/>
      <c r="AP17" s="18" t="s">
        <v>1794</v>
      </c>
      <c r="AQ17" s="18" t="s">
        <v>2166</v>
      </c>
      <c r="AR17" s="18"/>
      <c r="AS17" s="18" t="s">
        <v>2219</v>
      </c>
      <c r="AT17" s="79"/>
      <c r="AU17" s="18" t="s">
        <v>1795</v>
      </c>
      <c r="AV17" s="18" t="s">
        <v>2159</v>
      </c>
      <c r="AW17" s="18" t="s">
        <v>2183</v>
      </c>
      <c r="AX17" s="18" t="s">
        <v>2217</v>
      </c>
      <c r="AY17" s="79"/>
      <c r="AZ17" s="9" t="s">
        <v>1508</v>
      </c>
      <c r="BA17" s="9" t="s">
        <v>1401</v>
      </c>
      <c r="BB17" s="9" t="s">
        <v>1294</v>
      </c>
      <c r="BC17" s="9" t="s">
        <v>1186</v>
      </c>
      <c r="BD17" s="118"/>
    </row>
    <row r="18" spans="1:56" ht="16.5">
      <c r="A18" s="66">
        <v>17</v>
      </c>
      <c r="B18" s="7"/>
      <c r="C18" s="7"/>
      <c r="D18" s="119">
        <v>15</v>
      </c>
      <c r="E18" s="119">
        <v>17</v>
      </c>
      <c r="F18" s="120" t="s">
        <v>513</v>
      </c>
      <c r="G18" s="120" t="s">
        <v>731</v>
      </c>
      <c r="H18" s="79" t="s">
        <v>514</v>
      </c>
      <c r="I18" s="79" t="s">
        <v>1763</v>
      </c>
      <c r="J18" s="18" t="s">
        <v>1160</v>
      </c>
      <c r="K18" s="18" t="s">
        <v>1170</v>
      </c>
      <c r="L18" s="79"/>
      <c r="M18" s="79"/>
      <c r="N18" s="79"/>
      <c r="O18" s="79"/>
      <c r="P18" s="18"/>
      <c r="Q18" s="18"/>
      <c r="R18" s="18"/>
      <c r="S18" s="18"/>
      <c r="T18" s="79"/>
      <c r="U18" s="18"/>
      <c r="V18" s="18"/>
      <c r="W18" s="18"/>
      <c r="X18" s="18"/>
      <c r="Y18" s="18"/>
      <c r="Z18" s="79"/>
      <c r="AA18" s="18"/>
      <c r="AB18" s="18"/>
      <c r="AC18" s="18"/>
      <c r="AD18" s="18"/>
      <c r="AE18" s="18"/>
      <c r="AF18" s="79"/>
      <c r="AG18" s="18" t="s">
        <v>1160</v>
      </c>
      <c r="AH18" s="79" t="s">
        <v>2221</v>
      </c>
      <c r="AI18" s="18"/>
      <c r="AJ18" s="79"/>
      <c r="AK18" s="18" t="s">
        <v>1170</v>
      </c>
      <c r="AL18" s="79" t="s">
        <v>2222</v>
      </c>
      <c r="AM18" s="18"/>
      <c r="AN18" s="18"/>
      <c r="AO18" s="79"/>
      <c r="AP18" s="18"/>
      <c r="AQ18" s="18"/>
      <c r="AR18" s="18"/>
      <c r="AS18" s="18"/>
      <c r="AT18" s="79"/>
      <c r="AU18" s="18"/>
      <c r="AV18" s="18"/>
      <c r="AW18" s="18"/>
      <c r="AX18" s="18"/>
      <c r="AY18" s="79"/>
      <c r="AZ18" s="9" t="s">
        <v>1509</v>
      </c>
      <c r="BA18" s="9" t="s">
        <v>1402</v>
      </c>
      <c r="BB18" s="9" t="s">
        <v>1295</v>
      </c>
      <c r="BC18" s="9" t="s">
        <v>1187</v>
      </c>
      <c r="BD18" s="118"/>
    </row>
    <row r="19" spans="1:56" ht="16.5">
      <c r="A19" s="66">
        <v>18</v>
      </c>
      <c r="B19" s="7">
        <v>8</v>
      </c>
      <c r="C19" s="7">
        <v>11</v>
      </c>
      <c r="D19" s="119">
        <v>16</v>
      </c>
      <c r="E19" s="119">
        <v>18</v>
      </c>
      <c r="F19" s="120" t="s">
        <v>518</v>
      </c>
      <c r="G19" s="120" t="s">
        <v>518</v>
      </c>
      <c r="H19" s="79"/>
      <c r="I19" s="79"/>
      <c r="J19" s="79"/>
      <c r="K19" s="79"/>
      <c r="L19" s="79"/>
      <c r="M19" s="79"/>
      <c r="N19" s="79"/>
      <c r="O19" s="79"/>
      <c r="P19" s="18"/>
      <c r="Q19" s="18"/>
      <c r="R19" s="18"/>
      <c r="S19" s="18"/>
      <c r="T19" s="79"/>
      <c r="U19" s="18"/>
      <c r="V19" s="18"/>
      <c r="W19" s="18"/>
      <c r="X19" s="18"/>
      <c r="Y19" s="18"/>
      <c r="Z19" s="79"/>
      <c r="AA19" s="18"/>
      <c r="AB19" s="18"/>
      <c r="AC19" s="18"/>
      <c r="AD19" s="18"/>
      <c r="AE19" s="18"/>
      <c r="AF19" s="79"/>
      <c r="AG19" s="18"/>
      <c r="AH19" s="18"/>
      <c r="AI19" s="18"/>
      <c r="AJ19" s="79"/>
      <c r="AK19" s="18"/>
      <c r="AL19" s="18"/>
      <c r="AM19" s="18"/>
      <c r="AN19" s="18"/>
      <c r="AO19" s="79"/>
      <c r="AP19" s="18"/>
      <c r="AQ19" s="18"/>
      <c r="AR19" s="18"/>
      <c r="AS19" s="18"/>
      <c r="AT19" s="79"/>
      <c r="AU19" s="18"/>
      <c r="AV19" s="18"/>
      <c r="AW19" s="18"/>
      <c r="AX19" s="18"/>
      <c r="AY19" s="79"/>
      <c r="AZ19" s="9" t="s">
        <v>1284</v>
      </c>
      <c r="BA19" s="9" t="s">
        <v>1284</v>
      </c>
      <c r="BB19" s="9" t="s">
        <v>1284</v>
      </c>
      <c r="BC19" s="9"/>
      <c r="BD19" s="118"/>
    </row>
    <row r="20" spans="1:56" ht="16.5">
      <c r="A20" s="66">
        <v>19</v>
      </c>
      <c r="B20" s="7"/>
      <c r="C20" s="7"/>
      <c r="D20" s="119">
        <v>17</v>
      </c>
      <c r="E20" s="119">
        <v>19</v>
      </c>
      <c r="F20" s="120" t="s">
        <v>519</v>
      </c>
      <c r="G20" s="120" t="s">
        <v>732</v>
      </c>
      <c r="H20" s="79" t="s">
        <v>520</v>
      </c>
      <c r="I20" s="79"/>
      <c r="J20" s="79"/>
      <c r="K20" s="79"/>
      <c r="L20" s="79"/>
      <c r="M20" s="79"/>
      <c r="N20" s="79"/>
      <c r="O20" s="79"/>
      <c r="P20" s="18"/>
      <c r="Q20" s="18"/>
      <c r="R20" s="18"/>
      <c r="S20" s="18"/>
      <c r="T20" s="79"/>
      <c r="U20" s="18"/>
      <c r="V20" s="18"/>
      <c r="W20" s="18"/>
      <c r="X20" s="18"/>
      <c r="Y20" s="18"/>
      <c r="Z20" s="79"/>
      <c r="AA20" s="18"/>
      <c r="AB20" s="18"/>
      <c r="AC20" s="18"/>
      <c r="AD20" s="18"/>
      <c r="AE20" s="18"/>
      <c r="AF20" s="79"/>
      <c r="AG20" s="18"/>
      <c r="AH20" s="18"/>
      <c r="AI20" s="18"/>
      <c r="AJ20" s="79"/>
      <c r="AK20" s="18"/>
      <c r="AL20" s="18"/>
      <c r="AM20" s="18"/>
      <c r="AN20" s="18"/>
      <c r="AO20" s="79"/>
      <c r="AP20" s="18"/>
      <c r="AQ20" s="18"/>
      <c r="AR20" s="18"/>
      <c r="AS20" s="18"/>
      <c r="AT20" s="79"/>
      <c r="AU20" s="18"/>
      <c r="AV20" s="18"/>
      <c r="AW20" s="18"/>
      <c r="AX20" s="18"/>
      <c r="AY20" s="79"/>
      <c r="AZ20" s="9" t="s">
        <v>1510</v>
      </c>
      <c r="BA20" s="9" t="s">
        <v>1403</v>
      </c>
      <c r="BB20" s="9" t="s">
        <v>1296</v>
      </c>
      <c r="BC20" s="9" t="s">
        <v>1188</v>
      </c>
      <c r="BD20" s="118"/>
    </row>
    <row r="21" spans="1:56" ht="16.5">
      <c r="A21" s="66">
        <v>20</v>
      </c>
      <c r="B21" s="7"/>
      <c r="C21" s="7"/>
      <c r="D21" s="119">
        <v>18</v>
      </c>
      <c r="E21" s="119">
        <v>20</v>
      </c>
      <c r="F21" s="120" t="s">
        <v>521</v>
      </c>
      <c r="G21" s="120" t="s">
        <v>733</v>
      </c>
      <c r="H21" s="79" t="s">
        <v>522</v>
      </c>
      <c r="I21" s="79"/>
      <c r="J21" s="79"/>
      <c r="K21" s="79"/>
      <c r="L21" s="79"/>
      <c r="M21" s="79"/>
      <c r="N21" s="79"/>
      <c r="O21" s="79"/>
      <c r="P21" s="18"/>
      <c r="Q21" s="18"/>
      <c r="R21" s="18"/>
      <c r="S21" s="18"/>
      <c r="T21" s="79"/>
      <c r="U21" s="18"/>
      <c r="V21" s="18"/>
      <c r="W21" s="18"/>
      <c r="X21" s="18"/>
      <c r="Y21" s="18"/>
      <c r="Z21" s="79"/>
      <c r="AA21" s="18"/>
      <c r="AB21" s="18"/>
      <c r="AC21" s="18"/>
      <c r="AD21" s="18"/>
      <c r="AE21" s="18"/>
      <c r="AF21" s="79"/>
      <c r="AG21" s="18"/>
      <c r="AH21" s="18"/>
      <c r="AI21" s="18"/>
      <c r="AJ21" s="79"/>
      <c r="AK21" s="18"/>
      <c r="AL21" s="18"/>
      <c r="AM21" s="18"/>
      <c r="AN21" s="18"/>
      <c r="AO21" s="79"/>
      <c r="AP21" s="18"/>
      <c r="AQ21" s="18"/>
      <c r="AR21" s="18"/>
      <c r="AS21" s="18"/>
      <c r="AT21" s="79"/>
      <c r="AU21" s="18"/>
      <c r="AV21" s="18"/>
      <c r="AW21" s="18"/>
      <c r="AX21" s="18"/>
      <c r="AY21" s="79"/>
      <c r="AZ21" s="9" t="s">
        <v>1511</v>
      </c>
      <c r="BA21" s="9" t="s">
        <v>1404</v>
      </c>
      <c r="BB21" s="9" t="s">
        <v>1297</v>
      </c>
      <c r="BC21" s="9" t="s">
        <v>1189</v>
      </c>
      <c r="BD21" s="118"/>
    </row>
    <row r="22" spans="1:56" ht="16.5">
      <c r="A22" s="66">
        <v>21</v>
      </c>
      <c r="B22" s="7">
        <v>9</v>
      </c>
      <c r="C22" s="7">
        <v>12</v>
      </c>
      <c r="D22" s="119">
        <v>19</v>
      </c>
      <c r="E22" s="119">
        <v>21</v>
      </c>
      <c r="F22" s="120" t="s">
        <v>523</v>
      </c>
      <c r="G22" s="120" t="s">
        <v>523</v>
      </c>
      <c r="H22" s="79"/>
      <c r="I22" s="79"/>
      <c r="J22" s="79"/>
      <c r="K22" s="79"/>
      <c r="L22" s="79"/>
      <c r="M22" s="79"/>
      <c r="N22" s="79"/>
      <c r="O22" s="79"/>
      <c r="P22" s="18"/>
      <c r="Q22" s="18"/>
      <c r="R22" s="18"/>
      <c r="S22" s="18"/>
      <c r="T22" s="79"/>
      <c r="U22" s="18"/>
      <c r="V22" s="18"/>
      <c r="W22" s="18"/>
      <c r="X22" s="18"/>
      <c r="Y22" s="18"/>
      <c r="Z22" s="79"/>
      <c r="AA22" s="18"/>
      <c r="AB22" s="18"/>
      <c r="AC22" s="18"/>
      <c r="AD22" s="18"/>
      <c r="AE22" s="18"/>
      <c r="AF22" s="79"/>
      <c r="AG22" s="18"/>
      <c r="AH22" s="18"/>
      <c r="AI22" s="18"/>
      <c r="AJ22" s="79"/>
      <c r="AK22" s="18"/>
      <c r="AL22" s="18"/>
      <c r="AM22" s="18"/>
      <c r="AN22" s="18"/>
      <c r="AO22" s="79"/>
      <c r="AP22" s="18"/>
      <c r="AQ22" s="18"/>
      <c r="AR22" s="18"/>
      <c r="AS22" s="18"/>
      <c r="AT22" s="79"/>
      <c r="AU22" s="18"/>
      <c r="AV22" s="18"/>
      <c r="AW22" s="18"/>
      <c r="AX22" s="18"/>
      <c r="AY22" s="79"/>
      <c r="AZ22" s="9" t="s">
        <v>1284</v>
      </c>
      <c r="BA22" s="9" t="s">
        <v>1284</v>
      </c>
      <c r="BB22" s="9" t="s">
        <v>1284</v>
      </c>
      <c r="BC22" s="9"/>
      <c r="BD22" s="118"/>
    </row>
    <row r="23" spans="1:56" ht="16.5">
      <c r="A23" s="66">
        <v>22</v>
      </c>
      <c r="B23" s="7">
        <v>10</v>
      </c>
      <c r="C23" s="7">
        <v>13</v>
      </c>
      <c r="D23" s="119">
        <v>20</v>
      </c>
      <c r="E23" s="119">
        <v>22</v>
      </c>
      <c r="F23" s="120" t="s">
        <v>524</v>
      </c>
      <c r="G23" s="120" t="s">
        <v>524</v>
      </c>
      <c r="H23" s="79"/>
      <c r="I23" s="79"/>
      <c r="J23" s="79"/>
      <c r="K23" s="79"/>
      <c r="L23" s="79"/>
      <c r="M23" s="79"/>
      <c r="N23" s="79"/>
      <c r="O23" s="79"/>
      <c r="P23" s="18"/>
      <c r="Q23" s="18"/>
      <c r="R23" s="18"/>
      <c r="S23" s="18"/>
      <c r="T23" s="79"/>
      <c r="U23" s="18"/>
      <c r="V23" s="18"/>
      <c r="W23" s="18"/>
      <c r="X23" s="18"/>
      <c r="Y23" s="18"/>
      <c r="Z23" s="79"/>
      <c r="AA23" s="18"/>
      <c r="AB23" s="18"/>
      <c r="AC23" s="18"/>
      <c r="AD23" s="18"/>
      <c r="AE23" s="18"/>
      <c r="AF23" s="79"/>
      <c r="AG23" s="18"/>
      <c r="AH23" s="18"/>
      <c r="AI23" s="18"/>
      <c r="AJ23" s="79"/>
      <c r="AK23" s="18"/>
      <c r="AL23" s="18"/>
      <c r="AM23" s="18"/>
      <c r="AN23" s="18"/>
      <c r="AO23" s="79"/>
      <c r="AP23" s="18"/>
      <c r="AQ23" s="18"/>
      <c r="AR23" s="18"/>
      <c r="AS23" s="18"/>
      <c r="AT23" s="79"/>
      <c r="AU23" s="18"/>
      <c r="AV23" s="18"/>
      <c r="AW23" s="18"/>
      <c r="AX23" s="18"/>
      <c r="AY23" s="79"/>
      <c r="AZ23" s="9" t="s">
        <v>1284</v>
      </c>
      <c r="BA23" s="9" t="s">
        <v>1284</v>
      </c>
      <c r="BB23" s="9" t="s">
        <v>1284</v>
      </c>
      <c r="BC23" s="9"/>
      <c r="BD23" s="118"/>
    </row>
    <row r="24" spans="1:56" ht="16.5">
      <c r="A24" s="66">
        <v>23</v>
      </c>
      <c r="B24" s="7">
        <v>11</v>
      </c>
      <c r="C24" s="7">
        <v>14</v>
      </c>
      <c r="D24" s="119">
        <v>21</v>
      </c>
      <c r="E24" s="119">
        <v>23</v>
      </c>
      <c r="F24" s="120" t="s">
        <v>83</v>
      </c>
      <c r="G24" s="120" t="s">
        <v>467</v>
      </c>
      <c r="H24" s="79"/>
      <c r="I24" s="79"/>
      <c r="J24" s="79"/>
      <c r="K24" s="79"/>
      <c r="L24" s="79"/>
      <c r="M24" s="79"/>
      <c r="N24" s="79"/>
      <c r="O24" s="79"/>
      <c r="P24" s="18"/>
      <c r="Q24" s="18"/>
      <c r="R24" s="18"/>
      <c r="S24" s="18"/>
      <c r="T24" s="79"/>
      <c r="U24" s="18"/>
      <c r="V24" s="18"/>
      <c r="W24" s="18"/>
      <c r="X24" s="18"/>
      <c r="Y24" s="18"/>
      <c r="Z24" s="79"/>
      <c r="AA24" s="18"/>
      <c r="AB24" s="18"/>
      <c r="AC24" s="18"/>
      <c r="AD24" s="18"/>
      <c r="AE24" s="18"/>
      <c r="AF24" s="79"/>
      <c r="AG24" s="18"/>
      <c r="AH24" s="18"/>
      <c r="AI24" s="18"/>
      <c r="AJ24" s="79"/>
      <c r="AK24" s="18"/>
      <c r="AL24" s="18"/>
      <c r="AM24" s="18"/>
      <c r="AN24" s="18"/>
      <c r="AO24" s="79"/>
      <c r="AP24" s="18"/>
      <c r="AQ24" s="18"/>
      <c r="AR24" s="18"/>
      <c r="AS24" s="18"/>
      <c r="AT24" s="79"/>
      <c r="AU24" s="18"/>
      <c r="AV24" s="18"/>
      <c r="AW24" s="18"/>
      <c r="AX24" s="18"/>
      <c r="AY24" s="79"/>
      <c r="AZ24" s="9" t="s">
        <v>1284</v>
      </c>
      <c r="BA24" s="9" t="s">
        <v>1284</v>
      </c>
      <c r="BB24" s="9" t="s">
        <v>1284</v>
      </c>
      <c r="BC24" s="9"/>
      <c r="BD24" s="118"/>
    </row>
    <row r="25" spans="1:56" ht="16.5">
      <c r="A25" s="66">
        <v>24</v>
      </c>
      <c r="B25" s="7">
        <v>12</v>
      </c>
      <c r="C25" s="7">
        <v>15</v>
      </c>
      <c r="D25" s="119">
        <v>22</v>
      </c>
      <c r="E25" s="119">
        <v>24</v>
      </c>
      <c r="F25" s="1" t="s">
        <v>525</v>
      </c>
      <c r="G25" s="1" t="s">
        <v>525</v>
      </c>
      <c r="H25" s="79"/>
      <c r="I25" s="79"/>
      <c r="J25" s="79"/>
      <c r="K25" s="79"/>
      <c r="L25" s="79"/>
      <c r="M25" s="79"/>
      <c r="N25" s="79"/>
      <c r="O25" s="79"/>
      <c r="P25" s="18"/>
      <c r="Q25" s="18"/>
      <c r="R25" s="18"/>
      <c r="S25" s="18"/>
      <c r="T25" s="79"/>
      <c r="U25" s="18"/>
      <c r="V25" s="18"/>
      <c r="W25" s="18"/>
      <c r="X25" s="18"/>
      <c r="Y25" s="18"/>
      <c r="Z25" s="79"/>
      <c r="AA25" s="18"/>
      <c r="AB25" s="18"/>
      <c r="AC25" s="18"/>
      <c r="AD25" s="18"/>
      <c r="AE25" s="18"/>
      <c r="AF25" s="79"/>
      <c r="AG25" s="18"/>
      <c r="AH25" s="18"/>
      <c r="AI25" s="18"/>
      <c r="AJ25" s="79"/>
      <c r="AK25" s="18"/>
      <c r="AL25" s="18"/>
      <c r="AM25" s="18"/>
      <c r="AN25" s="18"/>
      <c r="AO25" s="79"/>
      <c r="AP25" s="18"/>
      <c r="AQ25" s="18"/>
      <c r="AR25" s="18"/>
      <c r="AS25" s="18"/>
      <c r="AT25" s="79"/>
      <c r="AU25" s="18"/>
      <c r="AV25" s="18"/>
      <c r="AW25" s="18"/>
      <c r="AX25" s="18"/>
      <c r="AY25" s="79"/>
      <c r="AZ25" s="9" t="s">
        <v>1284</v>
      </c>
      <c r="BA25" s="9" t="s">
        <v>1284</v>
      </c>
      <c r="BB25" s="9" t="s">
        <v>1284</v>
      </c>
      <c r="BC25" s="9"/>
      <c r="BD25" s="118"/>
    </row>
    <row r="26" spans="1:56" ht="16.5">
      <c r="A26" s="66">
        <v>25</v>
      </c>
      <c r="B26" s="7">
        <v>13</v>
      </c>
      <c r="C26" s="7">
        <v>16</v>
      </c>
      <c r="D26" s="119">
        <v>23</v>
      </c>
      <c r="E26" s="119">
        <v>25</v>
      </c>
      <c r="F26" s="1" t="s">
        <v>526</v>
      </c>
      <c r="G26" s="1" t="s">
        <v>526</v>
      </c>
      <c r="H26" s="79"/>
      <c r="I26" s="79"/>
      <c r="J26" s="79"/>
      <c r="K26" s="79"/>
      <c r="L26" s="79"/>
      <c r="M26" s="79"/>
      <c r="N26" s="79"/>
      <c r="O26" s="79"/>
      <c r="P26" s="18"/>
      <c r="Q26" s="18"/>
      <c r="R26" s="18"/>
      <c r="S26" s="18"/>
      <c r="T26" s="79"/>
      <c r="U26" s="18"/>
      <c r="V26" s="18"/>
      <c r="W26" s="18"/>
      <c r="X26" s="18"/>
      <c r="Y26" s="18"/>
      <c r="Z26" s="79"/>
      <c r="AA26" s="18"/>
      <c r="AB26" s="18"/>
      <c r="AC26" s="18"/>
      <c r="AD26" s="18"/>
      <c r="AE26" s="18"/>
      <c r="AF26" s="79"/>
      <c r="AG26" s="18"/>
      <c r="AH26" s="18"/>
      <c r="AI26" s="18"/>
      <c r="AJ26" s="79"/>
      <c r="AK26" s="18"/>
      <c r="AL26" s="18"/>
      <c r="AM26" s="18"/>
      <c r="AN26" s="18"/>
      <c r="AO26" s="79"/>
      <c r="AP26" s="18"/>
      <c r="AQ26" s="18"/>
      <c r="AR26" s="18"/>
      <c r="AS26" s="18"/>
      <c r="AT26" s="79"/>
      <c r="AU26" s="18"/>
      <c r="AV26" s="18"/>
      <c r="AW26" s="18"/>
      <c r="AX26" s="18"/>
      <c r="AY26" s="79"/>
      <c r="AZ26" s="9" t="s">
        <v>1284</v>
      </c>
      <c r="BA26" s="9" t="s">
        <v>1284</v>
      </c>
      <c r="BB26" s="9" t="s">
        <v>1284</v>
      </c>
      <c r="BC26" s="9"/>
      <c r="BD26" s="118"/>
    </row>
    <row r="27" spans="1:56" ht="16.5">
      <c r="A27" s="66">
        <v>26</v>
      </c>
      <c r="B27" s="7">
        <v>14</v>
      </c>
      <c r="C27" s="7">
        <v>17</v>
      </c>
      <c r="D27" s="119">
        <v>24</v>
      </c>
      <c r="E27" s="119">
        <v>26</v>
      </c>
      <c r="F27" s="1" t="s">
        <v>82</v>
      </c>
      <c r="G27" s="1" t="s">
        <v>240</v>
      </c>
      <c r="H27" s="79"/>
      <c r="I27" s="79"/>
      <c r="J27" s="79"/>
      <c r="K27" s="79"/>
      <c r="L27" s="79"/>
      <c r="M27" s="79"/>
      <c r="N27" s="79"/>
      <c r="O27" s="79"/>
      <c r="P27" s="18"/>
      <c r="Q27" s="18"/>
      <c r="R27" s="18"/>
      <c r="S27" s="18"/>
      <c r="T27" s="79"/>
      <c r="U27" s="18"/>
      <c r="V27" s="18"/>
      <c r="W27" s="18"/>
      <c r="X27" s="18"/>
      <c r="Y27" s="18"/>
      <c r="Z27" s="79"/>
      <c r="AA27" s="18"/>
      <c r="AB27" s="18"/>
      <c r="AC27" s="18"/>
      <c r="AD27" s="18"/>
      <c r="AE27" s="18"/>
      <c r="AF27" s="79"/>
      <c r="AG27" s="18"/>
      <c r="AH27" s="18"/>
      <c r="AI27" s="18"/>
      <c r="AJ27" s="79"/>
      <c r="AK27" s="18"/>
      <c r="AL27" s="18"/>
      <c r="AM27" s="18"/>
      <c r="AN27" s="18"/>
      <c r="AO27" s="79"/>
      <c r="AP27" s="18"/>
      <c r="AQ27" s="18"/>
      <c r="AR27" s="18"/>
      <c r="AS27" s="18"/>
      <c r="AT27" s="79"/>
      <c r="AU27" s="18"/>
      <c r="AV27" s="18"/>
      <c r="AW27" s="18"/>
      <c r="AX27" s="18"/>
      <c r="AY27" s="79"/>
      <c r="AZ27" s="9" t="s">
        <v>1284</v>
      </c>
      <c r="BA27" s="9" t="s">
        <v>1284</v>
      </c>
      <c r="BB27" s="9" t="s">
        <v>1284</v>
      </c>
      <c r="BC27" s="9"/>
      <c r="BD27" s="118"/>
    </row>
    <row r="28" spans="1:56" ht="16.5">
      <c r="A28" s="66">
        <v>27</v>
      </c>
      <c r="B28" s="7">
        <v>15</v>
      </c>
      <c r="C28" s="7">
        <v>18</v>
      </c>
      <c r="D28" s="119">
        <v>25</v>
      </c>
      <c r="E28" s="119">
        <v>27</v>
      </c>
      <c r="F28" s="1" t="s">
        <v>527</v>
      </c>
      <c r="G28" s="1" t="s">
        <v>527</v>
      </c>
      <c r="H28" s="79"/>
      <c r="I28" s="79"/>
      <c r="J28" s="79"/>
      <c r="K28" s="79"/>
      <c r="L28" s="79"/>
      <c r="M28" s="79"/>
      <c r="N28" s="79"/>
      <c r="O28" s="79"/>
      <c r="P28" s="18"/>
      <c r="Q28" s="18"/>
      <c r="R28" s="18"/>
      <c r="S28" s="18"/>
      <c r="T28" s="79"/>
      <c r="U28" s="18"/>
      <c r="V28" s="18"/>
      <c r="W28" s="18"/>
      <c r="X28" s="18"/>
      <c r="Y28" s="18"/>
      <c r="Z28" s="79"/>
      <c r="AA28" s="18"/>
      <c r="AB28" s="18"/>
      <c r="AC28" s="18"/>
      <c r="AD28" s="18"/>
      <c r="AE28" s="18"/>
      <c r="AF28" s="79"/>
      <c r="AG28" s="18"/>
      <c r="AH28" s="18"/>
      <c r="AI28" s="18"/>
      <c r="AJ28" s="79"/>
      <c r="AK28" s="18"/>
      <c r="AL28" s="18"/>
      <c r="AM28" s="18"/>
      <c r="AN28" s="18"/>
      <c r="AO28" s="79"/>
      <c r="AP28" s="18"/>
      <c r="AQ28" s="18"/>
      <c r="AR28" s="18"/>
      <c r="AS28" s="18"/>
      <c r="AT28" s="79"/>
      <c r="AU28" s="18"/>
      <c r="AV28" s="18"/>
      <c r="AW28" s="18"/>
      <c r="AX28" s="18"/>
      <c r="AY28" s="79"/>
      <c r="AZ28" s="9" t="s">
        <v>1284</v>
      </c>
      <c r="BA28" s="9" t="s">
        <v>1284</v>
      </c>
      <c r="BB28" s="9" t="s">
        <v>1284</v>
      </c>
      <c r="BC28" s="9"/>
      <c r="BD28" s="118"/>
    </row>
    <row r="29" spans="1:56" ht="16.5">
      <c r="A29" s="66">
        <v>28</v>
      </c>
      <c r="B29" s="7">
        <v>16</v>
      </c>
      <c r="C29" s="7">
        <v>19</v>
      </c>
      <c r="D29" s="119">
        <v>26</v>
      </c>
      <c r="E29" s="119">
        <v>28</v>
      </c>
      <c r="F29" s="123" t="s">
        <v>1616</v>
      </c>
      <c r="G29" s="1" t="s">
        <v>912</v>
      </c>
      <c r="H29" s="79"/>
      <c r="I29" s="79"/>
      <c r="J29" s="79"/>
      <c r="K29" s="79"/>
      <c r="L29" s="79"/>
      <c r="M29" s="79"/>
      <c r="N29" s="79"/>
      <c r="O29" s="79"/>
      <c r="P29" s="18"/>
      <c r="Q29" s="18"/>
      <c r="R29" s="18"/>
      <c r="S29" s="18"/>
      <c r="T29" s="79"/>
      <c r="U29" s="18"/>
      <c r="V29" s="18"/>
      <c r="W29" s="18"/>
      <c r="X29" s="18"/>
      <c r="Y29" s="18"/>
      <c r="Z29" s="79"/>
      <c r="AA29" s="18"/>
      <c r="AB29" s="18"/>
      <c r="AC29" s="18"/>
      <c r="AD29" s="18"/>
      <c r="AE29" s="18"/>
      <c r="AF29" s="79"/>
      <c r="AG29" s="18"/>
      <c r="AH29" s="18"/>
      <c r="AI29" s="18"/>
      <c r="AJ29" s="79"/>
      <c r="AK29" s="18"/>
      <c r="AL29" s="18"/>
      <c r="AM29" s="18"/>
      <c r="AN29" s="18"/>
      <c r="AO29" s="79"/>
      <c r="AP29" s="18"/>
      <c r="AQ29" s="18"/>
      <c r="AR29" s="18"/>
      <c r="AS29" s="18"/>
      <c r="AT29" s="79"/>
      <c r="AU29" s="18"/>
      <c r="AV29" s="18"/>
      <c r="AW29" s="18"/>
      <c r="AX29" s="18"/>
      <c r="AY29" s="79"/>
      <c r="AZ29" s="9" t="s">
        <v>1284</v>
      </c>
      <c r="BA29" s="9" t="s">
        <v>1284</v>
      </c>
      <c r="BB29" s="9" t="s">
        <v>1284</v>
      </c>
      <c r="BC29" s="9"/>
      <c r="BD29" s="118"/>
    </row>
    <row r="30" spans="1:56" ht="16.5">
      <c r="A30" s="66">
        <v>29</v>
      </c>
      <c r="B30" s="7">
        <v>17</v>
      </c>
      <c r="C30" s="7">
        <v>20</v>
      </c>
      <c r="D30" s="119">
        <v>27</v>
      </c>
      <c r="E30" s="119">
        <v>29</v>
      </c>
      <c r="F30" s="1" t="s">
        <v>529</v>
      </c>
      <c r="G30" s="1" t="s">
        <v>529</v>
      </c>
      <c r="H30" s="79"/>
      <c r="I30" s="79"/>
      <c r="J30" s="79"/>
      <c r="K30" s="79"/>
      <c r="L30" s="79"/>
      <c r="M30" s="79"/>
      <c r="N30" s="79"/>
      <c r="O30" s="79"/>
      <c r="P30" s="18"/>
      <c r="Q30" s="18"/>
      <c r="R30" s="18"/>
      <c r="S30" s="18"/>
      <c r="T30" s="79"/>
      <c r="U30" s="18"/>
      <c r="V30" s="18"/>
      <c r="W30" s="18"/>
      <c r="X30" s="18"/>
      <c r="Y30" s="18"/>
      <c r="Z30" s="79"/>
      <c r="AA30" s="18"/>
      <c r="AB30" s="18"/>
      <c r="AC30" s="18"/>
      <c r="AD30" s="18"/>
      <c r="AE30" s="18"/>
      <c r="AF30" s="79"/>
      <c r="AG30" s="18"/>
      <c r="AH30" s="18"/>
      <c r="AI30" s="18"/>
      <c r="AJ30" s="79"/>
      <c r="AK30" s="18"/>
      <c r="AL30" s="18"/>
      <c r="AM30" s="18"/>
      <c r="AN30" s="18"/>
      <c r="AO30" s="79"/>
      <c r="AP30" s="18"/>
      <c r="AQ30" s="18"/>
      <c r="AR30" s="18"/>
      <c r="AS30" s="18"/>
      <c r="AT30" s="79"/>
      <c r="AU30" s="18"/>
      <c r="AV30" s="18"/>
      <c r="AW30" s="18"/>
      <c r="AX30" s="18"/>
      <c r="AY30" s="79"/>
      <c r="AZ30" s="9" t="s">
        <v>1284</v>
      </c>
      <c r="BA30" s="9" t="s">
        <v>1284</v>
      </c>
      <c r="BB30" s="9" t="s">
        <v>1284</v>
      </c>
      <c r="BC30" s="9"/>
      <c r="BD30" s="118"/>
    </row>
    <row r="31" spans="1:56" ht="16.5">
      <c r="A31" s="66">
        <v>30</v>
      </c>
      <c r="B31" s="7">
        <v>18</v>
      </c>
      <c r="C31" s="7">
        <v>21</v>
      </c>
      <c r="D31" s="119">
        <v>28</v>
      </c>
      <c r="E31" s="119">
        <v>30</v>
      </c>
      <c r="F31" s="1" t="s">
        <v>83</v>
      </c>
      <c r="G31" s="1" t="s">
        <v>913</v>
      </c>
      <c r="H31" s="79"/>
      <c r="I31" s="79"/>
      <c r="J31" s="79"/>
      <c r="K31" s="79"/>
      <c r="L31" s="79"/>
      <c r="M31" s="79"/>
      <c r="N31" s="79"/>
      <c r="O31" s="79"/>
      <c r="P31" s="18"/>
      <c r="Q31" s="18"/>
      <c r="R31" s="18"/>
      <c r="S31" s="18"/>
      <c r="T31" s="79"/>
      <c r="U31" s="18"/>
      <c r="V31" s="18"/>
      <c r="W31" s="18"/>
      <c r="X31" s="18"/>
      <c r="Y31" s="18"/>
      <c r="Z31" s="79"/>
      <c r="AA31" s="18"/>
      <c r="AB31" s="18"/>
      <c r="AC31" s="18"/>
      <c r="AD31" s="18"/>
      <c r="AE31" s="18"/>
      <c r="AF31" s="79"/>
      <c r="AG31" s="18"/>
      <c r="AH31" s="18"/>
      <c r="AI31" s="18"/>
      <c r="AJ31" s="79"/>
      <c r="AK31" s="18"/>
      <c r="AL31" s="18"/>
      <c r="AM31" s="18"/>
      <c r="AN31" s="18"/>
      <c r="AO31" s="79"/>
      <c r="AP31" s="18"/>
      <c r="AQ31" s="18"/>
      <c r="AR31" s="18"/>
      <c r="AS31" s="18"/>
      <c r="AT31" s="79"/>
      <c r="AU31" s="18"/>
      <c r="AV31" s="18"/>
      <c r="AW31" s="18"/>
      <c r="AX31" s="18"/>
      <c r="AY31" s="79"/>
      <c r="AZ31" s="9" t="s">
        <v>1284</v>
      </c>
      <c r="BA31" s="9" t="s">
        <v>1284</v>
      </c>
      <c r="BB31" s="9" t="s">
        <v>1284</v>
      </c>
      <c r="BC31" s="9"/>
      <c r="BD31" s="118"/>
    </row>
    <row r="32" spans="1:56" ht="16.5">
      <c r="A32" s="66">
        <v>31</v>
      </c>
      <c r="B32" s="7">
        <v>19</v>
      </c>
      <c r="C32" s="7">
        <v>22</v>
      </c>
      <c r="D32" s="119">
        <v>29</v>
      </c>
      <c r="E32" s="119">
        <v>31</v>
      </c>
      <c r="F32" s="1" t="s">
        <v>170</v>
      </c>
      <c r="G32" s="1" t="s">
        <v>171</v>
      </c>
      <c r="H32" s="79" t="s">
        <v>1713</v>
      </c>
      <c r="I32" s="79" t="s">
        <v>1733</v>
      </c>
      <c r="J32" s="79"/>
      <c r="K32" s="79"/>
      <c r="L32" s="79"/>
      <c r="M32" s="79"/>
      <c r="N32" s="79"/>
      <c r="O32" s="79"/>
      <c r="P32" s="18"/>
      <c r="Q32" s="18"/>
      <c r="R32" s="18"/>
      <c r="S32" s="18"/>
      <c r="T32" s="79"/>
      <c r="U32" s="18"/>
      <c r="V32" s="18"/>
      <c r="W32" s="18"/>
      <c r="X32" s="18"/>
      <c r="Y32" s="18"/>
      <c r="Z32" s="79"/>
      <c r="AA32" s="18"/>
      <c r="AB32" s="18"/>
      <c r="AC32" s="18"/>
      <c r="AD32" s="18"/>
      <c r="AE32" s="18"/>
      <c r="AF32" s="79"/>
      <c r="AG32" s="18"/>
      <c r="AH32" s="18"/>
      <c r="AI32" s="18"/>
      <c r="AJ32" s="79"/>
      <c r="AK32" s="18"/>
      <c r="AL32" s="18"/>
      <c r="AM32" s="18"/>
      <c r="AN32" s="18"/>
      <c r="AO32" s="79"/>
      <c r="AP32" s="18"/>
      <c r="AQ32" s="18"/>
      <c r="AR32" s="18"/>
      <c r="AS32" s="18"/>
      <c r="AT32" s="79"/>
      <c r="AU32" s="18"/>
      <c r="AV32" s="18"/>
      <c r="AW32" s="18"/>
      <c r="AX32" s="18"/>
      <c r="AY32" s="79"/>
      <c r="AZ32" s="9" t="s">
        <v>886</v>
      </c>
      <c r="BA32" s="9" t="s">
        <v>872</v>
      </c>
      <c r="BB32" s="9" t="s">
        <v>858</v>
      </c>
      <c r="BC32" s="9" t="s">
        <v>802</v>
      </c>
      <c r="BD32" s="118"/>
    </row>
    <row r="33" spans="1:56" ht="16.5">
      <c r="A33" s="66">
        <v>32</v>
      </c>
      <c r="B33" s="7">
        <v>20</v>
      </c>
      <c r="C33" s="7">
        <v>23</v>
      </c>
      <c r="D33" s="119">
        <v>30</v>
      </c>
      <c r="E33" s="119">
        <v>32</v>
      </c>
      <c r="F33" s="1" t="s">
        <v>168</v>
      </c>
      <c r="G33" s="1" t="s">
        <v>169</v>
      </c>
      <c r="H33" s="79" t="s">
        <v>1714</v>
      </c>
      <c r="I33" s="79" t="s">
        <v>1734</v>
      </c>
      <c r="J33" s="79"/>
      <c r="K33" s="79"/>
      <c r="L33" s="79"/>
      <c r="M33" s="79"/>
      <c r="N33" s="79"/>
      <c r="O33" s="79"/>
      <c r="P33" s="18"/>
      <c r="Q33" s="18"/>
      <c r="R33" s="18"/>
      <c r="S33" s="18"/>
      <c r="T33" s="79"/>
      <c r="U33" s="18"/>
      <c r="V33" s="18"/>
      <c r="W33" s="18"/>
      <c r="X33" s="18"/>
      <c r="Y33" s="18"/>
      <c r="Z33" s="79"/>
      <c r="AA33" s="18"/>
      <c r="AB33" s="18"/>
      <c r="AC33" s="18"/>
      <c r="AD33" s="18"/>
      <c r="AE33" s="18"/>
      <c r="AF33" s="79"/>
      <c r="AG33" s="18"/>
      <c r="AH33" s="18"/>
      <c r="AI33" s="18"/>
      <c r="AJ33" s="79"/>
      <c r="AK33" s="18"/>
      <c r="AL33" s="18"/>
      <c r="AM33" s="18"/>
      <c r="AN33" s="18"/>
      <c r="AO33" s="79"/>
      <c r="AP33" s="18"/>
      <c r="AQ33" s="18"/>
      <c r="AR33" s="18"/>
      <c r="AS33" s="18"/>
      <c r="AT33" s="79"/>
      <c r="AU33" s="18"/>
      <c r="AV33" s="18"/>
      <c r="AW33" s="18"/>
      <c r="AX33" s="18"/>
      <c r="AY33" s="79"/>
      <c r="AZ33" s="9" t="s">
        <v>1512</v>
      </c>
      <c r="BA33" s="9" t="s">
        <v>1405</v>
      </c>
      <c r="BB33" s="9" t="s">
        <v>1298</v>
      </c>
      <c r="BC33" s="9" t="s">
        <v>1190</v>
      </c>
      <c r="BD33" s="118"/>
    </row>
    <row r="34" spans="1:56" ht="16.5">
      <c r="A34" s="66">
        <v>33</v>
      </c>
      <c r="B34" s="7"/>
      <c r="C34" s="7">
        <v>24</v>
      </c>
      <c r="D34" s="119">
        <v>31</v>
      </c>
      <c r="E34" s="119">
        <v>33</v>
      </c>
      <c r="F34" s="2" t="s">
        <v>166</v>
      </c>
      <c r="G34" s="2" t="s">
        <v>167</v>
      </c>
      <c r="H34" s="79" t="s">
        <v>1747</v>
      </c>
      <c r="I34" s="79" t="s">
        <v>1735</v>
      </c>
      <c r="J34" s="79"/>
      <c r="K34" s="79"/>
      <c r="L34" s="79"/>
      <c r="M34" s="79"/>
      <c r="N34" s="79"/>
      <c r="O34" s="79"/>
      <c r="P34" s="18"/>
      <c r="Q34" s="18"/>
      <c r="R34" s="18"/>
      <c r="S34" s="18"/>
      <c r="T34" s="79"/>
      <c r="U34" s="18"/>
      <c r="V34" s="18"/>
      <c r="W34" s="18"/>
      <c r="X34" s="18"/>
      <c r="Y34" s="18"/>
      <c r="Z34" s="79"/>
      <c r="AA34" s="18"/>
      <c r="AB34" s="18"/>
      <c r="AC34" s="18"/>
      <c r="AD34" s="18"/>
      <c r="AE34" s="18"/>
      <c r="AF34" s="79"/>
      <c r="AG34" s="18"/>
      <c r="AH34" s="18"/>
      <c r="AI34" s="18"/>
      <c r="AJ34" s="79"/>
      <c r="AK34" s="18"/>
      <c r="AL34" s="18"/>
      <c r="AM34" s="18"/>
      <c r="AN34" s="18"/>
      <c r="AO34" s="79"/>
      <c r="AP34" s="18"/>
      <c r="AQ34" s="18"/>
      <c r="AR34" s="18"/>
      <c r="AS34" s="18"/>
      <c r="AT34" s="79"/>
      <c r="AU34" s="18"/>
      <c r="AV34" s="18"/>
      <c r="AW34" s="18"/>
      <c r="AX34" s="18"/>
      <c r="AY34" s="79"/>
      <c r="AZ34" s="9" t="s">
        <v>1513</v>
      </c>
      <c r="BA34" s="9" t="s">
        <v>1406</v>
      </c>
      <c r="BB34" s="9" t="s">
        <v>1299</v>
      </c>
      <c r="BC34" s="9" t="s">
        <v>1191</v>
      </c>
      <c r="BD34" s="118"/>
    </row>
    <row r="35" spans="1:56" ht="16.5">
      <c r="A35" s="66">
        <v>34</v>
      </c>
      <c r="B35" s="7"/>
      <c r="C35" s="7">
        <v>25</v>
      </c>
      <c r="D35" s="119">
        <v>32</v>
      </c>
      <c r="E35" s="119">
        <v>34</v>
      </c>
      <c r="F35" s="2" t="s">
        <v>164</v>
      </c>
      <c r="G35" s="2" t="s">
        <v>165</v>
      </c>
      <c r="H35" s="79" t="s">
        <v>1748</v>
      </c>
      <c r="I35" s="79" t="s">
        <v>1736</v>
      </c>
      <c r="J35" s="79"/>
      <c r="K35" s="79"/>
      <c r="L35" s="79"/>
      <c r="M35" s="79"/>
      <c r="N35" s="79"/>
      <c r="O35" s="79"/>
      <c r="P35" s="18"/>
      <c r="Q35" s="18"/>
      <c r="R35" s="18"/>
      <c r="S35" s="18"/>
      <c r="T35" s="79"/>
      <c r="U35" s="18"/>
      <c r="V35" s="18"/>
      <c r="W35" s="18"/>
      <c r="X35" s="18"/>
      <c r="Y35" s="18"/>
      <c r="Z35" s="79"/>
      <c r="AA35" s="18"/>
      <c r="AB35" s="18"/>
      <c r="AC35" s="18"/>
      <c r="AD35" s="18"/>
      <c r="AE35" s="18"/>
      <c r="AF35" s="79"/>
      <c r="AG35" s="18"/>
      <c r="AH35" s="18"/>
      <c r="AI35" s="18"/>
      <c r="AJ35" s="79"/>
      <c r="AK35" s="18"/>
      <c r="AL35" s="18"/>
      <c r="AM35" s="18"/>
      <c r="AN35" s="18"/>
      <c r="AO35" s="79"/>
      <c r="AP35" s="18"/>
      <c r="AQ35" s="18"/>
      <c r="AR35" s="18"/>
      <c r="AS35" s="18"/>
      <c r="AT35" s="79"/>
      <c r="AU35" s="18"/>
      <c r="AV35" s="18"/>
      <c r="AW35" s="18"/>
      <c r="AX35" s="18"/>
      <c r="AY35" s="79"/>
      <c r="AZ35" s="9" t="s">
        <v>1514</v>
      </c>
      <c r="BA35" s="9" t="s">
        <v>1407</v>
      </c>
      <c r="BB35" s="9" t="s">
        <v>1300</v>
      </c>
      <c r="BC35" s="9" t="s">
        <v>1192</v>
      </c>
      <c r="BD35" s="118"/>
    </row>
    <row r="36" spans="1:56" ht="16.5">
      <c r="A36" s="66">
        <v>35</v>
      </c>
      <c r="B36" s="7"/>
      <c r="C36" s="7"/>
      <c r="D36" s="119"/>
      <c r="E36" s="119">
        <v>35</v>
      </c>
      <c r="F36" s="2" t="s">
        <v>534</v>
      </c>
      <c r="G36" s="2" t="s">
        <v>734</v>
      </c>
      <c r="H36" s="79"/>
      <c r="I36" s="79"/>
      <c r="J36" s="79"/>
      <c r="K36" s="79"/>
      <c r="L36" s="79"/>
      <c r="M36" s="79"/>
      <c r="N36" s="79"/>
      <c r="O36" s="79"/>
      <c r="P36" s="18"/>
      <c r="Q36" s="18"/>
      <c r="R36" s="18"/>
      <c r="S36" s="18"/>
      <c r="T36" s="79"/>
      <c r="U36" s="18"/>
      <c r="V36" s="18"/>
      <c r="W36" s="18"/>
      <c r="X36" s="18"/>
      <c r="Y36" s="18"/>
      <c r="Z36" s="79"/>
      <c r="AA36" s="18"/>
      <c r="AB36" s="18"/>
      <c r="AC36" s="18"/>
      <c r="AD36" s="18"/>
      <c r="AE36" s="18"/>
      <c r="AF36" s="79"/>
      <c r="AG36" s="18"/>
      <c r="AH36" s="18"/>
      <c r="AI36" s="18"/>
      <c r="AJ36" s="79"/>
      <c r="AK36" s="18"/>
      <c r="AL36" s="18"/>
      <c r="AM36" s="18"/>
      <c r="AN36" s="18"/>
      <c r="AO36" s="79"/>
      <c r="AP36" s="18"/>
      <c r="AQ36" s="18"/>
      <c r="AR36" s="18"/>
      <c r="AS36" s="18"/>
      <c r="AT36" s="79"/>
      <c r="AU36" s="18"/>
      <c r="AV36" s="18"/>
      <c r="AW36" s="18"/>
      <c r="AX36" s="18"/>
      <c r="AY36" s="79"/>
      <c r="AZ36" s="9" t="s">
        <v>1515</v>
      </c>
      <c r="BA36" s="9" t="s">
        <v>1408</v>
      </c>
      <c r="BB36" s="9" t="s">
        <v>1301</v>
      </c>
      <c r="BC36" s="9" t="s">
        <v>1193</v>
      </c>
      <c r="BD36" s="118"/>
    </row>
    <row r="37" spans="1:56" ht="16.5">
      <c r="A37" s="66">
        <v>36</v>
      </c>
      <c r="B37" s="7"/>
      <c r="C37" s="7"/>
      <c r="D37" s="119"/>
      <c r="E37" s="119">
        <v>36</v>
      </c>
      <c r="F37" s="2" t="s">
        <v>535</v>
      </c>
      <c r="G37" s="2" t="s">
        <v>735</v>
      </c>
      <c r="H37" s="79"/>
      <c r="I37" s="79"/>
      <c r="J37" s="79"/>
      <c r="K37" s="79"/>
      <c r="L37" s="79"/>
      <c r="M37" s="79"/>
      <c r="N37" s="79"/>
      <c r="O37" s="79"/>
      <c r="P37" s="18"/>
      <c r="Q37" s="18"/>
      <c r="R37" s="18"/>
      <c r="S37" s="18"/>
      <c r="T37" s="79"/>
      <c r="U37" s="18"/>
      <c r="V37" s="18"/>
      <c r="W37" s="18"/>
      <c r="X37" s="18"/>
      <c r="Y37" s="18"/>
      <c r="Z37" s="79"/>
      <c r="AA37" s="18"/>
      <c r="AB37" s="18"/>
      <c r="AC37" s="18"/>
      <c r="AD37" s="18"/>
      <c r="AE37" s="18"/>
      <c r="AF37" s="79"/>
      <c r="AG37" s="18"/>
      <c r="AH37" s="18"/>
      <c r="AI37" s="18"/>
      <c r="AJ37" s="79"/>
      <c r="AK37" s="18"/>
      <c r="AL37" s="18"/>
      <c r="AM37" s="18"/>
      <c r="AN37" s="18"/>
      <c r="AO37" s="79"/>
      <c r="AP37" s="18"/>
      <c r="AQ37" s="18"/>
      <c r="AR37" s="18"/>
      <c r="AS37" s="18"/>
      <c r="AT37" s="79"/>
      <c r="AU37" s="18"/>
      <c r="AV37" s="18"/>
      <c r="AW37" s="18"/>
      <c r="AX37" s="18"/>
      <c r="AY37" s="79"/>
      <c r="AZ37" s="9" t="s">
        <v>1516</v>
      </c>
      <c r="BA37" s="9" t="s">
        <v>1409</v>
      </c>
      <c r="BB37" s="9" t="s">
        <v>1302</v>
      </c>
      <c r="BC37" s="9" t="s">
        <v>1194</v>
      </c>
      <c r="BD37" s="118"/>
    </row>
    <row r="38" spans="1:56" ht="16.5">
      <c r="A38" s="67">
        <v>37</v>
      </c>
      <c r="B38" s="7"/>
      <c r="C38" s="7">
        <v>26</v>
      </c>
      <c r="D38" s="119">
        <v>33</v>
      </c>
      <c r="E38" s="119">
        <v>37</v>
      </c>
      <c r="F38" s="1" t="s">
        <v>162</v>
      </c>
      <c r="G38" s="2" t="s">
        <v>163</v>
      </c>
      <c r="H38" s="79" t="s">
        <v>1745</v>
      </c>
      <c r="I38" s="79" t="s">
        <v>1737</v>
      </c>
      <c r="J38" s="79"/>
      <c r="K38" s="79"/>
      <c r="L38" s="79"/>
      <c r="M38" s="79"/>
      <c r="N38" s="79"/>
      <c r="O38" s="79"/>
      <c r="P38" s="18"/>
      <c r="Q38" s="18"/>
      <c r="R38" s="18"/>
      <c r="S38" s="18"/>
      <c r="T38" s="79"/>
      <c r="U38" s="18"/>
      <c r="V38" s="18"/>
      <c r="W38" s="18"/>
      <c r="X38" s="18"/>
      <c r="Y38" s="18"/>
      <c r="Z38" s="79"/>
      <c r="AA38" s="18"/>
      <c r="AB38" s="18"/>
      <c r="AC38" s="18"/>
      <c r="AD38" s="18"/>
      <c r="AE38" s="18"/>
      <c r="AF38" s="79"/>
      <c r="AG38" s="18"/>
      <c r="AH38" s="18"/>
      <c r="AI38" s="18"/>
      <c r="AJ38" s="79"/>
      <c r="AK38" s="18"/>
      <c r="AL38" s="18"/>
      <c r="AM38" s="18"/>
      <c r="AN38" s="18"/>
      <c r="AO38" s="79"/>
      <c r="AP38" s="18"/>
      <c r="AQ38" s="18"/>
      <c r="AR38" s="18"/>
      <c r="AS38" s="18"/>
      <c r="AT38" s="79"/>
      <c r="AU38" s="18"/>
      <c r="AV38" s="18"/>
      <c r="AW38" s="18"/>
      <c r="AX38" s="18"/>
      <c r="AY38" s="79"/>
      <c r="AZ38" s="9" t="s">
        <v>1517</v>
      </c>
      <c r="BA38" s="9" t="s">
        <v>1410</v>
      </c>
      <c r="BB38" s="9" t="s">
        <v>1303</v>
      </c>
      <c r="BC38" s="9" t="s">
        <v>1195</v>
      </c>
      <c r="BD38" s="118"/>
    </row>
    <row r="39" spans="1:56" ht="16.5">
      <c r="A39" s="67">
        <v>38</v>
      </c>
      <c r="B39" s="7"/>
      <c r="C39" s="7">
        <v>27</v>
      </c>
      <c r="D39" s="119">
        <v>34</v>
      </c>
      <c r="E39" s="119">
        <v>38</v>
      </c>
      <c r="F39" s="1" t="s">
        <v>160</v>
      </c>
      <c r="G39" s="1" t="s">
        <v>161</v>
      </c>
      <c r="H39" s="79" t="s">
        <v>1746</v>
      </c>
      <c r="I39" s="79" t="s">
        <v>1738</v>
      </c>
      <c r="J39" s="79"/>
      <c r="K39" s="79"/>
      <c r="L39" s="79"/>
      <c r="M39" s="79"/>
      <c r="N39" s="79"/>
      <c r="O39" s="79"/>
      <c r="P39" s="18"/>
      <c r="Q39" s="18"/>
      <c r="R39" s="18"/>
      <c r="S39" s="18"/>
      <c r="T39" s="79"/>
      <c r="U39" s="18"/>
      <c r="V39" s="18"/>
      <c r="W39" s="18"/>
      <c r="X39" s="18"/>
      <c r="Y39" s="18"/>
      <c r="Z39" s="79"/>
      <c r="AA39" s="18"/>
      <c r="AB39" s="18"/>
      <c r="AC39" s="18"/>
      <c r="AD39" s="18"/>
      <c r="AE39" s="18"/>
      <c r="AF39" s="79"/>
      <c r="AG39" s="18"/>
      <c r="AH39" s="18"/>
      <c r="AI39" s="18"/>
      <c r="AJ39" s="79"/>
      <c r="AK39" s="18"/>
      <c r="AL39" s="18"/>
      <c r="AM39" s="18"/>
      <c r="AN39" s="18"/>
      <c r="AO39" s="79"/>
      <c r="AP39" s="18"/>
      <c r="AQ39" s="18"/>
      <c r="AR39" s="18"/>
      <c r="AS39" s="18"/>
      <c r="AT39" s="79"/>
      <c r="AU39" s="18"/>
      <c r="AV39" s="18"/>
      <c r="AW39" s="18"/>
      <c r="AX39" s="18"/>
      <c r="AY39" s="79"/>
      <c r="AZ39" s="9" t="s">
        <v>1518</v>
      </c>
      <c r="BA39" s="9" t="s">
        <v>1411</v>
      </c>
      <c r="BB39" s="9" t="s">
        <v>1304</v>
      </c>
      <c r="BC39" s="9" t="s">
        <v>1196</v>
      </c>
      <c r="BD39" s="118"/>
    </row>
    <row r="40" spans="1:56" ht="16.5">
      <c r="A40" s="67">
        <v>39</v>
      </c>
      <c r="B40" s="7"/>
      <c r="C40" s="7"/>
      <c r="D40" s="119"/>
      <c r="E40" s="119">
        <v>39</v>
      </c>
      <c r="F40" s="1" t="s">
        <v>157</v>
      </c>
      <c r="G40" s="1" t="s">
        <v>158</v>
      </c>
      <c r="H40" s="79"/>
      <c r="I40" s="79"/>
      <c r="J40" s="79"/>
      <c r="K40" s="79"/>
      <c r="L40" s="79"/>
      <c r="M40" s="79"/>
      <c r="N40" s="79"/>
      <c r="O40" s="79"/>
      <c r="P40" s="18"/>
      <c r="Q40" s="18"/>
      <c r="R40" s="18"/>
      <c r="S40" s="18"/>
      <c r="T40" s="79"/>
      <c r="U40" s="18"/>
      <c r="V40" s="18"/>
      <c r="W40" s="18"/>
      <c r="X40" s="18"/>
      <c r="Y40" s="18"/>
      <c r="Z40" s="79"/>
      <c r="AA40" s="18"/>
      <c r="AB40" s="18"/>
      <c r="AC40" s="18"/>
      <c r="AD40" s="18"/>
      <c r="AE40" s="18"/>
      <c r="AF40" s="79"/>
      <c r="AG40" s="18"/>
      <c r="AH40" s="18"/>
      <c r="AI40" s="18"/>
      <c r="AJ40" s="79"/>
      <c r="AK40" s="18"/>
      <c r="AL40" s="18"/>
      <c r="AM40" s="18"/>
      <c r="AN40" s="18"/>
      <c r="AO40" s="79"/>
      <c r="AP40" s="18"/>
      <c r="AQ40" s="18"/>
      <c r="AR40" s="18"/>
      <c r="AS40" s="18"/>
      <c r="AT40" s="79"/>
      <c r="AU40" s="18"/>
      <c r="AV40" s="18"/>
      <c r="AW40" s="18"/>
      <c r="AX40" s="18"/>
      <c r="AY40" s="79"/>
      <c r="AZ40" s="9" t="s">
        <v>1519</v>
      </c>
      <c r="BA40" s="9" t="s">
        <v>1412</v>
      </c>
      <c r="BB40" s="9" t="s">
        <v>1305</v>
      </c>
      <c r="BC40" s="9" t="s">
        <v>1197</v>
      </c>
      <c r="BD40" s="118"/>
    </row>
    <row r="41" spans="1:56" ht="16.5">
      <c r="A41" s="67">
        <v>40</v>
      </c>
      <c r="B41" s="7"/>
      <c r="C41" s="7"/>
      <c r="D41" s="119"/>
      <c r="E41" s="119">
        <v>40</v>
      </c>
      <c r="F41" s="120" t="s">
        <v>155</v>
      </c>
      <c r="G41" s="120" t="s">
        <v>156</v>
      </c>
      <c r="H41" s="79"/>
      <c r="I41" s="79"/>
      <c r="J41" s="79"/>
      <c r="K41" s="79"/>
      <c r="L41" s="79"/>
      <c r="M41" s="79"/>
      <c r="N41" s="79"/>
      <c r="O41" s="79"/>
      <c r="P41" s="18"/>
      <c r="Q41" s="18"/>
      <c r="R41" s="18"/>
      <c r="S41" s="18"/>
      <c r="T41" s="79"/>
      <c r="U41" s="18"/>
      <c r="V41" s="18"/>
      <c r="W41" s="18"/>
      <c r="X41" s="18"/>
      <c r="Y41" s="18"/>
      <c r="Z41" s="79"/>
      <c r="AA41" s="18"/>
      <c r="AB41" s="18"/>
      <c r="AC41" s="18"/>
      <c r="AD41" s="18"/>
      <c r="AE41" s="18"/>
      <c r="AF41" s="79"/>
      <c r="AG41" s="18"/>
      <c r="AH41" s="18"/>
      <c r="AI41" s="18"/>
      <c r="AJ41" s="79"/>
      <c r="AK41" s="18"/>
      <c r="AL41" s="18"/>
      <c r="AM41" s="18"/>
      <c r="AN41" s="18"/>
      <c r="AO41" s="79"/>
      <c r="AP41" s="18"/>
      <c r="AQ41" s="18"/>
      <c r="AR41" s="18"/>
      <c r="AS41" s="18"/>
      <c r="AT41" s="79"/>
      <c r="AU41" s="18"/>
      <c r="AV41" s="18"/>
      <c r="AW41" s="18"/>
      <c r="AX41" s="18"/>
      <c r="AY41" s="79"/>
      <c r="AZ41" s="9" t="s">
        <v>1520</v>
      </c>
      <c r="BA41" s="9" t="s">
        <v>1413</v>
      </c>
      <c r="BB41" s="9" t="s">
        <v>1306</v>
      </c>
      <c r="BC41" s="9" t="s">
        <v>1198</v>
      </c>
      <c r="BD41" s="118"/>
    </row>
    <row r="42" spans="1:56" ht="16.5">
      <c r="A42" s="67">
        <v>41</v>
      </c>
      <c r="B42" s="7">
        <v>21</v>
      </c>
      <c r="C42" s="7">
        <v>28</v>
      </c>
      <c r="D42" s="119">
        <v>35</v>
      </c>
      <c r="E42" s="119">
        <v>41</v>
      </c>
      <c r="F42" s="120" t="s">
        <v>538</v>
      </c>
      <c r="G42" s="120" t="s">
        <v>736</v>
      </c>
      <c r="H42" s="79" t="s">
        <v>1719</v>
      </c>
      <c r="I42" s="79" t="s">
        <v>1721</v>
      </c>
      <c r="J42" s="79"/>
      <c r="K42" s="79"/>
      <c r="L42" s="79"/>
      <c r="M42" s="79"/>
      <c r="N42" s="79"/>
      <c r="O42" s="79"/>
      <c r="P42" s="18"/>
      <c r="Q42" s="18"/>
      <c r="R42" s="18"/>
      <c r="S42" s="18"/>
      <c r="T42" s="79"/>
      <c r="U42" s="18"/>
      <c r="V42" s="18"/>
      <c r="W42" s="18"/>
      <c r="X42" s="18"/>
      <c r="Y42" s="18"/>
      <c r="Z42" s="79"/>
      <c r="AA42" s="18"/>
      <c r="AB42" s="18"/>
      <c r="AC42" s="18"/>
      <c r="AD42" s="18"/>
      <c r="AE42" s="18"/>
      <c r="AF42" s="79"/>
      <c r="AG42" s="18"/>
      <c r="AH42" s="18"/>
      <c r="AI42" s="18"/>
      <c r="AJ42" s="79"/>
      <c r="AK42" s="18"/>
      <c r="AL42" s="18"/>
      <c r="AM42" s="18"/>
      <c r="AN42" s="18"/>
      <c r="AO42" s="79"/>
      <c r="AP42" s="18"/>
      <c r="AQ42" s="18"/>
      <c r="AR42" s="18"/>
      <c r="AS42" s="18"/>
      <c r="AT42" s="79"/>
      <c r="AU42" s="18"/>
      <c r="AV42" s="18"/>
      <c r="AW42" s="18"/>
      <c r="AX42" s="18"/>
      <c r="AY42" s="79"/>
      <c r="AZ42" s="9" t="s">
        <v>887</v>
      </c>
      <c r="BA42" s="9" t="s">
        <v>873</v>
      </c>
      <c r="BB42" s="9" t="s">
        <v>859</v>
      </c>
      <c r="BC42" s="9" t="s">
        <v>803</v>
      </c>
      <c r="BD42" s="118"/>
    </row>
    <row r="43" spans="1:56" ht="16.5">
      <c r="A43" s="67">
        <v>42</v>
      </c>
      <c r="B43" s="7">
        <v>22</v>
      </c>
      <c r="C43" s="7">
        <v>29</v>
      </c>
      <c r="D43" s="119">
        <v>36</v>
      </c>
      <c r="E43" s="119">
        <v>42</v>
      </c>
      <c r="F43" s="120" t="s">
        <v>539</v>
      </c>
      <c r="G43" s="120" t="s">
        <v>737</v>
      </c>
      <c r="H43" s="79" t="s">
        <v>1720</v>
      </c>
      <c r="I43" s="79" t="s">
        <v>1722</v>
      </c>
      <c r="J43" s="79"/>
      <c r="K43" s="79"/>
      <c r="L43" s="79"/>
      <c r="M43" s="79"/>
      <c r="N43" s="79"/>
      <c r="O43" s="79"/>
      <c r="P43" s="18"/>
      <c r="Q43" s="18"/>
      <c r="R43" s="18"/>
      <c r="S43" s="18"/>
      <c r="T43" s="79"/>
      <c r="U43" s="18"/>
      <c r="V43" s="18"/>
      <c r="W43" s="18"/>
      <c r="X43" s="18"/>
      <c r="Y43" s="18"/>
      <c r="Z43" s="79"/>
      <c r="AA43" s="18"/>
      <c r="AB43" s="18"/>
      <c r="AC43" s="18"/>
      <c r="AD43" s="18"/>
      <c r="AE43" s="18"/>
      <c r="AF43" s="79"/>
      <c r="AG43" s="18"/>
      <c r="AH43" s="18"/>
      <c r="AI43" s="18"/>
      <c r="AJ43" s="79"/>
      <c r="AK43" s="18"/>
      <c r="AL43" s="18"/>
      <c r="AM43" s="18"/>
      <c r="AN43" s="18"/>
      <c r="AO43" s="79"/>
      <c r="AP43" s="18"/>
      <c r="AQ43" s="18"/>
      <c r="AR43" s="18"/>
      <c r="AS43" s="18"/>
      <c r="AT43" s="79"/>
      <c r="AU43" s="18"/>
      <c r="AV43" s="18"/>
      <c r="AW43" s="18"/>
      <c r="AX43" s="18"/>
      <c r="AY43" s="79"/>
      <c r="AZ43" s="9" t="s">
        <v>1521</v>
      </c>
      <c r="BA43" s="9" t="s">
        <v>1414</v>
      </c>
      <c r="BB43" s="9" t="s">
        <v>1307</v>
      </c>
      <c r="BC43" s="9" t="s">
        <v>1199</v>
      </c>
      <c r="BD43" s="118"/>
    </row>
    <row r="44" spans="1:56" ht="16.5">
      <c r="A44" s="67">
        <v>43</v>
      </c>
      <c r="B44" s="7">
        <v>23</v>
      </c>
      <c r="C44" s="7">
        <v>30</v>
      </c>
      <c r="D44" s="119">
        <v>37</v>
      </c>
      <c r="E44" s="119">
        <v>43</v>
      </c>
      <c r="F44" s="120" t="s">
        <v>541</v>
      </c>
      <c r="G44" s="120" t="s">
        <v>738</v>
      </c>
      <c r="H44" s="79" t="s">
        <v>1753</v>
      </c>
      <c r="I44" s="79" t="s">
        <v>1723</v>
      </c>
      <c r="J44" s="79"/>
      <c r="K44" s="79"/>
      <c r="L44" s="79"/>
      <c r="M44" s="79"/>
      <c r="N44" s="79"/>
      <c r="O44" s="79"/>
      <c r="P44" s="18"/>
      <c r="Q44" s="18"/>
      <c r="R44" s="18"/>
      <c r="S44" s="18"/>
      <c r="T44" s="79"/>
      <c r="U44" s="18"/>
      <c r="V44" s="18"/>
      <c r="W44" s="18"/>
      <c r="X44" s="18"/>
      <c r="Y44" s="18"/>
      <c r="Z44" s="79"/>
      <c r="AA44" s="18"/>
      <c r="AB44" s="18"/>
      <c r="AC44" s="18"/>
      <c r="AD44" s="18"/>
      <c r="AE44" s="18"/>
      <c r="AF44" s="79"/>
      <c r="AG44" s="18"/>
      <c r="AH44" s="18"/>
      <c r="AI44" s="18"/>
      <c r="AJ44" s="79"/>
      <c r="AK44" s="18"/>
      <c r="AL44" s="18"/>
      <c r="AM44" s="18"/>
      <c r="AN44" s="18"/>
      <c r="AO44" s="79"/>
      <c r="AP44" s="18"/>
      <c r="AQ44" s="18"/>
      <c r="AR44" s="18"/>
      <c r="AS44" s="18"/>
      <c r="AT44" s="79"/>
      <c r="AU44" s="18"/>
      <c r="AV44" s="18"/>
      <c r="AW44" s="18"/>
      <c r="AX44" s="18"/>
      <c r="AY44" s="79"/>
      <c r="AZ44" s="9" t="s">
        <v>1522</v>
      </c>
      <c r="BA44" s="9" t="s">
        <v>1415</v>
      </c>
      <c r="BB44" s="9" t="s">
        <v>1308</v>
      </c>
      <c r="BC44" s="9" t="s">
        <v>1200</v>
      </c>
      <c r="BD44" s="118"/>
    </row>
    <row r="45" spans="1:56" ht="16.5">
      <c r="A45" s="67">
        <v>44</v>
      </c>
      <c r="B45" s="7">
        <v>24</v>
      </c>
      <c r="C45" s="7">
        <v>31</v>
      </c>
      <c r="D45" s="119">
        <v>38</v>
      </c>
      <c r="E45" s="119">
        <v>44</v>
      </c>
      <c r="F45" s="120" t="s">
        <v>543</v>
      </c>
      <c r="G45" s="120" t="s">
        <v>739</v>
      </c>
      <c r="H45" s="79" t="s">
        <v>1754</v>
      </c>
      <c r="I45" s="79" t="s">
        <v>1724</v>
      </c>
      <c r="J45" s="79"/>
      <c r="K45" s="79"/>
      <c r="L45" s="79"/>
      <c r="M45" s="79"/>
      <c r="N45" s="79"/>
      <c r="O45" s="79"/>
      <c r="P45" s="88"/>
      <c r="Q45" s="88"/>
      <c r="R45" s="88"/>
      <c r="S45" s="88"/>
      <c r="T45" s="79"/>
      <c r="U45" s="88"/>
      <c r="V45" s="88"/>
      <c r="W45" s="88"/>
      <c r="X45" s="88"/>
      <c r="Y45" s="88"/>
      <c r="Z45" s="79"/>
      <c r="AA45" s="88"/>
      <c r="AB45" s="88"/>
      <c r="AC45" s="88"/>
      <c r="AD45" s="88"/>
      <c r="AE45" s="88"/>
      <c r="AF45" s="79"/>
      <c r="AG45" s="88"/>
      <c r="AH45" s="88"/>
      <c r="AI45" s="88"/>
      <c r="AJ45" s="79"/>
      <c r="AK45" s="88"/>
      <c r="AL45" s="88"/>
      <c r="AM45" s="88"/>
      <c r="AN45" s="88"/>
      <c r="AO45" s="79"/>
      <c r="AP45" s="88"/>
      <c r="AQ45" s="88"/>
      <c r="AR45" s="88"/>
      <c r="AS45" s="88"/>
      <c r="AT45" s="79"/>
      <c r="AU45" s="88"/>
      <c r="AV45" s="88"/>
      <c r="AW45" s="88"/>
      <c r="AX45" s="88"/>
      <c r="AY45" s="79"/>
      <c r="AZ45" s="9" t="s">
        <v>1523</v>
      </c>
      <c r="BA45" s="9" t="s">
        <v>1416</v>
      </c>
      <c r="BB45" s="9" t="s">
        <v>1309</v>
      </c>
      <c r="BC45" s="9" t="s">
        <v>1201</v>
      </c>
      <c r="BD45" s="118"/>
    </row>
    <row r="46" spans="1:56" ht="16.5">
      <c r="A46" s="67">
        <v>45</v>
      </c>
      <c r="B46" s="7">
        <v>25</v>
      </c>
      <c r="C46" s="7">
        <v>32</v>
      </c>
      <c r="D46" s="119">
        <v>39</v>
      </c>
      <c r="E46" s="119">
        <v>45</v>
      </c>
      <c r="F46" s="120" t="s">
        <v>545</v>
      </c>
      <c r="G46" s="120" t="s">
        <v>740</v>
      </c>
      <c r="H46" s="79" t="s">
        <v>1751</v>
      </c>
      <c r="I46" s="79" t="s">
        <v>1725</v>
      </c>
      <c r="J46" s="79"/>
      <c r="K46" s="79"/>
      <c r="L46" s="79"/>
      <c r="M46" s="79"/>
      <c r="N46" s="79"/>
      <c r="O46" s="79"/>
      <c r="P46" s="18"/>
      <c r="Q46" s="18"/>
      <c r="R46" s="18"/>
      <c r="S46" s="18"/>
      <c r="T46" s="79"/>
      <c r="U46" s="18"/>
      <c r="V46" s="18"/>
      <c r="W46" s="18"/>
      <c r="X46" s="18"/>
      <c r="Y46" s="18"/>
      <c r="Z46" s="79"/>
      <c r="AA46" s="18"/>
      <c r="AB46" s="18"/>
      <c r="AC46" s="18"/>
      <c r="AD46" s="18"/>
      <c r="AE46" s="18"/>
      <c r="AF46" s="79"/>
      <c r="AG46" s="18"/>
      <c r="AH46" s="18"/>
      <c r="AI46" s="18"/>
      <c r="AJ46" s="79"/>
      <c r="AK46" s="18"/>
      <c r="AL46" s="18"/>
      <c r="AM46" s="18"/>
      <c r="AN46" s="18"/>
      <c r="AO46" s="79"/>
      <c r="AP46" s="18"/>
      <c r="AQ46" s="18"/>
      <c r="AR46" s="18"/>
      <c r="AS46" s="18"/>
      <c r="AT46" s="79"/>
      <c r="AU46" s="18"/>
      <c r="AV46" s="18"/>
      <c r="AW46" s="18"/>
      <c r="AX46" s="18"/>
      <c r="AY46" s="79"/>
      <c r="AZ46" s="9" t="s">
        <v>1524</v>
      </c>
      <c r="BA46" s="9" t="s">
        <v>1417</v>
      </c>
      <c r="BB46" s="9" t="s">
        <v>1310</v>
      </c>
      <c r="BC46" s="9" t="s">
        <v>1202</v>
      </c>
      <c r="BD46" s="118"/>
    </row>
    <row r="47" spans="1:56" ht="16.5">
      <c r="A47" s="67">
        <v>46</v>
      </c>
      <c r="B47" s="7">
        <v>26</v>
      </c>
      <c r="C47" s="7">
        <v>33</v>
      </c>
      <c r="D47" s="119">
        <v>40</v>
      </c>
      <c r="E47" s="119">
        <v>46</v>
      </c>
      <c r="F47" s="120" t="s">
        <v>547</v>
      </c>
      <c r="G47" s="120" t="s">
        <v>741</v>
      </c>
      <c r="H47" s="79" t="s">
        <v>1752</v>
      </c>
      <c r="I47" s="79" t="s">
        <v>1726</v>
      </c>
      <c r="J47" s="79"/>
      <c r="K47" s="79"/>
      <c r="L47" s="79"/>
      <c r="M47" s="79"/>
      <c r="N47" s="79"/>
      <c r="O47" s="79"/>
      <c r="P47" s="18"/>
      <c r="Q47" s="18"/>
      <c r="R47" s="18"/>
      <c r="S47" s="18"/>
      <c r="T47" s="79"/>
      <c r="U47" s="18"/>
      <c r="V47" s="18"/>
      <c r="W47" s="18"/>
      <c r="X47" s="18"/>
      <c r="Y47" s="18"/>
      <c r="Z47" s="79"/>
      <c r="AA47" s="18"/>
      <c r="AB47" s="18"/>
      <c r="AC47" s="18"/>
      <c r="AD47" s="18"/>
      <c r="AE47" s="18"/>
      <c r="AF47" s="79"/>
      <c r="AG47" s="18"/>
      <c r="AH47" s="18"/>
      <c r="AI47" s="18"/>
      <c r="AJ47" s="79"/>
      <c r="AK47" s="18"/>
      <c r="AL47" s="18"/>
      <c r="AM47" s="18"/>
      <c r="AN47" s="18"/>
      <c r="AO47" s="79"/>
      <c r="AP47" s="18"/>
      <c r="AQ47" s="18"/>
      <c r="AR47" s="18"/>
      <c r="AS47" s="18"/>
      <c r="AT47" s="79"/>
      <c r="AU47" s="18"/>
      <c r="AV47" s="18"/>
      <c r="AW47" s="18"/>
      <c r="AX47" s="18"/>
      <c r="AY47" s="79"/>
      <c r="AZ47" s="9" t="s">
        <v>1525</v>
      </c>
      <c r="BA47" s="9" t="s">
        <v>1418</v>
      </c>
      <c r="BB47" s="9" t="s">
        <v>1311</v>
      </c>
      <c r="BC47" s="9" t="s">
        <v>1203</v>
      </c>
      <c r="BD47" s="118"/>
    </row>
    <row r="48" spans="1:56" ht="16.5">
      <c r="A48" s="67">
        <v>47</v>
      </c>
      <c r="B48" s="7"/>
      <c r="C48" s="7"/>
      <c r="D48" s="119">
        <v>41</v>
      </c>
      <c r="E48" s="119">
        <v>47</v>
      </c>
      <c r="F48" s="120" t="s">
        <v>549</v>
      </c>
      <c r="G48" s="120" t="s">
        <v>742</v>
      </c>
      <c r="H48" s="79" t="s">
        <v>550</v>
      </c>
      <c r="I48" s="79"/>
      <c r="J48" s="79"/>
      <c r="K48" s="79"/>
      <c r="L48" s="79"/>
      <c r="M48" s="79"/>
      <c r="N48" s="79"/>
      <c r="O48" s="79"/>
      <c r="P48" s="18"/>
      <c r="Q48" s="18"/>
      <c r="R48" s="18"/>
      <c r="S48" s="18"/>
      <c r="T48" s="79"/>
      <c r="U48" s="18"/>
      <c r="V48" s="18"/>
      <c r="W48" s="18"/>
      <c r="X48" s="18"/>
      <c r="Y48" s="18"/>
      <c r="Z48" s="79"/>
      <c r="AA48" s="18"/>
      <c r="AB48" s="18"/>
      <c r="AC48" s="18"/>
      <c r="AD48" s="18"/>
      <c r="AE48" s="18"/>
      <c r="AF48" s="79"/>
      <c r="AG48" s="18"/>
      <c r="AH48" s="18"/>
      <c r="AI48" s="18"/>
      <c r="AJ48" s="79"/>
      <c r="AK48" s="18"/>
      <c r="AL48" s="18"/>
      <c r="AM48" s="18"/>
      <c r="AN48" s="18"/>
      <c r="AO48" s="79"/>
      <c r="AP48" s="18"/>
      <c r="AQ48" s="18"/>
      <c r="AR48" s="18"/>
      <c r="AS48" s="18"/>
      <c r="AT48" s="79"/>
      <c r="AU48" s="18"/>
      <c r="AV48" s="18"/>
      <c r="AW48" s="18"/>
      <c r="AX48" s="18"/>
      <c r="AY48" s="79"/>
      <c r="AZ48" s="9" t="s">
        <v>1526</v>
      </c>
      <c r="BA48" s="9" t="s">
        <v>1419</v>
      </c>
      <c r="BB48" s="9" t="s">
        <v>1312</v>
      </c>
      <c r="BC48" s="9" t="s">
        <v>1204</v>
      </c>
      <c r="BD48" s="118"/>
    </row>
    <row r="49" spans="1:56" ht="16.5">
      <c r="A49" s="67">
        <v>48</v>
      </c>
      <c r="B49" s="7"/>
      <c r="C49" s="7"/>
      <c r="D49" s="119">
        <v>42</v>
      </c>
      <c r="E49" s="119">
        <v>48</v>
      </c>
      <c r="F49" s="120" t="s">
        <v>551</v>
      </c>
      <c r="G49" s="120" t="s">
        <v>743</v>
      </c>
      <c r="H49" s="79" t="s">
        <v>552</v>
      </c>
      <c r="I49" s="79"/>
      <c r="J49" s="79"/>
      <c r="K49" s="79"/>
      <c r="L49" s="79"/>
      <c r="M49" s="79"/>
      <c r="N49" s="79"/>
      <c r="O49" s="79"/>
      <c r="P49" s="18"/>
      <c r="Q49" s="18"/>
      <c r="R49" s="18"/>
      <c r="S49" s="18"/>
      <c r="T49" s="79"/>
      <c r="U49" s="18"/>
      <c r="V49" s="18"/>
      <c r="W49" s="18"/>
      <c r="X49" s="18"/>
      <c r="Y49" s="18"/>
      <c r="Z49" s="79"/>
      <c r="AA49" s="18"/>
      <c r="AB49" s="18"/>
      <c r="AC49" s="18"/>
      <c r="AD49" s="18"/>
      <c r="AE49" s="18"/>
      <c r="AF49" s="79"/>
      <c r="AG49" s="18"/>
      <c r="AH49" s="18"/>
      <c r="AI49" s="18"/>
      <c r="AJ49" s="79"/>
      <c r="AK49" s="18"/>
      <c r="AL49" s="18"/>
      <c r="AM49" s="18"/>
      <c r="AN49" s="18"/>
      <c r="AO49" s="79"/>
      <c r="AP49" s="18"/>
      <c r="AQ49" s="18"/>
      <c r="AR49" s="18"/>
      <c r="AS49" s="18"/>
      <c r="AT49" s="79"/>
      <c r="AU49" s="18"/>
      <c r="AV49" s="18"/>
      <c r="AW49" s="18"/>
      <c r="AX49" s="18"/>
      <c r="AY49" s="79"/>
      <c r="AZ49" s="9" t="s">
        <v>1527</v>
      </c>
      <c r="BA49" s="9" t="s">
        <v>1420</v>
      </c>
      <c r="BB49" s="9" t="s">
        <v>1313</v>
      </c>
      <c r="BC49" s="9" t="s">
        <v>1205</v>
      </c>
      <c r="BD49" s="118"/>
    </row>
    <row r="50" spans="1:56" ht="16.5">
      <c r="A50" s="67">
        <v>49</v>
      </c>
      <c r="B50" s="7">
        <v>27</v>
      </c>
      <c r="C50" s="7">
        <v>34</v>
      </c>
      <c r="D50" s="119">
        <v>43</v>
      </c>
      <c r="E50" s="119">
        <v>49</v>
      </c>
      <c r="F50" s="120" t="s">
        <v>553</v>
      </c>
      <c r="G50" s="120" t="s">
        <v>744</v>
      </c>
      <c r="H50" s="79" t="s">
        <v>1749</v>
      </c>
      <c r="I50" s="79" t="s">
        <v>1727</v>
      </c>
      <c r="J50" s="79"/>
      <c r="K50" s="79"/>
      <c r="L50" s="79"/>
      <c r="M50" s="79"/>
      <c r="N50" s="79"/>
      <c r="O50" s="79"/>
      <c r="P50" s="18"/>
      <c r="Q50" s="18"/>
      <c r="R50" s="18"/>
      <c r="S50" s="18"/>
      <c r="T50" s="79"/>
      <c r="U50" s="18"/>
      <c r="V50" s="18"/>
      <c r="W50" s="18"/>
      <c r="X50" s="18"/>
      <c r="Y50" s="18"/>
      <c r="Z50" s="79"/>
      <c r="AA50" s="18"/>
      <c r="AB50" s="18"/>
      <c r="AC50" s="18"/>
      <c r="AD50" s="18"/>
      <c r="AE50" s="18"/>
      <c r="AF50" s="79"/>
      <c r="AG50" s="18"/>
      <c r="AH50" s="18"/>
      <c r="AI50" s="18"/>
      <c r="AJ50" s="79"/>
      <c r="AK50" s="18"/>
      <c r="AL50" s="18"/>
      <c r="AM50" s="18"/>
      <c r="AN50" s="18"/>
      <c r="AO50" s="79"/>
      <c r="AP50" s="18"/>
      <c r="AQ50" s="18"/>
      <c r="AR50" s="18"/>
      <c r="AS50" s="18"/>
      <c r="AT50" s="79"/>
      <c r="AU50" s="18"/>
      <c r="AV50" s="18"/>
      <c r="AW50" s="18"/>
      <c r="AX50" s="18"/>
      <c r="AY50" s="79"/>
      <c r="AZ50" s="9" t="s">
        <v>816</v>
      </c>
      <c r="BA50" s="9" t="s">
        <v>817</v>
      </c>
      <c r="BB50" s="9" t="s">
        <v>815</v>
      </c>
      <c r="BC50" s="9" t="s">
        <v>800</v>
      </c>
      <c r="BD50" s="118"/>
    </row>
    <row r="51" spans="1:56" ht="16.5">
      <c r="A51" s="67">
        <v>50</v>
      </c>
      <c r="B51" s="7">
        <v>28</v>
      </c>
      <c r="C51" s="7">
        <v>35</v>
      </c>
      <c r="D51" s="119">
        <v>44</v>
      </c>
      <c r="E51" s="119">
        <v>50</v>
      </c>
      <c r="F51" s="120" t="s">
        <v>555</v>
      </c>
      <c r="G51" s="120" t="s">
        <v>745</v>
      </c>
      <c r="H51" s="79" t="s">
        <v>1750</v>
      </c>
      <c r="I51" s="79" t="s">
        <v>1728</v>
      </c>
      <c r="J51" s="79"/>
      <c r="K51" s="79"/>
      <c r="L51" s="79"/>
      <c r="M51" s="79"/>
      <c r="N51" s="79"/>
      <c r="O51" s="79"/>
      <c r="P51" s="18"/>
      <c r="Q51" s="18"/>
      <c r="R51" s="18"/>
      <c r="S51" s="18"/>
      <c r="T51" s="79"/>
      <c r="U51" s="18"/>
      <c r="V51" s="18"/>
      <c r="W51" s="18"/>
      <c r="X51" s="18"/>
      <c r="Y51" s="18"/>
      <c r="Z51" s="79"/>
      <c r="AA51" s="18"/>
      <c r="AB51" s="18"/>
      <c r="AC51" s="18"/>
      <c r="AD51" s="18"/>
      <c r="AE51" s="18"/>
      <c r="AF51" s="79"/>
      <c r="AG51" s="18"/>
      <c r="AH51" s="18"/>
      <c r="AI51" s="18"/>
      <c r="AJ51" s="79"/>
      <c r="AK51" s="18"/>
      <c r="AL51" s="18"/>
      <c r="AM51" s="18"/>
      <c r="AN51" s="18"/>
      <c r="AO51" s="79"/>
      <c r="AP51" s="18"/>
      <c r="AQ51" s="18"/>
      <c r="AR51" s="18"/>
      <c r="AS51" s="18"/>
      <c r="AT51" s="79"/>
      <c r="AU51" s="18"/>
      <c r="AV51" s="18"/>
      <c r="AW51" s="18"/>
      <c r="AX51" s="18"/>
      <c r="AY51" s="79"/>
      <c r="AZ51" s="9" t="s">
        <v>1528</v>
      </c>
      <c r="BA51" s="9" t="s">
        <v>1421</v>
      </c>
      <c r="BB51" s="9" t="s">
        <v>1314</v>
      </c>
      <c r="BC51" s="9" t="s">
        <v>1206</v>
      </c>
      <c r="BD51" s="118"/>
    </row>
    <row r="52" spans="1:56" ht="16.5">
      <c r="A52" s="67">
        <v>51</v>
      </c>
      <c r="B52" s="7">
        <v>29</v>
      </c>
      <c r="C52" s="7">
        <v>36</v>
      </c>
      <c r="D52" s="119">
        <v>45</v>
      </c>
      <c r="E52" s="119">
        <v>51</v>
      </c>
      <c r="F52" s="120" t="s">
        <v>557</v>
      </c>
      <c r="G52" s="120" t="s">
        <v>746</v>
      </c>
      <c r="H52" s="79" t="s">
        <v>1717</v>
      </c>
      <c r="I52" s="79" t="s">
        <v>1729</v>
      </c>
      <c r="J52" s="79"/>
      <c r="K52" s="79"/>
      <c r="L52" s="79"/>
      <c r="M52" s="79"/>
      <c r="N52" s="79"/>
      <c r="O52" s="79"/>
      <c r="P52" s="18"/>
      <c r="Q52" s="18"/>
      <c r="R52" s="18"/>
      <c r="S52" s="18"/>
      <c r="T52" s="79"/>
      <c r="U52" s="18"/>
      <c r="V52" s="18"/>
      <c r="W52" s="18"/>
      <c r="X52" s="18"/>
      <c r="Y52" s="18"/>
      <c r="Z52" s="79"/>
      <c r="AA52" s="18"/>
      <c r="AB52" s="18"/>
      <c r="AC52" s="18"/>
      <c r="AD52" s="18"/>
      <c r="AE52" s="18"/>
      <c r="AF52" s="79"/>
      <c r="AG52" s="18"/>
      <c r="AH52" s="18"/>
      <c r="AI52" s="18"/>
      <c r="AJ52" s="79"/>
      <c r="AK52" s="18"/>
      <c r="AL52" s="18"/>
      <c r="AM52" s="18"/>
      <c r="AN52" s="18"/>
      <c r="AO52" s="79"/>
      <c r="AP52" s="18"/>
      <c r="AQ52" s="18"/>
      <c r="AR52" s="18"/>
      <c r="AS52" s="18"/>
      <c r="AT52" s="79"/>
      <c r="AU52" s="18"/>
      <c r="AV52" s="18"/>
      <c r="AW52" s="18"/>
      <c r="AX52" s="18"/>
      <c r="AY52" s="79"/>
      <c r="AZ52" s="9" t="s">
        <v>1529</v>
      </c>
      <c r="BA52" s="9" t="s">
        <v>1422</v>
      </c>
      <c r="BB52" s="9" t="s">
        <v>1315</v>
      </c>
      <c r="BC52" s="9" t="s">
        <v>1207</v>
      </c>
      <c r="BD52" s="118"/>
    </row>
    <row r="53" spans="1:56" ht="16.5">
      <c r="A53" s="67">
        <v>52</v>
      </c>
      <c r="B53" s="7">
        <v>30</v>
      </c>
      <c r="C53" s="7">
        <v>37</v>
      </c>
      <c r="D53" s="119">
        <v>46</v>
      </c>
      <c r="E53" s="119">
        <v>52</v>
      </c>
      <c r="F53" s="120" t="s">
        <v>559</v>
      </c>
      <c r="G53" s="120" t="s">
        <v>747</v>
      </c>
      <c r="H53" s="79" t="s">
        <v>1718</v>
      </c>
      <c r="I53" s="79" t="s">
        <v>1730</v>
      </c>
      <c r="J53" s="79"/>
      <c r="K53" s="79"/>
      <c r="L53" s="79"/>
      <c r="M53" s="79"/>
      <c r="N53" s="79"/>
      <c r="O53" s="79"/>
      <c r="P53" s="18"/>
      <c r="Q53" s="18"/>
      <c r="R53" s="18"/>
      <c r="S53" s="18"/>
      <c r="T53" s="79"/>
      <c r="U53" s="18"/>
      <c r="V53" s="18"/>
      <c r="W53" s="18"/>
      <c r="X53" s="18"/>
      <c r="Y53" s="18"/>
      <c r="Z53" s="79"/>
      <c r="AA53" s="18"/>
      <c r="AB53" s="18"/>
      <c r="AC53" s="18"/>
      <c r="AD53" s="18"/>
      <c r="AE53" s="18"/>
      <c r="AF53" s="79"/>
      <c r="AG53" s="18"/>
      <c r="AH53" s="18"/>
      <c r="AI53" s="18"/>
      <c r="AJ53" s="79"/>
      <c r="AK53" s="18"/>
      <c r="AL53" s="18"/>
      <c r="AM53" s="18"/>
      <c r="AN53" s="18"/>
      <c r="AO53" s="79"/>
      <c r="AP53" s="18"/>
      <c r="AQ53" s="18"/>
      <c r="AR53" s="18"/>
      <c r="AS53" s="18"/>
      <c r="AT53" s="79"/>
      <c r="AU53" s="18"/>
      <c r="AV53" s="18"/>
      <c r="AW53" s="18"/>
      <c r="AX53" s="18"/>
      <c r="AY53" s="79"/>
      <c r="AZ53" s="9" t="s">
        <v>1530</v>
      </c>
      <c r="BA53" s="9" t="s">
        <v>1423</v>
      </c>
      <c r="BB53" s="9" t="s">
        <v>1316</v>
      </c>
      <c r="BC53" s="9" t="s">
        <v>1208</v>
      </c>
      <c r="BD53" s="118"/>
    </row>
    <row r="54" spans="1:56" ht="16.5">
      <c r="A54" s="67">
        <v>53</v>
      </c>
      <c r="B54" s="7">
        <v>31</v>
      </c>
      <c r="C54" s="7">
        <v>38</v>
      </c>
      <c r="D54" s="119">
        <v>47</v>
      </c>
      <c r="E54" s="119">
        <v>53</v>
      </c>
      <c r="F54" s="120" t="s">
        <v>561</v>
      </c>
      <c r="G54" s="120" t="s">
        <v>748</v>
      </c>
      <c r="H54" s="79" t="s">
        <v>1715</v>
      </c>
      <c r="I54" s="79" t="s">
        <v>1731</v>
      </c>
      <c r="J54" s="79"/>
      <c r="K54" s="79"/>
      <c r="L54" s="79"/>
      <c r="M54" s="79"/>
      <c r="N54" s="79"/>
      <c r="O54" s="79"/>
      <c r="P54" s="18"/>
      <c r="Q54" s="18"/>
      <c r="R54" s="18"/>
      <c r="S54" s="18"/>
      <c r="T54" s="79"/>
      <c r="U54" s="18"/>
      <c r="V54" s="18"/>
      <c r="W54" s="18"/>
      <c r="X54" s="18"/>
      <c r="Y54" s="18"/>
      <c r="Z54" s="79"/>
      <c r="AA54" s="18"/>
      <c r="AB54" s="18"/>
      <c r="AC54" s="18"/>
      <c r="AD54" s="18"/>
      <c r="AE54" s="18"/>
      <c r="AF54" s="79"/>
      <c r="AG54" s="18"/>
      <c r="AH54" s="18"/>
      <c r="AI54" s="18"/>
      <c r="AJ54" s="79"/>
      <c r="AK54" s="18"/>
      <c r="AL54" s="18"/>
      <c r="AM54" s="18"/>
      <c r="AN54" s="18"/>
      <c r="AO54" s="79"/>
      <c r="AP54" s="18"/>
      <c r="AQ54" s="18"/>
      <c r="AR54" s="18"/>
      <c r="AS54" s="18"/>
      <c r="AT54" s="79"/>
      <c r="AU54" s="18"/>
      <c r="AV54" s="18"/>
      <c r="AW54" s="18"/>
      <c r="AX54" s="18"/>
      <c r="AY54" s="79"/>
      <c r="AZ54" s="9" t="s">
        <v>1531</v>
      </c>
      <c r="BA54" s="9" t="s">
        <v>1424</v>
      </c>
      <c r="BB54" s="9" t="s">
        <v>1317</v>
      </c>
      <c r="BC54" s="9" t="s">
        <v>1209</v>
      </c>
      <c r="BD54" s="118"/>
    </row>
    <row r="55" spans="1:56" ht="16.5">
      <c r="A55" s="67">
        <v>54</v>
      </c>
      <c r="B55" s="7">
        <v>32</v>
      </c>
      <c r="C55" s="7">
        <v>39</v>
      </c>
      <c r="D55" s="119">
        <v>48</v>
      </c>
      <c r="E55" s="119">
        <v>54</v>
      </c>
      <c r="F55" s="120" t="s">
        <v>563</v>
      </c>
      <c r="G55" s="120" t="s">
        <v>749</v>
      </c>
      <c r="H55" s="79" t="s">
        <v>1716</v>
      </c>
      <c r="I55" s="79" t="s">
        <v>1732</v>
      </c>
      <c r="J55" s="79"/>
      <c r="K55" s="79"/>
      <c r="L55" s="79"/>
      <c r="M55" s="79"/>
      <c r="N55" s="79"/>
      <c r="O55" s="79"/>
      <c r="P55" s="18"/>
      <c r="Q55" s="18"/>
      <c r="R55" s="18"/>
      <c r="S55" s="18"/>
      <c r="T55" s="79"/>
      <c r="U55" s="18"/>
      <c r="V55" s="18"/>
      <c r="W55" s="18"/>
      <c r="X55" s="18"/>
      <c r="Y55" s="18"/>
      <c r="Z55" s="79"/>
      <c r="AA55" s="18"/>
      <c r="AB55" s="18"/>
      <c r="AC55" s="18"/>
      <c r="AD55" s="18"/>
      <c r="AE55" s="18"/>
      <c r="AF55" s="79"/>
      <c r="AG55" s="18"/>
      <c r="AH55" s="18"/>
      <c r="AI55" s="18"/>
      <c r="AJ55" s="79"/>
      <c r="AK55" s="18"/>
      <c r="AL55" s="18"/>
      <c r="AM55" s="18"/>
      <c r="AN55" s="18"/>
      <c r="AO55" s="79"/>
      <c r="AP55" s="18"/>
      <c r="AQ55" s="18"/>
      <c r="AR55" s="18"/>
      <c r="AS55" s="18"/>
      <c r="AT55" s="79"/>
      <c r="AU55" s="18"/>
      <c r="AV55" s="18"/>
      <c r="AW55" s="18"/>
      <c r="AX55" s="18"/>
      <c r="AY55" s="79"/>
      <c r="AZ55" s="9" t="s">
        <v>1532</v>
      </c>
      <c r="BA55" s="9" t="s">
        <v>1425</v>
      </c>
      <c r="BB55" s="9" t="s">
        <v>1318</v>
      </c>
      <c r="BC55" s="9" t="s">
        <v>1210</v>
      </c>
      <c r="BD55" s="118"/>
    </row>
    <row r="56" spans="1:56" ht="16.5">
      <c r="A56" s="67">
        <v>55</v>
      </c>
      <c r="B56" s="7">
        <v>33</v>
      </c>
      <c r="C56" s="7">
        <v>40</v>
      </c>
      <c r="D56" s="119">
        <v>49</v>
      </c>
      <c r="E56" s="119">
        <v>55</v>
      </c>
      <c r="F56" s="120" t="s">
        <v>82</v>
      </c>
      <c r="G56" s="120" t="s">
        <v>240</v>
      </c>
      <c r="H56" s="79"/>
      <c r="I56" s="79"/>
      <c r="J56" s="79"/>
      <c r="K56" s="79"/>
      <c r="L56" s="79"/>
      <c r="M56" s="79"/>
      <c r="N56" s="79"/>
      <c r="O56" s="79"/>
      <c r="P56" s="18"/>
      <c r="Q56" s="18"/>
      <c r="R56" s="18"/>
      <c r="S56" s="18"/>
      <c r="T56" s="79"/>
      <c r="U56" s="18"/>
      <c r="V56" s="18"/>
      <c r="W56" s="18"/>
      <c r="X56" s="18"/>
      <c r="Y56" s="18"/>
      <c r="Z56" s="79"/>
      <c r="AA56" s="18"/>
      <c r="AB56" s="18"/>
      <c r="AC56" s="18"/>
      <c r="AD56" s="18"/>
      <c r="AE56" s="18"/>
      <c r="AF56" s="79"/>
      <c r="AG56" s="18"/>
      <c r="AH56" s="18"/>
      <c r="AI56" s="18"/>
      <c r="AJ56" s="79"/>
      <c r="AK56" s="18"/>
      <c r="AL56" s="18"/>
      <c r="AM56" s="18"/>
      <c r="AN56" s="18"/>
      <c r="AO56" s="79"/>
      <c r="AP56" s="18"/>
      <c r="AQ56" s="18"/>
      <c r="AR56" s="18"/>
      <c r="AS56" s="18"/>
      <c r="AT56" s="79"/>
      <c r="AU56" s="18"/>
      <c r="AV56" s="18"/>
      <c r="AW56" s="18"/>
      <c r="AX56" s="18"/>
      <c r="AY56" s="79"/>
      <c r="AZ56" s="9" t="s">
        <v>1284</v>
      </c>
      <c r="BA56" s="9" t="s">
        <v>1284</v>
      </c>
      <c r="BB56" s="9" t="s">
        <v>1284</v>
      </c>
      <c r="BC56" s="9"/>
      <c r="BD56" s="118"/>
    </row>
    <row r="57" spans="1:56" ht="16.5">
      <c r="A57" s="67">
        <v>56</v>
      </c>
      <c r="B57" s="7">
        <v>34</v>
      </c>
      <c r="C57" s="7">
        <v>41</v>
      </c>
      <c r="D57" s="119">
        <v>50</v>
      </c>
      <c r="E57" s="119">
        <v>56</v>
      </c>
      <c r="F57" s="120" t="s">
        <v>565</v>
      </c>
      <c r="G57" s="120" t="s">
        <v>750</v>
      </c>
      <c r="H57" s="79" t="s">
        <v>566</v>
      </c>
      <c r="I57" s="79" t="s">
        <v>567</v>
      </c>
      <c r="J57" s="79" t="s">
        <v>1796</v>
      </c>
      <c r="K57" s="79" t="s">
        <v>2175</v>
      </c>
      <c r="L57" s="79"/>
      <c r="M57" s="79"/>
      <c r="N57" s="79"/>
      <c r="O57" s="79"/>
      <c r="P57" s="18"/>
      <c r="Q57" s="18"/>
      <c r="R57" s="18"/>
      <c r="S57" s="18"/>
      <c r="T57" s="79"/>
      <c r="U57" s="18"/>
      <c r="V57" s="18"/>
      <c r="W57" s="18"/>
      <c r="X57" s="18"/>
      <c r="Y57" s="18"/>
      <c r="Z57" s="79"/>
      <c r="AA57" s="18"/>
      <c r="AB57" s="18"/>
      <c r="AC57" s="18"/>
      <c r="AD57" s="18"/>
      <c r="AE57" s="18"/>
      <c r="AF57" s="79"/>
      <c r="AG57" s="18"/>
      <c r="AH57" s="18"/>
      <c r="AI57" s="18"/>
      <c r="AJ57" s="79"/>
      <c r="AK57" s="18"/>
      <c r="AL57" s="18"/>
      <c r="AM57" s="18"/>
      <c r="AN57" s="18"/>
      <c r="AO57" s="79"/>
      <c r="AP57" s="18"/>
      <c r="AQ57" s="18"/>
      <c r="AR57" s="18"/>
      <c r="AS57" s="18"/>
      <c r="AT57" s="79"/>
      <c r="AU57" s="18"/>
      <c r="AV57" s="18"/>
      <c r="AW57" s="18"/>
      <c r="AX57" s="18"/>
      <c r="AY57" s="79"/>
      <c r="AZ57" s="9" t="s">
        <v>888</v>
      </c>
      <c r="BA57" s="9" t="s">
        <v>874</v>
      </c>
      <c r="BB57" s="9" t="s">
        <v>860</v>
      </c>
      <c r="BC57" s="9" t="s">
        <v>804</v>
      </c>
      <c r="BD57" s="118"/>
    </row>
    <row r="58" spans="1:56" ht="16.5">
      <c r="A58" s="67">
        <v>57</v>
      </c>
      <c r="B58" s="7">
        <v>35</v>
      </c>
      <c r="C58" s="7">
        <v>42</v>
      </c>
      <c r="D58" s="119">
        <v>51</v>
      </c>
      <c r="E58" s="119">
        <v>57</v>
      </c>
      <c r="F58" s="120" t="s">
        <v>83</v>
      </c>
      <c r="G58" s="120" t="s">
        <v>467</v>
      </c>
      <c r="H58" s="79"/>
      <c r="I58" s="79"/>
      <c r="J58" s="79"/>
      <c r="K58" s="79"/>
      <c r="L58" s="79"/>
      <c r="M58" s="79"/>
      <c r="N58" s="79"/>
      <c r="O58" s="79"/>
      <c r="P58" s="18"/>
      <c r="Q58" s="18"/>
      <c r="R58" s="18"/>
      <c r="S58" s="18"/>
      <c r="T58" s="79"/>
      <c r="U58" s="18"/>
      <c r="V58" s="18"/>
      <c r="W58" s="18"/>
      <c r="X58" s="18"/>
      <c r="Y58" s="18"/>
      <c r="Z58" s="79"/>
      <c r="AA58" s="18"/>
      <c r="AB58" s="18"/>
      <c r="AC58" s="18"/>
      <c r="AD58" s="18"/>
      <c r="AE58" s="18"/>
      <c r="AF58" s="79"/>
      <c r="AG58" s="18"/>
      <c r="AH58" s="18"/>
      <c r="AI58" s="18"/>
      <c r="AJ58" s="79"/>
      <c r="AK58" s="18"/>
      <c r="AL58" s="18"/>
      <c r="AM58" s="18"/>
      <c r="AN58" s="18"/>
      <c r="AO58" s="79"/>
      <c r="AP58" s="18"/>
      <c r="AQ58" s="18"/>
      <c r="AR58" s="18"/>
      <c r="AS58" s="18"/>
      <c r="AT58" s="79"/>
      <c r="AU58" s="18"/>
      <c r="AV58" s="18"/>
      <c r="AW58" s="18"/>
      <c r="AX58" s="18"/>
      <c r="AY58" s="79"/>
      <c r="AZ58" s="9" t="s">
        <v>1284</v>
      </c>
      <c r="BA58" s="9" t="s">
        <v>1284</v>
      </c>
      <c r="BB58" s="9" t="s">
        <v>1284</v>
      </c>
      <c r="BC58" s="9"/>
      <c r="BD58" s="118"/>
    </row>
    <row r="59" spans="1:56" ht="16.5">
      <c r="A59" s="67">
        <v>58</v>
      </c>
      <c r="B59" s="7">
        <v>36</v>
      </c>
      <c r="C59" s="7">
        <v>43</v>
      </c>
      <c r="D59" s="119">
        <v>52</v>
      </c>
      <c r="E59" s="119">
        <v>58</v>
      </c>
      <c r="F59" s="120" t="s">
        <v>570</v>
      </c>
      <c r="G59" s="120" t="s">
        <v>751</v>
      </c>
      <c r="H59" s="79" t="s">
        <v>571</v>
      </c>
      <c r="I59" s="79" t="s">
        <v>572</v>
      </c>
      <c r="J59" s="79" t="s">
        <v>1797</v>
      </c>
      <c r="K59" s="79" t="s">
        <v>2201</v>
      </c>
      <c r="L59" s="79"/>
      <c r="M59" s="79"/>
      <c r="N59" s="79"/>
      <c r="O59" s="79"/>
      <c r="P59" s="18"/>
      <c r="Q59" s="18"/>
      <c r="R59" s="18"/>
      <c r="S59" s="18"/>
      <c r="T59" s="79"/>
      <c r="U59" s="18"/>
      <c r="V59" s="18"/>
      <c r="W59" s="18"/>
      <c r="X59" s="18"/>
      <c r="Y59" s="18"/>
      <c r="Z59" s="79"/>
      <c r="AA59" s="18"/>
      <c r="AB59" s="18"/>
      <c r="AC59" s="18"/>
      <c r="AD59" s="18"/>
      <c r="AE59" s="18"/>
      <c r="AF59" s="79"/>
      <c r="AG59" s="18"/>
      <c r="AH59" s="18"/>
      <c r="AI59" s="18"/>
      <c r="AJ59" s="79"/>
      <c r="AK59" s="18"/>
      <c r="AL59" s="18"/>
      <c r="AM59" s="18"/>
      <c r="AN59" s="18"/>
      <c r="AO59" s="79"/>
      <c r="AP59" s="18"/>
      <c r="AQ59" s="18"/>
      <c r="AR59" s="18"/>
      <c r="AS59" s="18"/>
      <c r="AT59" s="79"/>
      <c r="AU59" s="18"/>
      <c r="AV59" s="18"/>
      <c r="AW59" s="18"/>
      <c r="AX59" s="18"/>
      <c r="AY59" s="79"/>
      <c r="AZ59" s="9" t="s">
        <v>1533</v>
      </c>
      <c r="BA59" s="9" t="s">
        <v>1426</v>
      </c>
      <c r="BB59" s="9" t="s">
        <v>1319</v>
      </c>
      <c r="BC59" s="9" t="s">
        <v>1211</v>
      </c>
      <c r="BD59" s="118"/>
    </row>
    <row r="60" spans="1:56" ht="16.5">
      <c r="A60" s="67">
        <v>59</v>
      </c>
      <c r="B60" s="7"/>
      <c r="C60" s="7">
        <v>44</v>
      </c>
      <c r="D60" s="119">
        <v>53</v>
      </c>
      <c r="E60" s="119">
        <v>59</v>
      </c>
      <c r="F60" s="120" t="s">
        <v>575</v>
      </c>
      <c r="G60" s="120" t="s">
        <v>752</v>
      </c>
      <c r="H60" s="79" t="s">
        <v>576</v>
      </c>
      <c r="I60" s="79" t="s">
        <v>577</v>
      </c>
      <c r="J60" s="79"/>
      <c r="K60" s="79"/>
      <c r="L60" s="79"/>
      <c r="M60" s="79"/>
      <c r="N60" s="79"/>
      <c r="O60" s="79"/>
      <c r="P60" s="18"/>
      <c r="Q60" s="18"/>
      <c r="R60" s="18"/>
      <c r="S60" s="18"/>
      <c r="T60" s="79"/>
      <c r="U60" s="18"/>
      <c r="V60" s="18"/>
      <c r="W60" s="18"/>
      <c r="X60" s="18"/>
      <c r="Y60" s="18"/>
      <c r="Z60" s="79"/>
      <c r="AA60" s="18"/>
      <c r="AB60" s="18"/>
      <c r="AC60" s="18"/>
      <c r="AD60" s="18"/>
      <c r="AE60" s="18"/>
      <c r="AF60" s="79"/>
      <c r="AG60" s="18"/>
      <c r="AH60" s="18"/>
      <c r="AI60" s="18"/>
      <c r="AJ60" s="79"/>
      <c r="AK60" s="18"/>
      <c r="AL60" s="18"/>
      <c r="AM60" s="18"/>
      <c r="AN60" s="18"/>
      <c r="AO60" s="79"/>
      <c r="AP60" s="18"/>
      <c r="AQ60" s="18"/>
      <c r="AR60" s="18"/>
      <c r="AS60" s="18"/>
      <c r="AT60" s="79"/>
      <c r="AU60" s="18"/>
      <c r="AV60" s="18"/>
      <c r="AW60" s="18"/>
      <c r="AX60" s="18"/>
      <c r="AY60" s="79"/>
      <c r="AZ60" s="9" t="s">
        <v>1534</v>
      </c>
      <c r="BA60" s="9" t="s">
        <v>1427</v>
      </c>
      <c r="BB60" s="9" t="s">
        <v>1320</v>
      </c>
      <c r="BC60" s="9" t="s">
        <v>1212</v>
      </c>
      <c r="BD60" s="118"/>
    </row>
    <row r="61" spans="1:56" ht="16.5">
      <c r="A61" s="67">
        <v>60</v>
      </c>
      <c r="B61" s="7"/>
      <c r="C61" s="7">
        <v>45</v>
      </c>
      <c r="D61" s="119">
        <v>54</v>
      </c>
      <c r="E61" s="119">
        <v>60</v>
      </c>
      <c r="F61" s="120" t="s">
        <v>578</v>
      </c>
      <c r="G61" s="120" t="s">
        <v>753</v>
      </c>
      <c r="H61" s="79" t="s">
        <v>579</v>
      </c>
      <c r="I61" s="79" t="s">
        <v>580</v>
      </c>
      <c r="J61" s="79" t="s">
        <v>1755</v>
      </c>
      <c r="K61" s="79" t="s">
        <v>1764</v>
      </c>
      <c r="L61" s="79"/>
      <c r="M61" s="79"/>
      <c r="N61" s="79"/>
      <c r="O61" s="79"/>
      <c r="P61" s="18"/>
      <c r="Q61" s="18"/>
      <c r="R61" s="18"/>
      <c r="S61" s="18"/>
      <c r="T61" s="79"/>
      <c r="U61" s="18"/>
      <c r="V61" s="18"/>
      <c r="W61" s="18"/>
      <c r="X61" s="18"/>
      <c r="Y61" s="18"/>
      <c r="Z61" s="79"/>
      <c r="AA61" s="18"/>
      <c r="AB61" s="18"/>
      <c r="AC61" s="18"/>
      <c r="AD61" s="18"/>
      <c r="AE61" s="18"/>
      <c r="AF61" s="79"/>
      <c r="AG61" s="18"/>
      <c r="AH61" s="18"/>
      <c r="AI61" s="18"/>
      <c r="AJ61" s="79"/>
      <c r="AK61" s="18"/>
      <c r="AL61" s="18"/>
      <c r="AM61" s="18"/>
      <c r="AN61" s="18"/>
      <c r="AO61" s="79"/>
      <c r="AP61" s="18"/>
      <c r="AQ61" s="18"/>
      <c r="AR61" s="18"/>
      <c r="AS61" s="18"/>
      <c r="AT61" s="79"/>
      <c r="AU61" s="18"/>
      <c r="AV61" s="18"/>
      <c r="AW61" s="18"/>
      <c r="AX61" s="18"/>
      <c r="AY61" s="79"/>
      <c r="AZ61" s="9" t="s">
        <v>1535</v>
      </c>
      <c r="BA61" s="9" t="s">
        <v>1428</v>
      </c>
      <c r="BB61" s="9" t="s">
        <v>1321</v>
      </c>
      <c r="BC61" s="9" t="s">
        <v>1213</v>
      </c>
      <c r="BD61" s="118"/>
    </row>
    <row r="62" spans="1:56" ht="16.5">
      <c r="A62" s="67">
        <v>61</v>
      </c>
      <c r="B62" s="7"/>
      <c r="C62" s="7">
        <v>46</v>
      </c>
      <c r="D62" s="119">
        <v>55</v>
      </c>
      <c r="E62" s="119">
        <v>61</v>
      </c>
      <c r="F62" s="120" t="s">
        <v>582</v>
      </c>
      <c r="G62" s="120" t="s">
        <v>754</v>
      </c>
      <c r="H62" s="79" t="s">
        <v>583</v>
      </c>
      <c r="I62" s="79" t="s">
        <v>584</v>
      </c>
      <c r="J62" s="79" t="s">
        <v>1756</v>
      </c>
      <c r="K62" s="79" t="s">
        <v>1765</v>
      </c>
      <c r="L62" s="79" t="s">
        <v>1824</v>
      </c>
      <c r="M62" s="79"/>
      <c r="N62" s="79"/>
      <c r="O62" s="79"/>
      <c r="P62" s="18"/>
      <c r="Q62" s="18"/>
      <c r="R62" s="18"/>
      <c r="S62" s="18"/>
      <c r="T62" s="79"/>
      <c r="U62" s="18"/>
      <c r="V62" s="18"/>
      <c r="W62" s="18"/>
      <c r="X62" s="18"/>
      <c r="Y62" s="18"/>
      <c r="Z62" s="79"/>
      <c r="AA62" s="18"/>
      <c r="AB62" s="18"/>
      <c r="AC62" s="18"/>
      <c r="AD62" s="18"/>
      <c r="AE62" s="18"/>
      <c r="AF62" s="79"/>
      <c r="AG62" s="18"/>
      <c r="AH62" s="18"/>
      <c r="AI62" s="18"/>
      <c r="AJ62" s="79"/>
      <c r="AK62" s="18"/>
      <c r="AL62" s="18"/>
      <c r="AM62" s="18"/>
      <c r="AN62" s="18"/>
      <c r="AO62" s="79"/>
      <c r="AP62" s="18"/>
      <c r="AQ62" s="18"/>
      <c r="AR62" s="18"/>
      <c r="AS62" s="18"/>
      <c r="AT62" s="79"/>
      <c r="AU62" s="18"/>
      <c r="AV62" s="18"/>
      <c r="AW62" s="18"/>
      <c r="AX62" s="18"/>
      <c r="AY62" s="79"/>
      <c r="AZ62" s="9" t="s">
        <v>1536</v>
      </c>
      <c r="BA62" s="9" t="s">
        <v>1429</v>
      </c>
      <c r="BB62" s="9" t="s">
        <v>1322</v>
      </c>
      <c r="BC62" s="9" t="s">
        <v>1214</v>
      </c>
      <c r="BD62" s="118"/>
    </row>
    <row r="63" spans="1:56" ht="16.5">
      <c r="A63" s="67">
        <v>62</v>
      </c>
      <c r="B63" s="7">
        <v>37</v>
      </c>
      <c r="C63" s="7">
        <v>47</v>
      </c>
      <c r="D63" s="119">
        <v>56</v>
      </c>
      <c r="E63" s="119">
        <v>62</v>
      </c>
      <c r="F63" s="120" t="s">
        <v>587</v>
      </c>
      <c r="G63" s="120" t="s">
        <v>755</v>
      </c>
      <c r="H63" s="79" t="s">
        <v>588</v>
      </c>
      <c r="I63" s="79" t="s">
        <v>589</v>
      </c>
      <c r="J63" s="79" t="s">
        <v>1757</v>
      </c>
      <c r="K63" s="79" t="s">
        <v>1766</v>
      </c>
      <c r="L63" s="79" t="s">
        <v>1825</v>
      </c>
      <c r="M63" s="79"/>
      <c r="N63" s="79"/>
      <c r="O63" s="79"/>
      <c r="P63" s="18"/>
      <c r="Q63" s="18"/>
      <c r="R63" s="18"/>
      <c r="S63" s="18"/>
      <c r="T63" s="79"/>
      <c r="U63" s="18"/>
      <c r="V63" s="18"/>
      <c r="W63" s="18"/>
      <c r="X63" s="18"/>
      <c r="Y63" s="18"/>
      <c r="Z63" s="79"/>
      <c r="AA63" s="18"/>
      <c r="AB63" s="18"/>
      <c r="AC63" s="18"/>
      <c r="AD63" s="18"/>
      <c r="AE63" s="18"/>
      <c r="AF63" s="79"/>
      <c r="AG63" s="18"/>
      <c r="AH63" s="18"/>
      <c r="AI63" s="18"/>
      <c r="AJ63" s="79"/>
      <c r="AK63" s="18"/>
      <c r="AL63" s="18"/>
      <c r="AM63" s="18"/>
      <c r="AN63" s="18"/>
      <c r="AO63" s="79"/>
      <c r="AP63" s="18"/>
      <c r="AQ63" s="18"/>
      <c r="AR63" s="18"/>
      <c r="AS63" s="18"/>
      <c r="AT63" s="79"/>
      <c r="AU63" s="18"/>
      <c r="AV63" s="18"/>
      <c r="AW63" s="18"/>
      <c r="AX63" s="18"/>
      <c r="AY63" s="79"/>
      <c r="AZ63" s="9" t="s">
        <v>1537</v>
      </c>
      <c r="BA63" s="9" t="s">
        <v>1430</v>
      </c>
      <c r="BB63" s="9" t="s">
        <v>1323</v>
      </c>
      <c r="BC63" s="9" t="s">
        <v>1215</v>
      </c>
      <c r="BD63" s="118"/>
    </row>
    <row r="64" spans="1:56" ht="16.5">
      <c r="A64" s="67">
        <v>63</v>
      </c>
      <c r="B64" s="7"/>
      <c r="C64" s="7"/>
      <c r="D64" s="119">
        <v>57</v>
      </c>
      <c r="E64" s="119">
        <v>63</v>
      </c>
      <c r="F64" s="120" t="s">
        <v>591</v>
      </c>
      <c r="G64" s="120" t="s">
        <v>756</v>
      </c>
      <c r="H64" s="79"/>
      <c r="I64" s="79"/>
      <c r="J64" s="79"/>
      <c r="K64" s="79"/>
      <c r="L64" s="79"/>
      <c r="M64" s="79"/>
      <c r="N64" s="79"/>
      <c r="O64" s="79"/>
      <c r="P64" s="18"/>
      <c r="Q64" s="18"/>
      <c r="R64" s="18"/>
      <c r="S64" s="18"/>
      <c r="T64" s="79"/>
      <c r="U64" s="18"/>
      <c r="V64" s="18"/>
      <c r="W64" s="18"/>
      <c r="X64" s="18"/>
      <c r="Y64" s="18"/>
      <c r="Z64" s="79"/>
      <c r="AA64" s="18"/>
      <c r="AB64" s="18"/>
      <c r="AC64" s="18"/>
      <c r="AD64" s="18"/>
      <c r="AE64" s="18"/>
      <c r="AF64" s="79"/>
      <c r="AG64" s="18"/>
      <c r="AH64" s="18"/>
      <c r="AI64" s="18"/>
      <c r="AJ64" s="79"/>
      <c r="AK64" s="18"/>
      <c r="AL64" s="18"/>
      <c r="AM64" s="18"/>
      <c r="AN64" s="18"/>
      <c r="AO64" s="79"/>
      <c r="AP64" s="18"/>
      <c r="AQ64" s="18"/>
      <c r="AR64" s="18"/>
      <c r="AS64" s="18"/>
      <c r="AT64" s="79"/>
      <c r="AU64" s="18"/>
      <c r="AV64" s="18"/>
      <c r="AW64" s="18"/>
      <c r="AX64" s="18"/>
      <c r="AY64" s="79"/>
      <c r="AZ64" s="9" t="s">
        <v>1538</v>
      </c>
      <c r="BA64" s="9" t="s">
        <v>1431</v>
      </c>
      <c r="BB64" s="9" t="s">
        <v>1324</v>
      </c>
      <c r="BC64" s="9" t="s">
        <v>1216</v>
      </c>
      <c r="BD64" s="118"/>
    </row>
    <row r="65" spans="1:56" ht="16.5">
      <c r="A65" s="67">
        <v>64</v>
      </c>
      <c r="B65" s="7"/>
      <c r="C65" s="7"/>
      <c r="D65" s="119"/>
      <c r="E65" s="119">
        <v>64</v>
      </c>
      <c r="F65" s="120" t="s">
        <v>592</v>
      </c>
      <c r="G65" s="120" t="s">
        <v>757</v>
      </c>
      <c r="H65" s="79"/>
      <c r="I65" s="79"/>
      <c r="J65" s="79"/>
      <c r="K65" s="79"/>
      <c r="L65" s="79"/>
      <c r="M65" s="79"/>
      <c r="N65" s="79"/>
      <c r="O65" s="79"/>
      <c r="P65" s="18"/>
      <c r="Q65" s="18"/>
      <c r="R65" s="18"/>
      <c r="S65" s="18"/>
      <c r="T65" s="79"/>
      <c r="U65" s="18"/>
      <c r="V65" s="18"/>
      <c r="W65" s="18"/>
      <c r="X65" s="18"/>
      <c r="Y65" s="18"/>
      <c r="Z65" s="79"/>
      <c r="AA65" s="18"/>
      <c r="AB65" s="18"/>
      <c r="AC65" s="18"/>
      <c r="AD65" s="18"/>
      <c r="AE65" s="18"/>
      <c r="AF65" s="79"/>
      <c r="AG65" s="18"/>
      <c r="AH65" s="18"/>
      <c r="AI65" s="18"/>
      <c r="AJ65" s="79"/>
      <c r="AK65" s="18"/>
      <c r="AL65" s="18"/>
      <c r="AM65" s="18"/>
      <c r="AN65" s="18"/>
      <c r="AO65" s="79"/>
      <c r="AP65" s="18"/>
      <c r="AQ65" s="18"/>
      <c r="AR65" s="18"/>
      <c r="AS65" s="18"/>
      <c r="AT65" s="79"/>
      <c r="AU65" s="18"/>
      <c r="AV65" s="18"/>
      <c r="AW65" s="18"/>
      <c r="AX65" s="18"/>
      <c r="AY65" s="79"/>
      <c r="AZ65" s="9" t="s">
        <v>1539</v>
      </c>
      <c r="BA65" s="9" t="s">
        <v>1432</v>
      </c>
      <c r="BB65" s="9" t="s">
        <v>1325</v>
      </c>
      <c r="BC65" s="9" t="s">
        <v>1217</v>
      </c>
      <c r="BD65" s="118"/>
    </row>
    <row r="66" spans="1:56" ht="16.5">
      <c r="A66" s="67">
        <v>65</v>
      </c>
      <c r="B66" s="7">
        <v>38</v>
      </c>
      <c r="C66" s="7">
        <v>48</v>
      </c>
      <c r="D66" s="119">
        <v>58</v>
      </c>
      <c r="E66" s="119">
        <v>65</v>
      </c>
      <c r="F66" s="120" t="s">
        <v>593</v>
      </c>
      <c r="G66" s="120" t="s">
        <v>758</v>
      </c>
      <c r="H66" s="79" t="s">
        <v>1739</v>
      </c>
      <c r="I66" s="79" t="s">
        <v>595</v>
      </c>
      <c r="J66" s="79"/>
      <c r="K66" s="79"/>
      <c r="L66" s="79"/>
      <c r="M66" s="79"/>
      <c r="N66" s="79"/>
      <c r="O66" s="79"/>
      <c r="P66" s="18"/>
      <c r="Q66" s="18"/>
      <c r="R66" s="18"/>
      <c r="S66" s="18"/>
      <c r="T66" s="79"/>
      <c r="U66" s="18"/>
      <c r="V66" s="18"/>
      <c r="W66" s="18"/>
      <c r="X66" s="18"/>
      <c r="Y66" s="18"/>
      <c r="Z66" s="79"/>
      <c r="AA66" s="18"/>
      <c r="AB66" s="18"/>
      <c r="AC66" s="18"/>
      <c r="AD66" s="18"/>
      <c r="AE66" s="18"/>
      <c r="AF66" s="79"/>
      <c r="AG66" s="18"/>
      <c r="AH66" s="18"/>
      <c r="AI66" s="18"/>
      <c r="AJ66" s="79"/>
      <c r="AK66" s="18"/>
      <c r="AL66" s="18"/>
      <c r="AM66" s="18"/>
      <c r="AN66" s="18"/>
      <c r="AO66" s="79"/>
      <c r="AP66" s="18"/>
      <c r="AQ66" s="18"/>
      <c r="AR66" s="18"/>
      <c r="AS66" s="18"/>
      <c r="AT66" s="79"/>
      <c r="AU66" s="18"/>
      <c r="AV66" s="18"/>
      <c r="AW66" s="18"/>
      <c r="AX66" s="18"/>
      <c r="AY66" s="79"/>
      <c r="AZ66" s="9" t="s">
        <v>889</v>
      </c>
      <c r="BA66" s="9" t="s">
        <v>875</v>
      </c>
      <c r="BB66" s="9" t="s">
        <v>861</v>
      </c>
      <c r="BC66" s="9" t="s">
        <v>805</v>
      </c>
      <c r="BD66" s="118"/>
    </row>
    <row r="67" spans="1:56" ht="16.5">
      <c r="A67" s="67">
        <v>66</v>
      </c>
      <c r="B67" s="7">
        <v>39</v>
      </c>
      <c r="C67" s="7">
        <v>49</v>
      </c>
      <c r="D67" s="119">
        <v>59</v>
      </c>
      <c r="E67" s="119">
        <v>66</v>
      </c>
      <c r="F67" s="120" t="s">
        <v>596</v>
      </c>
      <c r="G67" s="120" t="s">
        <v>759</v>
      </c>
      <c r="H67" s="79" t="s">
        <v>1740</v>
      </c>
      <c r="I67" s="79" t="s">
        <v>598</v>
      </c>
      <c r="J67" s="79"/>
      <c r="K67" s="79"/>
      <c r="L67" s="79"/>
      <c r="M67" s="79"/>
      <c r="N67" s="79"/>
      <c r="O67" s="79"/>
      <c r="P67" s="18"/>
      <c r="Q67" s="18"/>
      <c r="R67" s="18"/>
      <c r="S67" s="18"/>
      <c r="T67" s="79"/>
      <c r="U67" s="18"/>
      <c r="V67" s="18"/>
      <c r="W67" s="18"/>
      <c r="X67" s="18"/>
      <c r="Y67" s="18"/>
      <c r="Z67" s="79"/>
      <c r="AA67" s="18"/>
      <c r="AB67" s="18"/>
      <c r="AC67" s="18"/>
      <c r="AD67" s="18"/>
      <c r="AE67" s="18"/>
      <c r="AF67" s="79"/>
      <c r="AG67" s="18"/>
      <c r="AH67" s="18"/>
      <c r="AI67" s="18"/>
      <c r="AJ67" s="79"/>
      <c r="AK67" s="18"/>
      <c r="AL67" s="18"/>
      <c r="AM67" s="18"/>
      <c r="AN67" s="18"/>
      <c r="AO67" s="79"/>
      <c r="AP67" s="18"/>
      <c r="AQ67" s="18"/>
      <c r="AR67" s="18"/>
      <c r="AS67" s="18"/>
      <c r="AT67" s="79"/>
      <c r="AU67" s="18"/>
      <c r="AV67" s="18"/>
      <c r="AW67" s="18"/>
      <c r="AX67" s="18"/>
      <c r="AY67" s="79"/>
      <c r="AZ67" s="9" t="s">
        <v>1540</v>
      </c>
      <c r="BA67" s="9" t="s">
        <v>1433</v>
      </c>
      <c r="BB67" s="9" t="s">
        <v>1326</v>
      </c>
      <c r="BC67" s="9" t="s">
        <v>1218</v>
      </c>
      <c r="BD67" s="118"/>
    </row>
    <row r="68" spans="1:56" ht="16.5">
      <c r="A68" s="67">
        <v>67</v>
      </c>
      <c r="B68" s="7"/>
      <c r="C68" s="7"/>
      <c r="D68" s="119">
        <v>60</v>
      </c>
      <c r="E68" s="119">
        <v>67</v>
      </c>
      <c r="F68" s="120" t="s">
        <v>599</v>
      </c>
      <c r="G68" s="120" t="s">
        <v>760</v>
      </c>
      <c r="H68" s="79" t="s">
        <v>1741</v>
      </c>
      <c r="I68" s="79" t="s">
        <v>601</v>
      </c>
      <c r="J68" s="79"/>
      <c r="K68" s="79"/>
      <c r="L68" s="79"/>
      <c r="M68" s="79"/>
      <c r="N68" s="79"/>
      <c r="O68" s="79"/>
      <c r="P68" s="18"/>
      <c r="Q68" s="18"/>
      <c r="R68" s="18"/>
      <c r="S68" s="18"/>
      <c r="T68" s="79"/>
      <c r="U68" s="18"/>
      <c r="V68" s="18"/>
      <c r="W68" s="18"/>
      <c r="X68" s="18"/>
      <c r="Y68" s="18"/>
      <c r="Z68" s="79"/>
      <c r="AA68" s="18"/>
      <c r="AB68" s="18"/>
      <c r="AC68" s="18"/>
      <c r="AD68" s="18"/>
      <c r="AE68" s="18"/>
      <c r="AF68" s="79"/>
      <c r="AG68" s="18"/>
      <c r="AH68" s="18"/>
      <c r="AI68" s="18"/>
      <c r="AJ68" s="79"/>
      <c r="AK68" s="18"/>
      <c r="AL68" s="18"/>
      <c r="AM68" s="18"/>
      <c r="AN68" s="18"/>
      <c r="AO68" s="79"/>
      <c r="AP68" s="18"/>
      <c r="AQ68" s="18"/>
      <c r="AR68" s="18"/>
      <c r="AS68" s="18"/>
      <c r="AT68" s="79"/>
      <c r="AU68" s="18"/>
      <c r="AV68" s="18"/>
      <c r="AW68" s="18"/>
      <c r="AX68" s="18"/>
      <c r="AY68" s="79"/>
      <c r="AZ68" s="9" t="s">
        <v>1541</v>
      </c>
      <c r="BA68" s="9" t="s">
        <v>1434</v>
      </c>
      <c r="BB68" s="9" t="s">
        <v>1327</v>
      </c>
      <c r="BC68" s="9" t="s">
        <v>1219</v>
      </c>
      <c r="BD68" s="118"/>
    </row>
    <row r="69" spans="1:56" ht="16.5">
      <c r="A69" s="67">
        <v>68</v>
      </c>
      <c r="B69" s="7"/>
      <c r="C69" s="7"/>
      <c r="D69" s="119">
        <v>61</v>
      </c>
      <c r="E69" s="119">
        <v>68</v>
      </c>
      <c r="F69" s="120" t="s">
        <v>602</v>
      </c>
      <c r="G69" s="120" t="s">
        <v>761</v>
      </c>
      <c r="H69" s="79" t="s">
        <v>1742</v>
      </c>
      <c r="I69" s="79" t="s">
        <v>604</v>
      </c>
      <c r="J69" s="79"/>
      <c r="K69" s="79"/>
      <c r="L69" s="79"/>
      <c r="M69" s="79"/>
      <c r="N69" s="79"/>
      <c r="O69" s="79"/>
      <c r="P69" s="18"/>
      <c r="Q69" s="18"/>
      <c r="R69" s="18"/>
      <c r="S69" s="18"/>
      <c r="T69" s="79"/>
      <c r="U69" s="18"/>
      <c r="V69" s="18"/>
      <c r="W69" s="18"/>
      <c r="X69" s="18"/>
      <c r="Y69" s="18"/>
      <c r="Z69" s="79"/>
      <c r="AA69" s="18"/>
      <c r="AB69" s="18"/>
      <c r="AC69" s="18"/>
      <c r="AD69" s="18"/>
      <c r="AE69" s="18"/>
      <c r="AF69" s="79"/>
      <c r="AG69" s="18"/>
      <c r="AH69" s="18"/>
      <c r="AI69" s="18"/>
      <c r="AJ69" s="79"/>
      <c r="AK69" s="18"/>
      <c r="AL69" s="18"/>
      <c r="AM69" s="18"/>
      <c r="AN69" s="18"/>
      <c r="AO69" s="79"/>
      <c r="AP69" s="18"/>
      <c r="AQ69" s="18"/>
      <c r="AR69" s="18"/>
      <c r="AS69" s="18"/>
      <c r="AT69" s="79"/>
      <c r="AU69" s="18"/>
      <c r="AV69" s="18"/>
      <c r="AW69" s="18"/>
      <c r="AX69" s="18"/>
      <c r="AY69" s="79"/>
      <c r="AZ69" s="9" t="s">
        <v>1542</v>
      </c>
      <c r="BA69" s="9" t="s">
        <v>1435</v>
      </c>
      <c r="BB69" s="9" t="s">
        <v>1328</v>
      </c>
      <c r="BC69" s="9" t="s">
        <v>1220</v>
      </c>
      <c r="BD69" s="118"/>
    </row>
    <row r="70" spans="1:56" ht="16.5">
      <c r="A70" s="67">
        <v>69</v>
      </c>
      <c r="B70" s="7"/>
      <c r="C70" s="7"/>
      <c r="D70" s="119">
        <v>62</v>
      </c>
      <c r="E70" s="119">
        <v>69</v>
      </c>
      <c r="F70" s="120" t="s">
        <v>80</v>
      </c>
      <c r="G70" s="120" t="s">
        <v>81</v>
      </c>
      <c r="H70" s="79" t="s">
        <v>1743</v>
      </c>
      <c r="I70" s="79"/>
      <c r="J70" s="79"/>
      <c r="K70" s="79"/>
      <c r="L70" s="79"/>
      <c r="M70" s="79"/>
      <c r="N70" s="79"/>
      <c r="O70" s="79"/>
      <c r="P70" s="18"/>
      <c r="Q70" s="18"/>
      <c r="R70" s="18"/>
      <c r="S70" s="18"/>
      <c r="T70" s="79"/>
      <c r="U70" s="18"/>
      <c r="V70" s="18"/>
      <c r="W70" s="18"/>
      <c r="X70" s="18"/>
      <c r="Y70" s="18"/>
      <c r="Z70" s="79"/>
      <c r="AA70" s="18"/>
      <c r="AB70" s="18"/>
      <c r="AC70" s="18"/>
      <c r="AD70" s="18"/>
      <c r="AE70" s="18"/>
      <c r="AF70" s="79"/>
      <c r="AG70" s="18"/>
      <c r="AH70" s="18"/>
      <c r="AI70" s="18"/>
      <c r="AJ70" s="79"/>
      <c r="AK70" s="18"/>
      <c r="AL70" s="18"/>
      <c r="AM70" s="18"/>
      <c r="AN70" s="18"/>
      <c r="AO70" s="79"/>
      <c r="AP70" s="18"/>
      <c r="AQ70" s="18"/>
      <c r="AR70" s="18"/>
      <c r="AS70" s="18"/>
      <c r="AT70" s="79"/>
      <c r="AU70" s="18"/>
      <c r="AV70" s="18"/>
      <c r="AW70" s="18"/>
      <c r="AX70" s="18"/>
      <c r="AY70" s="79"/>
      <c r="AZ70" s="9" t="s">
        <v>890</v>
      </c>
      <c r="BA70" s="9" t="s">
        <v>876</v>
      </c>
      <c r="BB70" s="9" t="s">
        <v>862</v>
      </c>
      <c r="BC70" s="9" t="s">
        <v>806</v>
      </c>
      <c r="BD70" s="118"/>
    </row>
    <row r="71" spans="1:56" ht="16.5">
      <c r="A71" s="67">
        <v>70</v>
      </c>
      <c r="B71" s="7"/>
      <c r="C71" s="7"/>
      <c r="D71" s="119">
        <v>63</v>
      </c>
      <c r="E71" s="119">
        <v>70</v>
      </c>
      <c r="F71" s="120" t="s">
        <v>79</v>
      </c>
      <c r="G71" s="120" t="s">
        <v>61</v>
      </c>
      <c r="H71" s="79" t="s">
        <v>1744</v>
      </c>
      <c r="I71" s="79"/>
      <c r="J71" s="79"/>
      <c r="K71" s="79"/>
      <c r="L71" s="79"/>
      <c r="M71" s="79"/>
      <c r="N71" s="79"/>
      <c r="O71" s="79"/>
      <c r="P71" s="18"/>
      <c r="Q71" s="18"/>
      <c r="R71" s="18"/>
      <c r="S71" s="18"/>
      <c r="T71" s="79"/>
      <c r="U71" s="18"/>
      <c r="V71" s="18"/>
      <c r="W71" s="18"/>
      <c r="X71" s="18"/>
      <c r="Y71" s="18"/>
      <c r="Z71" s="79"/>
      <c r="AA71" s="18"/>
      <c r="AB71" s="18"/>
      <c r="AC71" s="18"/>
      <c r="AD71" s="18"/>
      <c r="AE71" s="18"/>
      <c r="AF71" s="79"/>
      <c r="AG71" s="18"/>
      <c r="AH71" s="18"/>
      <c r="AI71" s="18"/>
      <c r="AJ71" s="79"/>
      <c r="AK71" s="18"/>
      <c r="AL71" s="18"/>
      <c r="AM71" s="18"/>
      <c r="AN71" s="18"/>
      <c r="AO71" s="79"/>
      <c r="AP71" s="18"/>
      <c r="AQ71" s="18"/>
      <c r="AR71" s="18"/>
      <c r="AS71" s="18"/>
      <c r="AT71" s="79"/>
      <c r="AU71" s="18"/>
      <c r="AV71" s="18"/>
      <c r="AW71" s="18"/>
      <c r="AX71" s="18"/>
      <c r="AY71" s="79"/>
      <c r="AZ71" s="9" t="s">
        <v>1543</v>
      </c>
      <c r="BA71" s="9" t="s">
        <v>1436</v>
      </c>
      <c r="BB71" s="9" t="s">
        <v>1329</v>
      </c>
      <c r="BC71" s="9" t="s">
        <v>1221</v>
      </c>
      <c r="BD71" s="118"/>
    </row>
    <row r="72" spans="1:56" ht="16.5">
      <c r="A72" s="67">
        <v>71</v>
      </c>
      <c r="B72" s="7"/>
      <c r="C72" s="7"/>
      <c r="D72" s="119"/>
      <c r="E72" s="119">
        <v>71</v>
      </c>
      <c r="F72" s="120" t="s">
        <v>73</v>
      </c>
      <c r="G72" s="120" t="s">
        <v>62</v>
      </c>
      <c r="H72" s="79"/>
      <c r="I72" s="79"/>
      <c r="J72" s="79"/>
      <c r="K72" s="79"/>
      <c r="L72" s="79"/>
      <c r="M72" s="79"/>
      <c r="N72" s="79"/>
      <c r="O72" s="79"/>
      <c r="P72" s="18"/>
      <c r="Q72" s="18"/>
      <c r="R72" s="18"/>
      <c r="S72" s="18"/>
      <c r="T72" s="79"/>
      <c r="U72" s="18"/>
      <c r="V72" s="18"/>
      <c r="W72" s="18"/>
      <c r="X72" s="18"/>
      <c r="Y72" s="18"/>
      <c r="Z72" s="79"/>
      <c r="AA72" s="18"/>
      <c r="AB72" s="18"/>
      <c r="AC72" s="18"/>
      <c r="AD72" s="18"/>
      <c r="AE72" s="18"/>
      <c r="AF72" s="79"/>
      <c r="AG72" s="18"/>
      <c r="AH72" s="18"/>
      <c r="AI72" s="18"/>
      <c r="AJ72" s="79"/>
      <c r="AK72" s="18"/>
      <c r="AL72" s="18"/>
      <c r="AM72" s="18"/>
      <c r="AN72" s="18"/>
      <c r="AO72" s="79"/>
      <c r="AP72" s="18"/>
      <c r="AQ72" s="18"/>
      <c r="AR72" s="18"/>
      <c r="AS72" s="18"/>
      <c r="AT72" s="79"/>
      <c r="AU72" s="18"/>
      <c r="AV72" s="18"/>
      <c r="AW72" s="18"/>
      <c r="AX72" s="18"/>
      <c r="AY72" s="79"/>
      <c r="AZ72" s="9" t="s">
        <v>1544</v>
      </c>
      <c r="BA72" s="9" t="s">
        <v>1437</v>
      </c>
      <c r="BB72" s="9" t="s">
        <v>1330</v>
      </c>
      <c r="BC72" s="9" t="s">
        <v>1222</v>
      </c>
      <c r="BD72" s="118"/>
    </row>
    <row r="73" spans="1:56" ht="16.5">
      <c r="A73" s="67">
        <v>72</v>
      </c>
      <c r="B73" s="7">
        <v>40</v>
      </c>
      <c r="C73" s="7">
        <v>50</v>
      </c>
      <c r="D73" s="119">
        <v>64</v>
      </c>
      <c r="E73" s="119">
        <v>72</v>
      </c>
      <c r="F73" s="120" t="s">
        <v>82</v>
      </c>
      <c r="G73" s="120" t="s">
        <v>607</v>
      </c>
      <c r="H73" s="79"/>
      <c r="I73" s="79"/>
      <c r="J73" s="79"/>
      <c r="K73" s="79"/>
      <c r="L73" s="79"/>
      <c r="M73" s="79"/>
      <c r="N73" s="79"/>
      <c r="O73" s="79"/>
      <c r="P73" s="18"/>
      <c r="Q73" s="18"/>
      <c r="R73" s="18"/>
      <c r="S73" s="18"/>
      <c r="T73" s="79"/>
      <c r="U73" s="18"/>
      <c r="V73" s="18"/>
      <c r="W73" s="18"/>
      <c r="X73" s="18"/>
      <c r="Y73" s="18"/>
      <c r="Z73" s="79"/>
      <c r="AA73" s="18"/>
      <c r="AB73" s="18"/>
      <c r="AC73" s="18"/>
      <c r="AD73" s="18"/>
      <c r="AE73" s="18"/>
      <c r="AF73" s="79"/>
      <c r="AG73" s="18"/>
      <c r="AH73" s="18"/>
      <c r="AI73" s="18"/>
      <c r="AJ73" s="79"/>
      <c r="AK73" s="18"/>
      <c r="AL73" s="18"/>
      <c r="AM73" s="18"/>
      <c r="AN73" s="18"/>
      <c r="AO73" s="79"/>
      <c r="AP73" s="18"/>
      <c r="AQ73" s="18"/>
      <c r="AR73" s="18"/>
      <c r="AS73" s="18"/>
      <c r="AT73" s="79"/>
      <c r="AU73" s="18"/>
      <c r="AV73" s="18"/>
      <c r="AW73" s="18"/>
      <c r="AX73" s="18"/>
      <c r="AY73" s="79"/>
      <c r="AZ73" s="9" t="s">
        <v>1284</v>
      </c>
      <c r="BA73" s="9" t="s">
        <v>1284</v>
      </c>
      <c r="BB73" s="9" t="s">
        <v>1284</v>
      </c>
      <c r="BC73" s="9"/>
      <c r="BD73" s="118"/>
    </row>
    <row r="74" spans="1:56" ht="16.5">
      <c r="A74" s="66">
        <v>73</v>
      </c>
      <c r="B74" s="7">
        <v>41</v>
      </c>
      <c r="C74" s="7">
        <v>51</v>
      </c>
      <c r="D74" s="119">
        <v>65</v>
      </c>
      <c r="E74" s="119">
        <v>73</v>
      </c>
      <c r="F74" s="120" t="s">
        <v>83</v>
      </c>
      <c r="G74" s="120" t="s">
        <v>910</v>
      </c>
      <c r="H74" s="79"/>
      <c r="I74" s="79"/>
      <c r="J74" s="79"/>
      <c r="K74" s="79"/>
      <c r="L74" s="79"/>
      <c r="M74" s="79"/>
      <c r="N74" s="79"/>
      <c r="O74" s="79"/>
      <c r="P74" s="18"/>
      <c r="Q74" s="18"/>
      <c r="R74" s="18"/>
      <c r="S74" s="18"/>
      <c r="T74" s="79"/>
      <c r="U74" s="18"/>
      <c r="V74" s="18"/>
      <c r="W74" s="18"/>
      <c r="X74" s="18"/>
      <c r="Y74" s="18"/>
      <c r="Z74" s="79"/>
      <c r="AA74" s="18"/>
      <c r="AB74" s="18"/>
      <c r="AC74" s="18"/>
      <c r="AD74" s="18"/>
      <c r="AE74" s="18"/>
      <c r="AF74" s="79"/>
      <c r="AG74" s="18"/>
      <c r="AH74" s="18"/>
      <c r="AI74" s="18"/>
      <c r="AJ74" s="79"/>
      <c r="AK74" s="18"/>
      <c r="AL74" s="18"/>
      <c r="AM74" s="18"/>
      <c r="AN74" s="18"/>
      <c r="AO74" s="79"/>
      <c r="AP74" s="18"/>
      <c r="AQ74" s="18"/>
      <c r="AR74" s="18"/>
      <c r="AS74" s="18"/>
      <c r="AT74" s="79"/>
      <c r="AU74" s="18"/>
      <c r="AV74" s="18"/>
      <c r="AW74" s="18"/>
      <c r="AX74" s="18"/>
      <c r="AY74" s="79"/>
      <c r="AZ74" s="9" t="s">
        <v>1284</v>
      </c>
      <c r="BA74" s="9" t="s">
        <v>1284</v>
      </c>
      <c r="BB74" s="9" t="s">
        <v>1284</v>
      </c>
      <c r="BC74" s="9"/>
      <c r="BD74" s="118"/>
    </row>
    <row r="75" spans="1:56" ht="16.5">
      <c r="A75" s="66">
        <v>74</v>
      </c>
      <c r="B75" s="7"/>
      <c r="C75" s="7"/>
      <c r="D75" s="119"/>
      <c r="E75" s="119">
        <v>74</v>
      </c>
      <c r="F75" s="120" t="s">
        <v>72</v>
      </c>
      <c r="G75" s="120" t="s">
        <v>63</v>
      </c>
      <c r="H75" s="79"/>
      <c r="I75" s="79"/>
      <c r="J75" s="79"/>
      <c r="K75" s="79"/>
      <c r="L75" s="79"/>
      <c r="M75" s="79"/>
      <c r="N75" s="79"/>
      <c r="O75" s="79"/>
      <c r="P75" s="18"/>
      <c r="Q75" s="18"/>
      <c r="R75" s="18"/>
      <c r="S75" s="18"/>
      <c r="T75" s="79"/>
      <c r="U75" s="18"/>
      <c r="V75" s="18"/>
      <c r="W75" s="18"/>
      <c r="X75" s="18"/>
      <c r="Y75" s="18"/>
      <c r="Z75" s="79"/>
      <c r="AA75" s="18"/>
      <c r="AB75" s="18"/>
      <c r="AC75" s="18"/>
      <c r="AD75" s="18"/>
      <c r="AE75" s="18"/>
      <c r="AF75" s="79"/>
      <c r="AG75" s="18"/>
      <c r="AH75" s="18"/>
      <c r="AI75" s="18"/>
      <c r="AJ75" s="79"/>
      <c r="AK75" s="18"/>
      <c r="AL75" s="18"/>
      <c r="AM75" s="18"/>
      <c r="AN75" s="18"/>
      <c r="AO75" s="79"/>
      <c r="AP75" s="18"/>
      <c r="AQ75" s="18"/>
      <c r="AR75" s="18"/>
      <c r="AS75" s="18"/>
      <c r="AT75" s="79"/>
      <c r="AU75" s="18"/>
      <c r="AV75" s="18"/>
      <c r="AW75" s="18"/>
      <c r="AX75" s="18"/>
      <c r="AY75" s="79"/>
      <c r="AZ75" s="9" t="s">
        <v>1545</v>
      </c>
      <c r="BA75" s="9" t="s">
        <v>1438</v>
      </c>
      <c r="BB75" s="9" t="s">
        <v>1331</v>
      </c>
      <c r="BC75" s="9" t="s">
        <v>1223</v>
      </c>
      <c r="BD75" s="118"/>
    </row>
    <row r="76" spans="1:56" ht="16.5">
      <c r="A76" s="66">
        <v>75</v>
      </c>
      <c r="B76" s="7"/>
      <c r="C76" s="7"/>
      <c r="D76" s="119"/>
      <c r="E76" s="119">
        <v>75</v>
      </c>
      <c r="F76" s="120" t="s">
        <v>70</v>
      </c>
      <c r="G76" s="120" t="s">
        <v>71</v>
      </c>
      <c r="H76" s="79"/>
      <c r="I76" s="79"/>
      <c r="J76" s="79"/>
      <c r="K76" s="79"/>
      <c r="L76" s="79"/>
      <c r="M76" s="79"/>
      <c r="N76" s="79"/>
      <c r="O76" s="79"/>
      <c r="P76" s="18"/>
      <c r="Q76" s="18"/>
      <c r="R76" s="18"/>
      <c r="S76" s="18"/>
      <c r="T76" s="79"/>
      <c r="U76" s="18"/>
      <c r="V76" s="18"/>
      <c r="W76" s="18"/>
      <c r="X76" s="18"/>
      <c r="Y76" s="18"/>
      <c r="Z76" s="79"/>
      <c r="AA76" s="18"/>
      <c r="AB76" s="18"/>
      <c r="AC76" s="18"/>
      <c r="AD76" s="18"/>
      <c r="AE76" s="18"/>
      <c r="AF76" s="79"/>
      <c r="AG76" s="18"/>
      <c r="AH76" s="18"/>
      <c r="AI76" s="18"/>
      <c r="AJ76" s="79"/>
      <c r="AK76" s="18"/>
      <c r="AL76" s="18"/>
      <c r="AM76" s="18"/>
      <c r="AN76" s="18"/>
      <c r="AO76" s="79"/>
      <c r="AP76" s="18"/>
      <c r="AQ76" s="18"/>
      <c r="AR76" s="18"/>
      <c r="AS76" s="18"/>
      <c r="AT76" s="79"/>
      <c r="AU76" s="18"/>
      <c r="AV76" s="18"/>
      <c r="AW76" s="18"/>
      <c r="AX76" s="18"/>
      <c r="AY76" s="79"/>
      <c r="AZ76" s="9" t="s">
        <v>1546</v>
      </c>
      <c r="BA76" s="9" t="s">
        <v>1439</v>
      </c>
      <c r="BB76" s="9" t="s">
        <v>1332</v>
      </c>
      <c r="BC76" s="9" t="s">
        <v>1224</v>
      </c>
      <c r="BD76" s="118"/>
    </row>
    <row r="77" spans="1:56" ht="16.5">
      <c r="A77" s="66">
        <v>76</v>
      </c>
      <c r="B77" s="7"/>
      <c r="C77" s="7">
        <v>52</v>
      </c>
      <c r="D77" s="119">
        <v>66</v>
      </c>
      <c r="E77" s="119">
        <v>76</v>
      </c>
      <c r="F77" s="120" t="s">
        <v>178</v>
      </c>
      <c r="G77" s="120" t="s">
        <v>179</v>
      </c>
      <c r="H77" s="79" t="s">
        <v>252</v>
      </c>
      <c r="I77" s="79"/>
      <c r="J77" s="79"/>
      <c r="K77" s="79"/>
      <c r="L77" s="79"/>
      <c r="M77" s="79"/>
      <c r="N77" s="79"/>
      <c r="O77" s="79"/>
      <c r="P77" s="79" t="s">
        <v>252</v>
      </c>
      <c r="Q77" s="79" t="s">
        <v>609</v>
      </c>
      <c r="R77" s="18"/>
      <c r="S77" s="18"/>
      <c r="T77" s="79"/>
      <c r="U77" s="18"/>
      <c r="V77" s="18"/>
      <c r="W77" s="18"/>
      <c r="X77" s="18"/>
      <c r="Y77" s="18"/>
      <c r="Z77" s="79"/>
      <c r="AA77" s="18"/>
      <c r="AB77" s="18"/>
      <c r="AC77" s="18"/>
      <c r="AD77" s="18"/>
      <c r="AE77" s="18"/>
      <c r="AF77" s="79"/>
      <c r="AG77" s="18"/>
      <c r="AH77" s="18"/>
      <c r="AI77" s="18"/>
      <c r="AJ77" s="79"/>
      <c r="AK77" s="18"/>
      <c r="AL77" s="18"/>
      <c r="AM77" s="18"/>
      <c r="AN77" s="18"/>
      <c r="AO77" s="79"/>
      <c r="AP77" s="18"/>
      <c r="AQ77" s="18"/>
      <c r="AR77" s="18"/>
      <c r="AS77" s="18"/>
      <c r="AT77" s="79"/>
      <c r="AU77" s="18"/>
      <c r="AV77" s="18"/>
      <c r="AW77" s="18"/>
      <c r="AX77" s="18"/>
      <c r="AY77" s="79"/>
      <c r="AZ77" s="9" t="s">
        <v>891</v>
      </c>
      <c r="BA77" s="9" t="s">
        <v>877</v>
      </c>
      <c r="BB77" s="9" t="s">
        <v>863</v>
      </c>
      <c r="BC77" s="9" t="s">
        <v>807</v>
      </c>
      <c r="BD77" s="118"/>
    </row>
    <row r="78" spans="1:56" ht="16.5">
      <c r="A78" s="66">
        <v>77</v>
      </c>
      <c r="B78" s="7"/>
      <c r="C78" s="7">
        <v>53</v>
      </c>
      <c r="D78" s="119">
        <v>67</v>
      </c>
      <c r="E78" s="119">
        <v>77</v>
      </c>
      <c r="F78" s="120" t="s">
        <v>180</v>
      </c>
      <c r="G78" s="120" t="s">
        <v>762</v>
      </c>
      <c r="H78" s="79" t="s">
        <v>256</v>
      </c>
      <c r="I78" s="79"/>
      <c r="J78" s="79"/>
      <c r="K78" s="79"/>
      <c r="L78" s="79"/>
      <c r="M78" s="79"/>
      <c r="N78" s="79"/>
      <c r="O78" s="79"/>
      <c r="P78" s="79" t="s">
        <v>256</v>
      </c>
      <c r="Q78" s="79" t="s">
        <v>610</v>
      </c>
      <c r="R78" s="18"/>
      <c r="S78" s="18"/>
      <c r="T78" s="79"/>
      <c r="U78" s="18"/>
      <c r="V78" s="18"/>
      <c r="W78" s="18"/>
      <c r="X78" s="18"/>
      <c r="Y78" s="18"/>
      <c r="Z78" s="79"/>
      <c r="AA78" s="18"/>
      <c r="AB78" s="18"/>
      <c r="AC78" s="18"/>
      <c r="AD78" s="18"/>
      <c r="AE78" s="18"/>
      <c r="AF78" s="79"/>
      <c r="AG78" s="18"/>
      <c r="AH78" s="18"/>
      <c r="AI78" s="18"/>
      <c r="AJ78" s="79"/>
      <c r="AK78" s="18"/>
      <c r="AL78" s="18"/>
      <c r="AM78" s="18"/>
      <c r="AN78" s="18"/>
      <c r="AO78" s="79"/>
      <c r="AP78" s="18"/>
      <c r="AQ78" s="18"/>
      <c r="AR78" s="18"/>
      <c r="AS78" s="18"/>
      <c r="AT78" s="79"/>
      <c r="AU78" s="18"/>
      <c r="AV78" s="18"/>
      <c r="AW78" s="18"/>
      <c r="AX78" s="18"/>
      <c r="AY78" s="79"/>
      <c r="AZ78" s="9" t="s">
        <v>1547</v>
      </c>
      <c r="BA78" s="9" t="s">
        <v>1440</v>
      </c>
      <c r="BB78" s="9" t="s">
        <v>1333</v>
      </c>
      <c r="BC78" s="9" t="s">
        <v>1225</v>
      </c>
      <c r="BD78" s="118"/>
    </row>
    <row r="79" spans="1:56" ht="16.5">
      <c r="A79" s="66">
        <v>78</v>
      </c>
      <c r="B79" s="7"/>
      <c r="C79" s="7"/>
      <c r="D79" s="119">
        <v>68</v>
      </c>
      <c r="E79" s="119">
        <v>78</v>
      </c>
      <c r="F79" s="120" t="s">
        <v>138</v>
      </c>
      <c r="G79" s="120" t="s">
        <v>139</v>
      </c>
      <c r="H79" s="79" t="s">
        <v>260</v>
      </c>
      <c r="I79" s="79"/>
      <c r="J79" s="79"/>
      <c r="K79" s="79"/>
      <c r="L79" s="79"/>
      <c r="M79" s="79"/>
      <c r="N79" s="79"/>
      <c r="O79" s="79"/>
      <c r="P79" s="79" t="s">
        <v>260</v>
      </c>
      <c r="Q79" s="79" t="s">
        <v>611</v>
      </c>
      <c r="R79" s="18"/>
      <c r="S79" s="18"/>
      <c r="T79" s="79"/>
      <c r="U79" s="18"/>
      <c r="V79" s="18"/>
      <c r="W79" s="18"/>
      <c r="X79" s="18"/>
      <c r="Y79" s="18"/>
      <c r="Z79" s="79"/>
      <c r="AA79" s="18"/>
      <c r="AB79" s="18"/>
      <c r="AC79" s="18"/>
      <c r="AD79" s="18"/>
      <c r="AE79" s="18"/>
      <c r="AF79" s="79"/>
      <c r="AG79" s="18"/>
      <c r="AH79" s="18"/>
      <c r="AI79" s="18"/>
      <c r="AJ79" s="79"/>
      <c r="AK79" s="18"/>
      <c r="AL79" s="18"/>
      <c r="AM79" s="18"/>
      <c r="AN79" s="18"/>
      <c r="AO79" s="79"/>
      <c r="AP79" s="18"/>
      <c r="AQ79" s="18"/>
      <c r="AR79" s="18"/>
      <c r="AS79" s="18"/>
      <c r="AT79" s="79"/>
      <c r="AU79" s="18"/>
      <c r="AV79" s="18"/>
      <c r="AW79" s="18"/>
      <c r="AX79" s="18"/>
      <c r="AY79" s="79"/>
      <c r="AZ79" s="9" t="s">
        <v>1548</v>
      </c>
      <c r="BA79" s="9" t="s">
        <v>1441</v>
      </c>
      <c r="BB79" s="9" t="s">
        <v>1334</v>
      </c>
      <c r="BC79" s="9" t="s">
        <v>1226</v>
      </c>
      <c r="BD79" s="118"/>
    </row>
    <row r="80" spans="1:56" ht="16.5">
      <c r="A80" s="66">
        <v>79</v>
      </c>
      <c r="B80" s="7">
        <v>42</v>
      </c>
      <c r="C80" s="7">
        <v>54</v>
      </c>
      <c r="D80" s="119">
        <v>69</v>
      </c>
      <c r="E80" s="119">
        <v>79</v>
      </c>
      <c r="F80" s="120" t="s">
        <v>224</v>
      </c>
      <c r="G80" s="120" t="s">
        <v>46</v>
      </c>
      <c r="H80" s="79" t="s">
        <v>264</v>
      </c>
      <c r="I80" s="79"/>
      <c r="J80" s="79"/>
      <c r="K80" s="79"/>
      <c r="L80" s="79"/>
      <c r="M80" s="79"/>
      <c r="N80" s="79"/>
      <c r="O80" s="79"/>
      <c r="P80" s="79" t="s">
        <v>264</v>
      </c>
      <c r="Q80" s="79" t="s">
        <v>612</v>
      </c>
      <c r="R80" s="18"/>
      <c r="S80" s="18"/>
      <c r="T80" s="79"/>
      <c r="U80" s="18"/>
      <c r="V80" s="18"/>
      <c r="W80" s="18"/>
      <c r="X80" s="18"/>
      <c r="Y80" s="18"/>
      <c r="Z80" s="79"/>
      <c r="AA80" s="18"/>
      <c r="AB80" s="18"/>
      <c r="AC80" s="18"/>
      <c r="AD80" s="18"/>
      <c r="AE80" s="18"/>
      <c r="AF80" s="79"/>
      <c r="AG80" s="18"/>
      <c r="AH80" s="18"/>
      <c r="AI80" s="18"/>
      <c r="AJ80" s="79"/>
      <c r="AK80" s="18"/>
      <c r="AL80" s="18"/>
      <c r="AM80" s="18"/>
      <c r="AN80" s="18"/>
      <c r="AO80" s="79"/>
      <c r="AP80" s="18"/>
      <c r="AQ80" s="18"/>
      <c r="AR80" s="18"/>
      <c r="AS80" s="18"/>
      <c r="AT80" s="79"/>
      <c r="AU80" s="18"/>
      <c r="AV80" s="18"/>
      <c r="AW80" s="18"/>
      <c r="AX80" s="18"/>
      <c r="AY80" s="79"/>
      <c r="AZ80" s="9" t="s">
        <v>1549</v>
      </c>
      <c r="BA80" s="9" t="s">
        <v>1442</v>
      </c>
      <c r="BB80" s="9" t="s">
        <v>1335</v>
      </c>
      <c r="BC80" s="9" t="s">
        <v>1227</v>
      </c>
      <c r="BD80" s="118"/>
    </row>
    <row r="81" spans="1:56" ht="16.5">
      <c r="A81" s="66">
        <v>80</v>
      </c>
      <c r="B81" s="7">
        <v>43</v>
      </c>
      <c r="C81" s="7">
        <v>55</v>
      </c>
      <c r="D81" s="119">
        <v>70</v>
      </c>
      <c r="E81" s="119">
        <v>80</v>
      </c>
      <c r="F81" s="120" t="s">
        <v>223</v>
      </c>
      <c r="G81" s="120" t="s">
        <v>47</v>
      </c>
      <c r="H81" s="79" t="s">
        <v>276</v>
      </c>
      <c r="I81" s="79"/>
      <c r="J81" s="79"/>
      <c r="K81" s="79"/>
      <c r="L81" s="79"/>
      <c r="M81" s="79"/>
      <c r="N81" s="79"/>
      <c r="O81" s="79"/>
      <c r="P81" s="79" t="s">
        <v>276</v>
      </c>
      <c r="Q81" s="79" t="s">
        <v>613</v>
      </c>
      <c r="R81" s="18"/>
      <c r="S81" s="18"/>
      <c r="T81" s="79"/>
      <c r="U81" s="18"/>
      <c r="V81" s="18"/>
      <c r="W81" s="18"/>
      <c r="X81" s="18"/>
      <c r="Y81" s="18"/>
      <c r="Z81" s="79"/>
      <c r="AA81" s="18"/>
      <c r="AB81" s="18"/>
      <c r="AC81" s="18"/>
      <c r="AD81" s="18"/>
      <c r="AE81" s="18"/>
      <c r="AF81" s="79"/>
      <c r="AG81" s="18"/>
      <c r="AH81" s="18"/>
      <c r="AI81" s="18"/>
      <c r="AJ81" s="79"/>
      <c r="AK81" s="18"/>
      <c r="AL81" s="18"/>
      <c r="AM81" s="18"/>
      <c r="AN81" s="18"/>
      <c r="AO81" s="79"/>
      <c r="AP81" s="18"/>
      <c r="AQ81" s="18"/>
      <c r="AR81" s="18"/>
      <c r="AS81" s="18"/>
      <c r="AT81" s="79"/>
      <c r="AU81" s="18"/>
      <c r="AV81" s="18"/>
      <c r="AW81" s="18"/>
      <c r="AX81" s="18"/>
      <c r="AY81" s="79"/>
      <c r="AZ81" s="9" t="s">
        <v>1550</v>
      </c>
      <c r="BA81" s="9" t="s">
        <v>1443</v>
      </c>
      <c r="BB81" s="9" t="s">
        <v>1336</v>
      </c>
      <c r="BC81" s="9" t="s">
        <v>1228</v>
      </c>
      <c r="BD81" s="118"/>
    </row>
    <row r="82" spans="1:56" ht="16.5">
      <c r="A82" s="66">
        <v>81</v>
      </c>
      <c r="B82" s="7"/>
      <c r="C82" s="7">
        <v>56</v>
      </c>
      <c r="D82" s="119">
        <v>71</v>
      </c>
      <c r="E82" s="119">
        <v>81</v>
      </c>
      <c r="F82" s="120" t="s">
        <v>222</v>
      </c>
      <c r="G82" s="120" t="s">
        <v>48</v>
      </c>
      <c r="H82" s="79" t="s">
        <v>280</v>
      </c>
      <c r="I82" s="79"/>
      <c r="J82" s="79"/>
      <c r="K82" s="79"/>
      <c r="L82" s="79"/>
      <c r="M82" s="79"/>
      <c r="N82" s="79"/>
      <c r="O82" s="79"/>
      <c r="P82" s="79" t="s">
        <v>280</v>
      </c>
      <c r="Q82" s="79" t="s">
        <v>614</v>
      </c>
      <c r="R82" s="18"/>
      <c r="S82" s="18"/>
      <c r="T82" s="79"/>
      <c r="U82" s="18"/>
      <c r="V82" s="18"/>
      <c r="W82" s="18"/>
      <c r="X82" s="18"/>
      <c r="Y82" s="18"/>
      <c r="Z82" s="79"/>
      <c r="AA82" s="18"/>
      <c r="AB82" s="18"/>
      <c r="AC82" s="18"/>
      <c r="AD82" s="18"/>
      <c r="AE82" s="18"/>
      <c r="AF82" s="79"/>
      <c r="AG82" s="18"/>
      <c r="AH82" s="18"/>
      <c r="AI82" s="18"/>
      <c r="AJ82" s="79"/>
      <c r="AK82" s="18"/>
      <c r="AL82" s="18"/>
      <c r="AM82" s="18"/>
      <c r="AN82" s="18"/>
      <c r="AO82" s="79"/>
      <c r="AP82" s="18"/>
      <c r="AQ82" s="18"/>
      <c r="AR82" s="18"/>
      <c r="AS82" s="18"/>
      <c r="AT82" s="79"/>
      <c r="AU82" s="18"/>
      <c r="AV82" s="18"/>
      <c r="AW82" s="18"/>
      <c r="AX82" s="18"/>
      <c r="AY82" s="79"/>
      <c r="AZ82" s="9" t="s">
        <v>1551</v>
      </c>
      <c r="BA82" s="9" t="s">
        <v>1444</v>
      </c>
      <c r="BB82" s="9" t="s">
        <v>1337</v>
      </c>
      <c r="BC82" s="9" t="s">
        <v>1229</v>
      </c>
      <c r="BD82" s="118"/>
    </row>
    <row r="83" spans="1:56" ht="16.5">
      <c r="A83" s="66">
        <v>82</v>
      </c>
      <c r="B83" s="7">
        <v>44</v>
      </c>
      <c r="C83" s="7">
        <v>57</v>
      </c>
      <c r="D83" s="119">
        <v>72</v>
      </c>
      <c r="E83" s="119">
        <v>82</v>
      </c>
      <c r="F83" s="120" t="s">
        <v>221</v>
      </c>
      <c r="G83" s="120" t="s">
        <v>49</v>
      </c>
      <c r="H83" s="79" t="s">
        <v>283</v>
      </c>
      <c r="I83" s="79"/>
      <c r="J83" s="79"/>
      <c r="K83" s="79"/>
      <c r="L83" s="79"/>
      <c r="M83" s="79"/>
      <c r="N83" s="79"/>
      <c r="O83" s="79"/>
      <c r="P83" s="79" t="s">
        <v>283</v>
      </c>
      <c r="Q83" s="79" t="s">
        <v>615</v>
      </c>
      <c r="R83" s="18"/>
      <c r="S83" s="18"/>
      <c r="T83" s="79"/>
      <c r="U83" s="18"/>
      <c r="V83" s="18"/>
      <c r="W83" s="18"/>
      <c r="X83" s="18"/>
      <c r="Y83" s="18"/>
      <c r="Z83" s="79"/>
      <c r="AA83" s="18"/>
      <c r="AB83" s="18"/>
      <c r="AC83" s="18"/>
      <c r="AD83" s="18"/>
      <c r="AE83" s="18"/>
      <c r="AF83" s="79"/>
      <c r="AG83" s="18"/>
      <c r="AH83" s="18"/>
      <c r="AI83" s="18"/>
      <c r="AJ83" s="79"/>
      <c r="AK83" s="18"/>
      <c r="AL83" s="18"/>
      <c r="AM83" s="18"/>
      <c r="AN83" s="18"/>
      <c r="AO83" s="79"/>
      <c r="AP83" s="18"/>
      <c r="AQ83" s="18"/>
      <c r="AR83" s="18"/>
      <c r="AS83" s="18"/>
      <c r="AT83" s="79"/>
      <c r="AU83" s="18"/>
      <c r="AV83" s="18"/>
      <c r="AW83" s="18"/>
      <c r="AX83" s="18"/>
      <c r="AY83" s="79"/>
      <c r="AZ83" s="9" t="s">
        <v>1552</v>
      </c>
      <c r="BA83" s="9" t="s">
        <v>1445</v>
      </c>
      <c r="BB83" s="9" t="s">
        <v>1338</v>
      </c>
      <c r="BC83" s="9" t="s">
        <v>1230</v>
      </c>
      <c r="BD83" s="118"/>
    </row>
    <row r="84" spans="1:56" ht="16.5">
      <c r="A84" s="66">
        <v>83</v>
      </c>
      <c r="B84" s="7"/>
      <c r="C84" s="7">
        <v>58</v>
      </c>
      <c r="D84" s="119">
        <v>73</v>
      </c>
      <c r="E84" s="119">
        <v>83</v>
      </c>
      <c r="F84" s="120" t="s">
        <v>220</v>
      </c>
      <c r="G84" s="120" t="s">
        <v>50</v>
      </c>
      <c r="H84" s="79" t="s">
        <v>287</v>
      </c>
      <c r="I84" s="79"/>
      <c r="J84" s="79"/>
      <c r="K84" s="79"/>
      <c r="L84" s="79"/>
      <c r="M84" s="79"/>
      <c r="N84" s="79"/>
      <c r="O84" s="79"/>
      <c r="P84" s="79" t="s">
        <v>287</v>
      </c>
      <c r="Q84" s="79" t="s">
        <v>616</v>
      </c>
      <c r="R84" s="18"/>
      <c r="S84" s="18"/>
      <c r="T84" s="79"/>
      <c r="U84" s="18"/>
      <c r="V84" s="18"/>
      <c r="W84" s="18"/>
      <c r="X84" s="18"/>
      <c r="Y84" s="18"/>
      <c r="Z84" s="79"/>
      <c r="AA84" s="18"/>
      <c r="AB84" s="18"/>
      <c r="AC84" s="18"/>
      <c r="AD84" s="18"/>
      <c r="AE84" s="18"/>
      <c r="AF84" s="79"/>
      <c r="AG84" s="18"/>
      <c r="AH84" s="18"/>
      <c r="AI84" s="18"/>
      <c r="AJ84" s="79"/>
      <c r="AK84" s="18"/>
      <c r="AL84" s="18"/>
      <c r="AM84" s="18"/>
      <c r="AN84" s="18"/>
      <c r="AO84" s="79"/>
      <c r="AP84" s="18"/>
      <c r="AQ84" s="18"/>
      <c r="AR84" s="18"/>
      <c r="AS84" s="18"/>
      <c r="AT84" s="79"/>
      <c r="AU84" s="18"/>
      <c r="AV84" s="18"/>
      <c r="AW84" s="18"/>
      <c r="AX84" s="18"/>
      <c r="AY84" s="79"/>
      <c r="AZ84" s="9" t="s">
        <v>1553</v>
      </c>
      <c r="BA84" s="9" t="s">
        <v>1446</v>
      </c>
      <c r="BB84" s="9" t="s">
        <v>1339</v>
      </c>
      <c r="BC84" s="9" t="s">
        <v>1231</v>
      </c>
      <c r="BD84" s="118"/>
    </row>
    <row r="85" spans="1:56" ht="16.5">
      <c r="A85" s="66">
        <v>84</v>
      </c>
      <c r="B85" s="7"/>
      <c r="C85" s="7"/>
      <c r="D85" s="119">
        <v>74</v>
      </c>
      <c r="E85" s="119">
        <v>84</v>
      </c>
      <c r="F85" s="120" t="s">
        <v>219</v>
      </c>
      <c r="G85" s="120" t="s">
        <v>51</v>
      </c>
      <c r="H85" s="79" t="s">
        <v>937</v>
      </c>
      <c r="I85" s="79"/>
      <c r="J85" s="79"/>
      <c r="K85" s="79"/>
      <c r="L85" s="79"/>
      <c r="M85" s="79"/>
      <c r="N85" s="79"/>
      <c r="O85" s="79"/>
      <c r="P85" s="79" t="s">
        <v>937</v>
      </c>
      <c r="Q85" s="79" t="s">
        <v>617</v>
      </c>
      <c r="R85" s="18"/>
      <c r="S85" s="18"/>
      <c r="T85" s="79"/>
      <c r="U85" s="18"/>
      <c r="V85" s="18"/>
      <c r="W85" s="18"/>
      <c r="X85" s="18"/>
      <c r="Y85" s="18"/>
      <c r="Z85" s="79"/>
      <c r="AA85" s="18"/>
      <c r="AB85" s="18"/>
      <c r="AC85" s="18"/>
      <c r="AD85" s="18"/>
      <c r="AE85" s="18"/>
      <c r="AF85" s="79"/>
      <c r="AG85" s="18"/>
      <c r="AH85" s="18"/>
      <c r="AI85" s="18"/>
      <c r="AJ85" s="79"/>
      <c r="AK85" s="18"/>
      <c r="AL85" s="18"/>
      <c r="AM85" s="18"/>
      <c r="AN85" s="18"/>
      <c r="AO85" s="79"/>
      <c r="AP85" s="18"/>
      <c r="AQ85" s="18"/>
      <c r="AR85" s="18"/>
      <c r="AS85" s="18"/>
      <c r="AT85" s="79"/>
      <c r="AU85" s="18"/>
      <c r="AV85" s="18"/>
      <c r="AW85" s="18"/>
      <c r="AX85" s="18"/>
      <c r="AY85" s="79"/>
      <c r="AZ85" s="9" t="s">
        <v>1554</v>
      </c>
      <c r="BA85" s="9" t="s">
        <v>1447</v>
      </c>
      <c r="BB85" s="9" t="s">
        <v>1340</v>
      </c>
      <c r="BC85" s="9" t="s">
        <v>1232</v>
      </c>
      <c r="BD85" s="118"/>
    </row>
    <row r="86" spans="1:56" ht="16.5">
      <c r="A86" s="66">
        <v>85</v>
      </c>
      <c r="B86" s="7">
        <v>45</v>
      </c>
      <c r="C86" s="7">
        <v>59</v>
      </c>
      <c r="D86" s="119">
        <v>75</v>
      </c>
      <c r="E86" s="119">
        <v>85</v>
      </c>
      <c r="F86" s="120" t="s">
        <v>226</v>
      </c>
      <c r="G86" s="120" t="s">
        <v>227</v>
      </c>
      <c r="H86" s="79" t="s">
        <v>1121</v>
      </c>
      <c r="I86" s="79"/>
      <c r="J86" s="79"/>
      <c r="K86" s="79"/>
      <c r="L86" s="79"/>
      <c r="M86" s="79"/>
      <c r="N86" s="79"/>
      <c r="O86" s="79"/>
      <c r="P86" s="79" t="s">
        <v>1121</v>
      </c>
      <c r="Q86" s="80" t="s">
        <v>938</v>
      </c>
      <c r="R86" s="18" t="s">
        <v>1798</v>
      </c>
      <c r="S86" s="18" t="s">
        <v>1781</v>
      </c>
      <c r="T86" s="79"/>
      <c r="U86" s="87"/>
      <c r="V86" s="80"/>
      <c r="W86" s="80"/>
      <c r="X86" s="18"/>
      <c r="Y86" s="18"/>
      <c r="Z86" s="79"/>
      <c r="AA86" s="87"/>
      <c r="AB86" s="80"/>
      <c r="AC86" s="80"/>
      <c r="AD86" s="18"/>
      <c r="AE86" s="18"/>
      <c r="AF86" s="79"/>
      <c r="AG86" s="87"/>
      <c r="AH86" s="80"/>
      <c r="AI86" s="80"/>
      <c r="AJ86" s="79"/>
      <c r="AK86" s="87"/>
      <c r="AL86" s="80"/>
      <c r="AM86" s="80"/>
      <c r="AN86" s="18"/>
      <c r="AO86" s="79"/>
      <c r="AP86" s="87"/>
      <c r="AQ86" s="80"/>
      <c r="AR86" s="80"/>
      <c r="AS86" s="18"/>
      <c r="AT86" s="79"/>
      <c r="AU86" s="87"/>
      <c r="AV86" s="80"/>
      <c r="AW86" s="80"/>
      <c r="AX86" s="18"/>
      <c r="AY86" s="79"/>
      <c r="AZ86" s="9" t="s">
        <v>892</v>
      </c>
      <c r="BA86" s="9" t="s">
        <v>878</v>
      </c>
      <c r="BB86" s="9" t="s">
        <v>864</v>
      </c>
      <c r="BC86" s="9" t="s">
        <v>808</v>
      </c>
      <c r="BD86" s="118"/>
    </row>
    <row r="87" spans="1:56" ht="16.5">
      <c r="A87" s="66">
        <v>86</v>
      </c>
      <c r="B87" s="7">
        <v>46</v>
      </c>
      <c r="C87" s="7">
        <v>60</v>
      </c>
      <c r="D87" s="119">
        <v>76</v>
      </c>
      <c r="E87" s="119">
        <v>86</v>
      </c>
      <c r="F87" s="120" t="s">
        <v>225</v>
      </c>
      <c r="G87" s="120" t="s">
        <v>45</v>
      </c>
      <c r="H87" s="79" t="s">
        <v>1122</v>
      </c>
      <c r="I87" s="79"/>
      <c r="J87" s="79"/>
      <c r="K87" s="79"/>
      <c r="L87" s="79"/>
      <c r="M87" s="79"/>
      <c r="N87" s="79"/>
      <c r="O87" s="79"/>
      <c r="P87" s="79" t="s">
        <v>1122</v>
      </c>
      <c r="Q87" s="80" t="s">
        <v>941</v>
      </c>
      <c r="R87" s="18" t="s">
        <v>1799</v>
      </c>
      <c r="S87" s="18"/>
      <c r="T87" s="79"/>
      <c r="U87" s="87"/>
      <c r="V87" s="80"/>
      <c r="W87" s="80"/>
      <c r="X87" s="18"/>
      <c r="Y87" s="18"/>
      <c r="Z87" s="79"/>
      <c r="AA87" s="87"/>
      <c r="AB87" s="80"/>
      <c r="AC87" s="80"/>
      <c r="AD87" s="18"/>
      <c r="AE87" s="18"/>
      <c r="AF87" s="79"/>
      <c r="AG87" s="87"/>
      <c r="AH87" s="80"/>
      <c r="AI87" s="80"/>
      <c r="AJ87" s="79"/>
      <c r="AK87" s="87"/>
      <c r="AL87" s="80"/>
      <c r="AM87" s="80"/>
      <c r="AN87" s="18"/>
      <c r="AO87" s="79"/>
      <c r="AP87" s="87"/>
      <c r="AQ87" s="80"/>
      <c r="AR87" s="80"/>
      <c r="AS87" s="18"/>
      <c r="AT87" s="79"/>
      <c r="AU87" s="87"/>
      <c r="AV87" s="80"/>
      <c r="AW87" s="80"/>
      <c r="AX87" s="18"/>
      <c r="AY87" s="79"/>
      <c r="AZ87" s="9" t="s">
        <v>1555</v>
      </c>
      <c r="BA87" s="9" t="s">
        <v>1448</v>
      </c>
      <c r="BB87" s="9" t="s">
        <v>1341</v>
      </c>
      <c r="BC87" s="9" t="s">
        <v>1233</v>
      </c>
      <c r="BD87" s="118"/>
    </row>
    <row r="88" spans="1:56" ht="16.5">
      <c r="A88" s="66">
        <v>87</v>
      </c>
      <c r="B88" s="7">
        <v>47</v>
      </c>
      <c r="C88" s="7">
        <v>61</v>
      </c>
      <c r="D88" s="119">
        <v>77</v>
      </c>
      <c r="E88" s="119">
        <v>87</v>
      </c>
      <c r="F88" s="120" t="s">
        <v>210</v>
      </c>
      <c r="G88" s="120" t="s">
        <v>211</v>
      </c>
      <c r="H88" s="79" t="s">
        <v>1123</v>
      </c>
      <c r="I88" s="79"/>
      <c r="J88" s="79"/>
      <c r="K88" s="79"/>
      <c r="L88" s="79"/>
      <c r="M88" s="79"/>
      <c r="N88" s="79"/>
      <c r="O88" s="79"/>
      <c r="P88" s="79" t="s">
        <v>1123</v>
      </c>
      <c r="Q88" s="80" t="s">
        <v>943</v>
      </c>
      <c r="R88" s="18" t="s">
        <v>1800</v>
      </c>
      <c r="S88" s="18"/>
      <c r="T88" s="79"/>
      <c r="U88" s="87"/>
      <c r="V88" s="80"/>
      <c r="W88" s="80"/>
      <c r="X88" s="18"/>
      <c r="Y88" s="18"/>
      <c r="Z88" s="79"/>
      <c r="AA88" s="87"/>
      <c r="AB88" s="80"/>
      <c r="AC88" s="80"/>
      <c r="AD88" s="18"/>
      <c r="AE88" s="18"/>
      <c r="AF88" s="79"/>
      <c r="AG88" s="87"/>
      <c r="AH88" s="80"/>
      <c r="AI88" s="80"/>
      <c r="AJ88" s="79"/>
      <c r="AK88" s="87"/>
      <c r="AL88" s="80"/>
      <c r="AM88" s="80"/>
      <c r="AN88" s="18"/>
      <c r="AO88" s="79"/>
      <c r="AP88" s="87"/>
      <c r="AQ88" s="80"/>
      <c r="AR88" s="80"/>
      <c r="AS88" s="18"/>
      <c r="AT88" s="79"/>
      <c r="AU88" s="87"/>
      <c r="AV88" s="80"/>
      <c r="AW88" s="80"/>
      <c r="AX88" s="18"/>
      <c r="AY88" s="79"/>
      <c r="AZ88" s="9" t="s">
        <v>893</v>
      </c>
      <c r="BA88" s="9" t="s">
        <v>879</v>
      </c>
      <c r="BB88" s="9" t="s">
        <v>865</v>
      </c>
      <c r="BC88" s="9" t="s">
        <v>809</v>
      </c>
      <c r="BD88" s="118"/>
    </row>
    <row r="89" spans="1:56" ht="16.5">
      <c r="A89" s="66">
        <v>88</v>
      </c>
      <c r="B89" s="7">
        <v>48</v>
      </c>
      <c r="C89" s="7">
        <v>62</v>
      </c>
      <c r="D89" s="119">
        <v>78</v>
      </c>
      <c r="E89" s="119">
        <v>88</v>
      </c>
      <c r="F89" s="120" t="s">
        <v>209</v>
      </c>
      <c r="G89" s="120" t="s">
        <v>33</v>
      </c>
      <c r="H89" s="79" t="s">
        <v>1124</v>
      </c>
      <c r="I89" s="79"/>
      <c r="J89" s="79"/>
      <c r="K89" s="79"/>
      <c r="L89" s="79"/>
      <c r="M89" s="79"/>
      <c r="N89" s="79"/>
      <c r="O89" s="79"/>
      <c r="P89" s="79" t="s">
        <v>1124</v>
      </c>
      <c r="Q89" s="80" t="s">
        <v>945</v>
      </c>
      <c r="R89" s="18" t="s">
        <v>1801</v>
      </c>
      <c r="S89" s="18" t="s">
        <v>2333</v>
      </c>
      <c r="T89" s="79"/>
      <c r="U89" s="87"/>
      <c r="V89" s="80"/>
      <c r="W89" s="80"/>
      <c r="X89" s="18"/>
      <c r="Y89" s="18"/>
      <c r="Z89" s="79"/>
      <c r="AA89" s="87"/>
      <c r="AB89" s="80"/>
      <c r="AC89" s="80"/>
      <c r="AD89" s="18"/>
      <c r="AE89" s="18"/>
      <c r="AF89" s="79"/>
      <c r="AG89" s="87"/>
      <c r="AH89" s="80"/>
      <c r="AI89" s="80"/>
      <c r="AJ89" s="79"/>
      <c r="AK89" s="87"/>
      <c r="AL89" s="80"/>
      <c r="AM89" s="80"/>
      <c r="AN89" s="18"/>
      <c r="AO89" s="79"/>
      <c r="AP89" s="87"/>
      <c r="AQ89" s="80"/>
      <c r="AR89" s="80"/>
      <c r="AS89" s="18"/>
      <c r="AT89" s="79"/>
      <c r="AU89" s="87"/>
      <c r="AV89" s="80"/>
      <c r="AW89" s="80"/>
      <c r="AX89" s="18"/>
      <c r="AY89" s="79"/>
      <c r="AZ89" s="9" t="s">
        <v>1556</v>
      </c>
      <c r="BA89" s="9" t="s">
        <v>1449</v>
      </c>
      <c r="BB89" s="9" t="s">
        <v>1342</v>
      </c>
      <c r="BC89" s="9" t="s">
        <v>1234</v>
      </c>
      <c r="BD89" s="118"/>
    </row>
    <row r="90" spans="1:56" ht="16.5">
      <c r="A90" s="66">
        <v>89</v>
      </c>
      <c r="B90" s="7">
        <v>49</v>
      </c>
      <c r="C90" s="7">
        <v>63</v>
      </c>
      <c r="D90" s="119">
        <v>79</v>
      </c>
      <c r="E90" s="119">
        <v>89</v>
      </c>
      <c r="F90" s="120" t="s">
        <v>208</v>
      </c>
      <c r="G90" s="120" t="s">
        <v>34</v>
      </c>
      <c r="H90" s="79" t="s">
        <v>1125</v>
      </c>
      <c r="I90" s="79"/>
      <c r="J90" s="79"/>
      <c r="K90" s="79"/>
      <c r="L90" s="79"/>
      <c r="M90" s="79"/>
      <c r="N90" s="79"/>
      <c r="O90" s="79"/>
      <c r="P90" s="79" t="s">
        <v>1125</v>
      </c>
      <c r="Q90" s="79" t="s">
        <v>618</v>
      </c>
      <c r="R90" s="18"/>
      <c r="S90" s="18"/>
      <c r="T90" s="79"/>
      <c r="U90" s="87"/>
      <c r="V90" s="80"/>
      <c r="W90" s="80"/>
      <c r="X90" s="18"/>
      <c r="Y90" s="18"/>
      <c r="Z90" s="79"/>
      <c r="AA90" s="87"/>
      <c r="AB90" s="80"/>
      <c r="AC90" s="80"/>
      <c r="AD90" s="18"/>
      <c r="AE90" s="18"/>
      <c r="AF90" s="79"/>
      <c r="AG90" s="87"/>
      <c r="AH90" s="80"/>
      <c r="AI90" s="80"/>
      <c r="AJ90" s="79"/>
      <c r="AK90" s="87"/>
      <c r="AL90" s="80"/>
      <c r="AM90" s="80"/>
      <c r="AN90" s="18"/>
      <c r="AO90" s="79"/>
      <c r="AP90" s="87"/>
      <c r="AQ90" s="80"/>
      <c r="AR90" s="80"/>
      <c r="AS90" s="18"/>
      <c r="AT90" s="79"/>
      <c r="AU90" s="87"/>
      <c r="AV90" s="80"/>
      <c r="AW90" s="80"/>
      <c r="AX90" s="18"/>
      <c r="AY90" s="79"/>
      <c r="AZ90" s="9" t="s">
        <v>1557</v>
      </c>
      <c r="BA90" s="9" t="s">
        <v>1450</v>
      </c>
      <c r="BB90" s="9" t="s">
        <v>1343</v>
      </c>
      <c r="BC90" s="9" t="s">
        <v>1235</v>
      </c>
      <c r="BD90" s="118"/>
    </row>
    <row r="91" spans="1:56" ht="16.5">
      <c r="A91" s="66">
        <v>90</v>
      </c>
      <c r="B91" s="7">
        <v>50</v>
      </c>
      <c r="C91" s="7">
        <v>64</v>
      </c>
      <c r="D91" s="119">
        <v>80</v>
      </c>
      <c r="E91" s="119">
        <v>90</v>
      </c>
      <c r="F91" s="120" t="s">
        <v>207</v>
      </c>
      <c r="G91" s="120" t="s">
        <v>35</v>
      </c>
      <c r="H91" s="79" t="s">
        <v>1126</v>
      </c>
      <c r="I91" s="79"/>
      <c r="J91" s="79"/>
      <c r="K91" s="79"/>
      <c r="L91" s="79"/>
      <c r="M91" s="79"/>
      <c r="N91" s="79"/>
      <c r="O91" s="79"/>
      <c r="P91" s="79" t="s">
        <v>1126</v>
      </c>
      <c r="Q91" s="79" t="s">
        <v>619</v>
      </c>
      <c r="R91" s="18"/>
      <c r="S91" s="18"/>
      <c r="T91" s="79"/>
      <c r="U91" s="18"/>
      <c r="V91" s="80"/>
      <c r="W91" s="80"/>
      <c r="X91" s="18"/>
      <c r="Y91" s="18"/>
      <c r="Z91" s="79"/>
      <c r="AA91" s="18"/>
      <c r="AB91" s="80"/>
      <c r="AC91" s="80"/>
      <c r="AD91" s="18"/>
      <c r="AE91" s="18"/>
      <c r="AF91" s="79"/>
      <c r="AG91" s="18"/>
      <c r="AH91" s="80"/>
      <c r="AI91" s="80"/>
      <c r="AJ91" s="79"/>
      <c r="AK91" s="18"/>
      <c r="AL91" s="80"/>
      <c r="AM91" s="80"/>
      <c r="AN91" s="18"/>
      <c r="AO91" s="79"/>
      <c r="AP91" s="18"/>
      <c r="AQ91" s="80"/>
      <c r="AR91" s="80"/>
      <c r="AS91" s="18"/>
      <c r="AT91" s="79"/>
      <c r="AU91" s="18"/>
      <c r="AV91" s="80"/>
      <c r="AW91" s="80"/>
      <c r="AX91" s="18"/>
      <c r="AY91" s="79"/>
      <c r="AZ91" s="9" t="s">
        <v>1558</v>
      </c>
      <c r="BA91" s="9" t="s">
        <v>1451</v>
      </c>
      <c r="BB91" s="9" t="s">
        <v>1344</v>
      </c>
      <c r="BC91" s="9" t="s">
        <v>1236</v>
      </c>
      <c r="BD91" s="118"/>
    </row>
    <row r="92" spans="1:56" ht="16.5">
      <c r="A92" s="66">
        <v>91</v>
      </c>
      <c r="B92" s="7"/>
      <c r="C92" s="7"/>
      <c r="D92" s="119">
        <v>81</v>
      </c>
      <c r="E92" s="119">
        <v>91</v>
      </c>
      <c r="F92" s="120" t="s">
        <v>206</v>
      </c>
      <c r="G92" s="120" t="s">
        <v>36</v>
      </c>
      <c r="H92" s="79" t="s">
        <v>1127</v>
      </c>
      <c r="I92" s="79"/>
      <c r="J92" s="79"/>
      <c r="K92" s="79"/>
      <c r="L92" s="79"/>
      <c r="M92" s="79"/>
      <c r="N92" s="79"/>
      <c r="O92" s="79"/>
      <c r="P92" s="79" t="s">
        <v>1127</v>
      </c>
      <c r="Q92" s="79" t="s">
        <v>620</v>
      </c>
      <c r="R92" s="18"/>
      <c r="S92" s="18"/>
      <c r="T92" s="79"/>
      <c r="U92" s="18"/>
      <c r="V92" s="80"/>
      <c r="W92" s="80"/>
      <c r="X92" s="18"/>
      <c r="Y92" s="18"/>
      <c r="Z92" s="79"/>
      <c r="AA92" s="18"/>
      <c r="AB92" s="80"/>
      <c r="AC92" s="80"/>
      <c r="AD92" s="18"/>
      <c r="AE92" s="18"/>
      <c r="AF92" s="79"/>
      <c r="AG92" s="18"/>
      <c r="AH92" s="80"/>
      <c r="AI92" s="80"/>
      <c r="AJ92" s="79"/>
      <c r="AK92" s="18"/>
      <c r="AL92" s="80"/>
      <c r="AM92" s="80"/>
      <c r="AN92" s="18"/>
      <c r="AO92" s="79"/>
      <c r="AP92" s="18"/>
      <c r="AQ92" s="80"/>
      <c r="AR92" s="80"/>
      <c r="AS92" s="18"/>
      <c r="AT92" s="79"/>
      <c r="AU92" s="18"/>
      <c r="AV92" s="80"/>
      <c r="AW92" s="80"/>
      <c r="AX92" s="18"/>
      <c r="AY92" s="79"/>
      <c r="AZ92" s="9" t="s">
        <v>1559</v>
      </c>
      <c r="BA92" s="9" t="s">
        <v>1452</v>
      </c>
      <c r="BB92" s="9" t="s">
        <v>1345</v>
      </c>
      <c r="BC92" s="9" t="s">
        <v>1237</v>
      </c>
      <c r="BD92" s="118"/>
    </row>
    <row r="93" spans="1:56" ht="16.5">
      <c r="A93" s="66">
        <v>92</v>
      </c>
      <c r="B93" s="7"/>
      <c r="C93" s="7"/>
      <c r="D93" s="119">
        <v>82</v>
      </c>
      <c r="E93" s="119">
        <v>92</v>
      </c>
      <c r="F93" s="120" t="s">
        <v>205</v>
      </c>
      <c r="G93" s="120" t="s">
        <v>37</v>
      </c>
      <c r="H93" s="79" t="s">
        <v>1128</v>
      </c>
      <c r="I93" s="79"/>
      <c r="J93" s="79"/>
      <c r="K93" s="79"/>
      <c r="L93" s="79"/>
      <c r="M93" s="79"/>
      <c r="N93" s="79"/>
      <c r="O93" s="79"/>
      <c r="P93" s="79" t="s">
        <v>1128</v>
      </c>
      <c r="Q93" s="79" t="s">
        <v>621</v>
      </c>
      <c r="R93" s="18"/>
      <c r="S93" s="18"/>
      <c r="T93" s="79"/>
      <c r="U93" s="18"/>
      <c r="V93" s="80"/>
      <c r="W93" s="80"/>
      <c r="X93" s="18"/>
      <c r="Y93" s="18"/>
      <c r="Z93" s="79"/>
      <c r="AA93" s="18"/>
      <c r="AB93" s="80"/>
      <c r="AC93" s="80"/>
      <c r="AD93" s="18"/>
      <c r="AE93" s="18"/>
      <c r="AF93" s="79"/>
      <c r="AG93" s="18"/>
      <c r="AH93" s="80"/>
      <c r="AI93" s="80"/>
      <c r="AJ93" s="79"/>
      <c r="AK93" s="18"/>
      <c r="AL93" s="80"/>
      <c r="AM93" s="80"/>
      <c r="AN93" s="18"/>
      <c r="AO93" s="79"/>
      <c r="AP93" s="18"/>
      <c r="AQ93" s="80"/>
      <c r="AR93" s="80"/>
      <c r="AS93" s="18"/>
      <c r="AT93" s="79"/>
      <c r="AU93" s="18"/>
      <c r="AV93" s="80"/>
      <c r="AW93" s="80"/>
      <c r="AX93" s="18"/>
      <c r="AY93" s="79"/>
      <c r="AZ93" s="9" t="s">
        <v>1560</v>
      </c>
      <c r="BA93" s="9" t="s">
        <v>1453</v>
      </c>
      <c r="BB93" s="9" t="s">
        <v>1346</v>
      </c>
      <c r="BC93" s="9" t="s">
        <v>1238</v>
      </c>
      <c r="BD93" s="118"/>
    </row>
    <row r="94" spans="1:56" ht="16.5">
      <c r="A94" s="66">
        <v>93</v>
      </c>
      <c r="B94" s="7">
        <v>51</v>
      </c>
      <c r="C94" s="7">
        <v>65</v>
      </c>
      <c r="D94" s="119">
        <v>83</v>
      </c>
      <c r="E94" s="119">
        <v>93</v>
      </c>
      <c r="F94" s="120" t="s">
        <v>204</v>
      </c>
      <c r="G94" s="120" t="s">
        <v>38</v>
      </c>
      <c r="H94" s="79" t="s">
        <v>1129</v>
      </c>
      <c r="I94" s="79"/>
      <c r="J94" s="79"/>
      <c r="K94" s="79"/>
      <c r="L94" s="79"/>
      <c r="M94" s="79"/>
      <c r="N94" s="79"/>
      <c r="O94" s="79"/>
      <c r="P94" s="79" t="s">
        <v>1129</v>
      </c>
      <c r="Q94" s="79" t="s">
        <v>622</v>
      </c>
      <c r="R94" s="18"/>
      <c r="S94" s="18"/>
      <c r="T94" s="79"/>
      <c r="U94" s="18"/>
      <c r="V94" s="80"/>
      <c r="W94" s="80"/>
      <c r="X94" s="18"/>
      <c r="Y94" s="18"/>
      <c r="Z94" s="79"/>
      <c r="AA94" s="18"/>
      <c r="AB94" s="80"/>
      <c r="AC94" s="80"/>
      <c r="AD94" s="18"/>
      <c r="AE94" s="18"/>
      <c r="AF94" s="79"/>
      <c r="AG94" s="18"/>
      <c r="AH94" s="80"/>
      <c r="AI94" s="80"/>
      <c r="AJ94" s="79"/>
      <c r="AK94" s="18"/>
      <c r="AL94" s="80"/>
      <c r="AM94" s="80"/>
      <c r="AN94" s="18"/>
      <c r="AO94" s="79"/>
      <c r="AP94" s="18"/>
      <c r="AQ94" s="80"/>
      <c r="AR94" s="80"/>
      <c r="AS94" s="18"/>
      <c r="AT94" s="79"/>
      <c r="AU94" s="18"/>
      <c r="AV94" s="80"/>
      <c r="AW94" s="80"/>
      <c r="AX94" s="18"/>
      <c r="AY94" s="79"/>
      <c r="AZ94" s="9" t="s">
        <v>1561</v>
      </c>
      <c r="BA94" s="9" t="s">
        <v>1454</v>
      </c>
      <c r="BB94" s="9" t="s">
        <v>1347</v>
      </c>
      <c r="BC94" s="9" t="s">
        <v>1239</v>
      </c>
      <c r="BD94" s="118"/>
    </row>
    <row r="95" spans="1:56" ht="16.5">
      <c r="A95" s="66">
        <v>94</v>
      </c>
      <c r="B95" s="7">
        <v>52</v>
      </c>
      <c r="C95" s="7">
        <v>66</v>
      </c>
      <c r="D95" s="119">
        <v>84</v>
      </c>
      <c r="E95" s="119">
        <v>94</v>
      </c>
      <c r="F95" s="120" t="s">
        <v>203</v>
      </c>
      <c r="G95" s="120" t="s">
        <v>39</v>
      </c>
      <c r="H95" s="79" t="s">
        <v>1130</v>
      </c>
      <c r="I95" s="79"/>
      <c r="J95" s="79"/>
      <c r="K95" s="79"/>
      <c r="L95" s="79"/>
      <c r="M95" s="79"/>
      <c r="N95" s="79"/>
      <c r="O95" s="79"/>
      <c r="P95" s="79" t="s">
        <v>1130</v>
      </c>
      <c r="Q95" s="79" t="s">
        <v>623</v>
      </c>
      <c r="R95" s="18"/>
      <c r="S95" s="18"/>
      <c r="T95" s="79"/>
      <c r="U95" s="18"/>
      <c r="V95" s="80"/>
      <c r="W95" s="80"/>
      <c r="X95" s="18"/>
      <c r="Y95" s="18"/>
      <c r="Z95" s="79"/>
      <c r="AA95" s="18"/>
      <c r="AB95" s="80"/>
      <c r="AC95" s="80"/>
      <c r="AD95" s="18"/>
      <c r="AE95" s="18"/>
      <c r="AF95" s="79"/>
      <c r="AG95" s="18"/>
      <c r="AH95" s="80"/>
      <c r="AI95" s="80"/>
      <c r="AJ95" s="79"/>
      <c r="AK95" s="18"/>
      <c r="AL95" s="80"/>
      <c r="AM95" s="80"/>
      <c r="AN95" s="18"/>
      <c r="AO95" s="79"/>
      <c r="AP95" s="18"/>
      <c r="AQ95" s="80"/>
      <c r="AR95" s="80"/>
      <c r="AS95" s="18"/>
      <c r="AT95" s="79"/>
      <c r="AU95" s="18"/>
      <c r="AV95" s="80"/>
      <c r="AW95" s="80"/>
      <c r="AX95" s="18"/>
      <c r="AY95" s="79"/>
      <c r="AZ95" s="9" t="s">
        <v>1562</v>
      </c>
      <c r="BA95" s="9" t="s">
        <v>1455</v>
      </c>
      <c r="BB95" s="9" t="s">
        <v>1348</v>
      </c>
      <c r="BC95" s="9" t="s">
        <v>1240</v>
      </c>
      <c r="BD95" s="118"/>
    </row>
    <row r="96" spans="1:56" ht="16.5">
      <c r="A96" s="66">
        <v>95</v>
      </c>
      <c r="B96" s="7"/>
      <c r="C96" s="7"/>
      <c r="D96" s="119">
        <v>85</v>
      </c>
      <c r="E96" s="119">
        <v>95</v>
      </c>
      <c r="F96" s="120" t="s">
        <v>136</v>
      </c>
      <c r="G96" s="120" t="s">
        <v>137</v>
      </c>
      <c r="H96" s="79" t="s">
        <v>1131</v>
      </c>
      <c r="I96" s="79"/>
      <c r="J96" s="79"/>
      <c r="K96" s="79"/>
      <c r="L96" s="79"/>
      <c r="M96" s="79"/>
      <c r="N96" s="79"/>
      <c r="O96" s="79"/>
      <c r="P96" s="79" t="s">
        <v>1131</v>
      </c>
      <c r="Q96" s="79" t="s">
        <v>624</v>
      </c>
      <c r="R96" s="20"/>
      <c r="S96" s="20"/>
      <c r="T96" s="79"/>
      <c r="U96" s="20"/>
      <c r="V96" s="80"/>
      <c r="W96" s="80"/>
      <c r="X96" s="20"/>
      <c r="Y96" s="20"/>
      <c r="Z96" s="79"/>
      <c r="AA96" s="20"/>
      <c r="AB96" s="80"/>
      <c r="AC96" s="80"/>
      <c r="AD96" s="20"/>
      <c r="AE96" s="20"/>
      <c r="AF96" s="79"/>
      <c r="AG96" s="20"/>
      <c r="AH96" s="80"/>
      <c r="AI96" s="80"/>
      <c r="AJ96" s="79"/>
      <c r="AK96" s="20"/>
      <c r="AL96" s="80"/>
      <c r="AM96" s="80"/>
      <c r="AN96" s="20"/>
      <c r="AO96" s="79"/>
      <c r="AP96" s="20"/>
      <c r="AQ96" s="80"/>
      <c r="AR96" s="80"/>
      <c r="AS96" s="20"/>
      <c r="AT96" s="79"/>
      <c r="AU96" s="20"/>
      <c r="AV96" s="80"/>
      <c r="AW96" s="80"/>
      <c r="AX96" s="20"/>
      <c r="AY96" s="79"/>
      <c r="AZ96" s="9" t="s">
        <v>1563</v>
      </c>
      <c r="BA96" s="9" t="s">
        <v>1456</v>
      </c>
      <c r="BB96" s="9" t="s">
        <v>1349</v>
      </c>
      <c r="BC96" s="9" t="s">
        <v>1241</v>
      </c>
      <c r="BD96" s="118"/>
    </row>
    <row r="97" spans="1:56" ht="16.5">
      <c r="A97" s="66">
        <v>96</v>
      </c>
      <c r="B97" s="7"/>
      <c r="C97" s="7"/>
      <c r="D97" s="119">
        <v>86</v>
      </c>
      <c r="E97" s="119">
        <v>96</v>
      </c>
      <c r="F97" s="120" t="s">
        <v>118</v>
      </c>
      <c r="G97" s="120" t="s">
        <v>119</v>
      </c>
      <c r="H97" s="79" t="s">
        <v>1132</v>
      </c>
      <c r="I97" s="79"/>
      <c r="J97" s="79"/>
      <c r="K97" s="79"/>
      <c r="L97" s="79"/>
      <c r="M97" s="79"/>
      <c r="N97" s="79"/>
      <c r="O97" s="79"/>
      <c r="P97" s="79" t="s">
        <v>1132</v>
      </c>
      <c r="Q97" s="79" t="s">
        <v>625</v>
      </c>
      <c r="R97" s="20"/>
      <c r="S97" s="20"/>
      <c r="T97" s="79"/>
      <c r="U97" s="20"/>
      <c r="V97" s="80"/>
      <c r="W97" s="80"/>
      <c r="X97" s="20"/>
      <c r="Y97" s="20"/>
      <c r="Z97" s="79"/>
      <c r="AA97" s="20"/>
      <c r="AB97" s="80"/>
      <c r="AC97" s="80"/>
      <c r="AD97" s="20"/>
      <c r="AE97" s="20"/>
      <c r="AF97" s="79"/>
      <c r="AG97" s="20"/>
      <c r="AH97" s="80"/>
      <c r="AI97" s="80"/>
      <c r="AJ97" s="79"/>
      <c r="AK97" s="20"/>
      <c r="AL97" s="80"/>
      <c r="AM97" s="80"/>
      <c r="AN97" s="20"/>
      <c r="AO97" s="79"/>
      <c r="AP97" s="20"/>
      <c r="AQ97" s="80"/>
      <c r="AR97" s="80"/>
      <c r="AS97" s="20"/>
      <c r="AT97" s="79"/>
      <c r="AU97" s="20"/>
      <c r="AV97" s="80"/>
      <c r="AW97" s="80"/>
      <c r="AX97" s="20"/>
      <c r="AY97" s="79"/>
      <c r="AZ97" s="9" t="s">
        <v>1564</v>
      </c>
      <c r="BA97" s="9" t="s">
        <v>1457</v>
      </c>
      <c r="BB97" s="9" t="s">
        <v>1350</v>
      </c>
      <c r="BC97" s="9" t="s">
        <v>1242</v>
      </c>
      <c r="BD97" s="118"/>
    </row>
    <row r="98" spans="1:56" ht="16.5">
      <c r="A98" s="66">
        <v>97</v>
      </c>
      <c r="B98" s="7">
        <v>53</v>
      </c>
      <c r="C98" s="7">
        <v>67</v>
      </c>
      <c r="D98" s="119">
        <v>87</v>
      </c>
      <c r="E98" s="119">
        <v>97</v>
      </c>
      <c r="F98" s="120" t="s">
        <v>187</v>
      </c>
      <c r="G98" s="120" t="s">
        <v>188</v>
      </c>
      <c r="H98" s="79" t="s">
        <v>1133</v>
      </c>
      <c r="I98" s="79"/>
      <c r="J98" s="79"/>
      <c r="K98" s="79"/>
      <c r="L98" s="79"/>
      <c r="M98" s="79"/>
      <c r="N98" s="79"/>
      <c r="O98" s="79"/>
      <c r="P98" s="79" t="s">
        <v>1133</v>
      </c>
      <c r="Q98" s="80" t="s">
        <v>948</v>
      </c>
      <c r="R98" s="20" t="s">
        <v>1769</v>
      </c>
      <c r="S98" s="20"/>
      <c r="T98" s="79"/>
      <c r="U98" s="87"/>
      <c r="V98" s="80"/>
      <c r="W98" s="80"/>
      <c r="X98" s="20"/>
      <c r="Y98" s="20"/>
      <c r="Z98" s="79"/>
      <c r="AA98" s="87"/>
      <c r="AB98" s="80"/>
      <c r="AC98" s="80"/>
      <c r="AD98" s="20"/>
      <c r="AE98" s="20"/>
      <c r="AF98" s="79"/>
      <c r="AG98" s="87"/>
      <c r="AH98" s="80"/>
      <c r="AI98" s="80"/>
      <c r="AJ98" s="79"/>
      <c r="AK98" s="87"/>
      <c r="AL98" s="80"/>
      <c r="AM98" s="80"/>
      <c r="AN98" s="20"/>
      <c r="AO98" s="79"/>
      <c r="AP98" s="87"/>
      <c r="AQ98" s="80"/>
      <c r="AR98" s="80"/>
      <c r="AS98" s="20"/>
      <c r="AT98" s="79"/>
      <c r="AU98" s="87"/>
      <c r="AV98" s="80"/>
      <c r="AW98" s="80"/>
      <c r="AX98" s="20"/>
      <c r="AY98" s="79"/>
      <c r="AZ98" s="9" t="s">
        <v>894</v>
      </c>
      <c r="BA98" s="9" t="s">
        <v>880</v>
      </c>
      <c r="BB98" s="9" t="s">
        <v>866</v>
      </c>
      <c r="BC98" s="9" t="s">
        <v>810</v>
      </c>
      <c r="BD98" s="118"/>
    </row>
    <row r="99" spans="1:56" ht="16.5">
      <c r="A99" s="66">
        <v>98</v>
      </c>
      <c r="B99" s="7">
        <v>54</v>
      </c>
      <c r="C99" s="7">
        <v>68</v>
      </c>
      <c r="D99" s="119">
        <v>88</v>
      </c>
      <c r="E99" s="119">
        <v>98</v>
      </c>
      <c r="F99" s="120" t="s">
        <v>186</v>
      </c>
      <c r="G99" s="120" t="s">
        <v>21</v>
      </c>
      <c r="H99" s="79" t="s">
        <v>1134</v>
      </c>
      <c r="I99" s="79"/>
      <c r="J99" s="79"/>
      <c r="K99" s="79"/>
      <c r="L99" s="79"/>
      <c r="M99" s="79"/>
      <c r="N99" s="79"/>
      <c r="O99" s="79"/>
      <c r="P99" s="79" t="s">
        <v>1134</v>
      </c>
      <c r="Q99" s="80" t="s">
        <v>949</v>
      </c>
      <c r="R99" s="20" t="s">
        <v>2171</v>
      </c>
      <c r="S99" s="20" t="s">
        <v>1778</v>
      </c>
      <c r="T99" s="79"/>
      <c r="U99" s="87"/>
      <c r="V99" s="80"/>
      <c r="W99" s="80"/>
      <c r="X99" s="20"/>
      <c r="Y99" s="20"/>
      <c r="Z99" s="79"/>
      <c r="AA99" s="87"/>
      <c r="AB99" s="80"/>
      <c r="AC99" s="80"/>
      <c r="AD99" s="20"/>
      <c r="AE99" s="20"/>
      <c r="AF99" s="79"/>
      <c r="AG99" s="87"/>
      <c r="AH99" s="80"/>
      <c r="AI99" s="80"/>
      <c r="AJ99" s="79"/>
      <c r="AK99" s="87"/>
      <c r="AL99" s="80"/>
      <c r="AM99" s="80"/>
      <c r="AN99" s="20"/>
      <c r="AO99" s="79"/>
      <c r="AP99" s="87"/>
      <c r="AQ99" s="80"/>
      <c r="AR99" s="80"/>
      <c r="AS99" s="20"/>
      <c r="AT99" s="79"/>
      <c r="AU99" s="87"/>
      <c r="AV99" s="80"/>
      <c r="AW99" s="80"/>
      <c r="AX99" s="20"/>
      <c r="AY99" s="79"/>
      <c r="AZ99" s="9" t="s">
        <v>1565</v>
      </c>
      <c r="BA99" s="9" t="s">
        <v>1458</v>
      </c>
      <c r="BB99" s="9" t="s">
        <v>1351</v>
      </c>
      <c r="BC99" s="9" t="s">
        <v>1243</v>
      </c>
      <c r="BD99" s="118"/>
    </row>
    <row r="100" spans="1:56" ht="16.5">
      <c r="A100" s="66">
        <v>99</v>
      </c>
      <c r="B100" s="7">
        <v>55</v>
      </c>
      <c r="C100" s="7">
        <v>69</v>
      </c>
      <c r="D100" s="119">
        <v>89</v>
      </c>
      <c r="E100" s="119">
        <v>99</v>
      </c>
      <c r="F100" s="120" t="s">
        <v>185</v>
      </c>
      <c r="G100" s="120" t="s">
        <v>23</v>
      </c>
      <c r="H100" s="79" t="s">
        <v>1135</v>
      </c>
      <c r="I100" s="79"/>
      <c r="J100" s="79"/>
      <c r="K100" s="79"/>
      <c r="L100" s="79"/>
      <c r="M100" s="79"/>
      <c r="N100" s="79"/>
      <c r="O100" s="79"/>
      <c r="P100" s="79" t="s">
        <v>1135</v>
      </c>
      <c r="Q100" s="80" t="s">
        <v>950</v>
      </c>
      <c r="R100" s="20" t="s">
        <v>2172</v>
      </c>
      <c r="S100" s="20" t="s">
        <v>1779</v>
      </c>
      <c r="T100" s="79"/>
      <c r="U100" s="87"/>
      <c r="V100" s="80"/>
      <c r="W100" s="80"/>
      <c r="X100" s="20"/>
      <c r="Y100" s="20"/>
      <c r="Z100" s="79"/>
      <c r="AA100" s="87"/>
      <c r="AB100" s="80"/>
      <c r="AC100" s="80"/>
      <c r="AD100" s="20"/>
      <c r="AE100" s="20"/>
      <c r="AF100" s="79"/>
      <c r="AG100" s="87"/>
      <c r="AH100" s="80"/>
      <c r="AI100" s="80"/>
      <c r="AJ100" s="79"/>
      <c r="AK100" s="87"/>
      <c r="AL100" s="80"/>
      <c r="AM100" s="80"/>
      <c r="AN100" s="20"/>
      <c r="AO100" s="79"/>
      <c r="AP100" s="87"/>
      <c r="AQ100" s="80"/>
      <c r="AR100" s="80"/>
      <c r="AS100" s="20"/>
      <c r="AT100" s="79"/>
      <c r="AU100" s="87"/>
      <c r="AV100" s="80"/>
      <c r="AW100" s="80"/>
      <c r="AX100" s="20"/>
      <c r="AY100" s="79"/>
      <c r="AZ100" s="9" t="s">
        <v>1566</v>
      </c>
      <c r="BA100" s="9" t="s">
        <v>1459</v>
      </c>
      <c r="BB100" s="9" t="s">
        <v>1352</v>
      </c>
      <c r="BC100" s="9" t="s">
        <v>1244</v>
      </c>
      <c r="BD100" s="118"/>
    </row>
    <row r="101" spans="1:56" ht="16.5">
      <c r="A101" s="66">
        <v>100</v>
      </c>
      <c r="B101" s="7">
        <v>56</v>
      </c>
      <c r="C101" s="7">
        <v>70</v>
      </c>
      <c r="D101" s="119">
        <v>90</v>
      </c>
      <c r="E101" s="119">
        <v>100</v>
      </c>
      <c r="F101" s="120" t="s">
        <v>184</v>
      </c>
      <c r="G101" s="120" t="s">
        <v>24</v>
      </c>
      <c r="H101" s="79" t="s">
        <v>1136</v>
      </c>
      <c r="I101" s="79"/>
      <c r="J101" s="79"/>
      <c r="K101" s="79"/>
      <c r="L101" s="79"/>
      <c r="M101" s="79"/>
      <c r="N101" s="79"/>
      <c r="O101" s="79"/>
      <c r="P101" s="79" t="s">
        <v>1136</v>
      </c>
      <c r="Q101" s="80" t="s">
        <v>952</v>
      </c>
      <c r="R101" s="20" t="s">
        <v>2173</v>
      </c>
      <c r="S101" s="20" t="s">
        <v>1780</v>
      </c>
      <c r="T101" s="79"/>
      <c r="U101" s="87"/>
      <c r="V101" s="80"/>
      <c r="W101" s="80"/>
      <c r="X101" s="20"/>
      <c r="Y101" s="20"/>
      <c r="Z101" s="79"/>
      <c r="AA101" s="87"/>
      <c r="AB101" s="80"/>
      <c r="AC101" s="80"/>
      <c r="AD101" s="20"/>
      <c r="AE101" s="20"/>
      <c r="AF101" s="79"/>
      <c r="AG101" s="87"/>
      <c r="AH101" s="80"/>
      <c r="AI101" s="80"/>
      <c r="AJ101" s="79"/>
      <c r="AK101" s="87"/>
      <c r="AL101" s="80"/>
      <c r="AM101" s="80"/>
      <c r="AN101" s="20"/>
      <c r="AO101" s="79"/>
      <c r="AP101" s="87"/>
      <c r="AQ101" s="80"/>
      <c r="AR101" s="80"/>
      <c r="AS101" s="20"/>
      <c r="AT101" s="79"/>
      <c r="AU101" s="87"/>
      <c r="AV101" s="80"/>
      <c r="AW101" s="80"/>
      <c r="AX101" s="20"/>
      <c r="AY101" s="79"/>
      <c r="AZ101" s="9" t="s">
        <v>1567</v>
      </c>
      <c r="BA101" s="9" t="s">
        <v>1460</v>
      </c>
      <c r="BB101" s="9" t="s">
        <v>1353</v>
      </c>
      <c r="BC101" s="9" t="s">
        <v>1245</v>
      </c>
      <c r="BD101" s="118"/>
    </row>
    <row r="102" spans="1:56" ht="16.5">
      <c r="A102" s="66">
        <v>101</v>
      </c>
      <c r="B102" s="7">
        <v>57</v>
      </c>
      <c r="C102" s="7">
        <v>71</v>
      </c>
      <c r="D102" s="119">
        <v>91</v>
      </c>
      <c r="E102" s="119">
        <v>101</v>
      </c>
      <c r="F102" s="120" t="s">
        <v>183</v>
      </c>
      <c r="G102" s="120" t="s">
        <v>25</v>
      </c>
      <c r="H102" s="79" t="s">
        <v>1137</v>
      </c>
      <c r="I102" s="79"/>
      <c r="J102" s="79"/>
      <c r="K102" s="79"/>
      <c r="L102" s="79"/>
      <c r="M102" s="79"/>
      <c r="N102" s="79"/>
      <c r="O102" s="79"/>
      <c r="P102" s="79" t="s">
        <v>1137</v>
      </c>
      <c r="Q102" s="79" t="s">
        <v>626</v>
      </c>
      <c r="R102" s="18"/>
      <c r="S102" s="18"/>
      <c r="T102" s="79"/>
      <c r="U102" s="18"/>
      <c r="V102" s="18"/>
      <c r="W102" s="18"/>
      <c r="X102" s="18"/>
      <c r="Y102" s="18"/>
      <c r="Z102" s="79"/>
      <c r="AA102" s="18"/>
      <c r="AB102" s="18"/>
      <c r="AC102" s="18"/>
      <c r="AD102" s="18"/>
      <c r="AE102" s="18"/>
      <c r="AF102" s="79"/>
      <c r="AG102" s="18"/>
      <c r="AH102" s="18"/>
      <c r="AI102" s="18"/>
      <c r="AJ102" s="79"/>
      <c r="AK102" s="18"/>
      <c r="AL102" s="18"/>
      <c r="AM102" s="18"/>
      <c r="AN102" s="18"/>
      <c r="AO102" s="79"/>
      <c r="AP102" s="18"/>
      <c r="AQ102" s="18"/>
      <c r="AR102" s="18"/>
      <c r="AS102" s="18"/>
      <c r="AT102" s="79"/>
      <c r="AU102" s="18"/>
      <c r="AV102" s="18"/>
      <c r="AW102" s="18"/>
      <c r="AX102" s="18"/>
      <c r="AY102" s="79"/>
      <c r="AZ102" s="9" t="s">
        <v>1568</v>
      </c>
      <c r="BA102" s="9" t="s">
        <v>1461</v>
      </c>
      <c r="BB102" s="9" t="s">
        <v>1354</v>
      </c>
      <c r="BC102" s="9" t="s">
        <v>1246</v>
      </c>
      <c r="BD102" s="118"/>
    </row>
    <row r="103" spans="1:56" ht="16.5">
      <c r="A103" s="66">
        <v>102</v>
      </c>
      <c r="B103" s="7"/>
      <c r="C103" s="7">
        <v>72</v>
      </c>
      <c r="D103" s="119">
        <v>92</v>
      </c>
      <c r="E103" s="119">
        <v>102</v>
      </c>
      <c r="F103" s="120" t="s">
        <v>627</v>
      </c>
      <c r="G103" s="120" t="s">
        <v>763</v>
      </c>
      <c r="H103" s="79" t="s">
        <v>1138</v>
      </c>
      <c r="I103" s="79"/>
      <c r="J103" s="79"/>
      <c r="K103" s="79"/>
      <c r="L103" s="79"/>
      <c r="M103" s="79"/>
      <c r="N103" s="79"/>
      <c r="O103" s="79"/>
      <c r="P103" s="79" t="s">
        <v>1138</v>
      </c>
      <c r="Q103" s="79" t="s">
        <v>628</v>
      </c>
      <c r="R103" s="18"/>
      <c r="S103" s="18"/>
      <c r="T103" s="79"/>
      <c r="U103" s="18"/>
      <c r="V103" s="18"/>
      <c r="W103" s="18"/>
      <c r="X103" s="18"/>
      <c r="Y103" s="18"/>
      <c r="Z103" s="79"/>
      <c r="AA103" s="18"/>
      <c r="AB103" s="18"/>
      <c r="AC103" s="18"/>
      <c r="AD103" s="18"/>
      <c r="AE103" s="18"/>
      <c r="AF103" s="79"/>
      <c r="AG103" s="18"/>
      <c r="AH103" s="18"/>
      <c r="AI103" s="18"/>
      <c r="AJ103" s="79"/>
      <c r="AK103" s="18"/>
      <c r="AL103" s="18"/>
      <c r="AM103" s="18"/>
      <c r="AN103" s="18"/>
      <c r="AO103" s="79"/>
      <c r="AP103" s="18"/>
      <c r="AQ103" s="18"/>
      <c r="AR103" s="18"/>
      <c r="AS103" s="18"/>
      <c r="AT103" s="79"/>
      <c r="AU103" s="18"/>
      <c r="AV103" s="18"/>
      <c r="AW103" s="18"/>
      <c r="AX103" s="18"/>
      <c r="AY103" s="79"/>
      <c r="AZ103" s="9" t="s">
        <v>1569</v>
      </c>
      <c r="BA103" s="9" t="s">
        <v>1462</v>
      </c>
      <c r="BB103" s="9" t="s">
        <v>1355</v>
      </c>
      <c r="BC103" s="9" t="s">
        <v>1247</v>
      </c>
      <c r="BD103" s="118"/>
    </row>
    <row r="104" spans="1:56" ht="16.5">
      <c r="A104" s="66">
        <v>103</v>
      </c>
      <c r="B104" s="7">
        <v>58</v>
      </c>
      <c r="C104" s="7">
        <v>73</v>
      </c>
      <c r="D104" s="119">
        <v>93</v>
      </c>
      <c r="E104" s="119">
        <v>103</v>
      </c>
      <c r="F104" s="120" t="s">
        <v>154</v>
      </c>
      <c r="G104" s="120" t="s">
        <v>26</v>
      </c>
      <c r="H104" s="79" t="s">
        <v>1139</v>
      </c>
      <c r="I104" s="79"/>
      <c r="J104" s="79"/>
      <c r="K104" s="79"/>
      <c r="L104" s="79"/>
      <c r="M104" s="79"/>
      <c r="N104" s="79"/>
      <c r="O104" s="79"/>
      <c r="P104" s="79" t="s">
        <v>1139</v>
      </c>
      <c r="Q104" s="79" t="s">
        <v>629</v>
      </c>
      <c r="R104" s="18"/>
      <c r="S104" s="18"/>
      <c r="T104" s="79"/>
      <c r="U104" s="18"/>
      <c r="V104" s="18"/>
      <c r="W104" s="18"/>
      <c r="X104" s="18"/>
      <c r="Y104" s="18"/>
      <c r="Z104" s="79"/>
      <c r="AA104" s="18"/>
      <c r="AB104" s="18"/>
      <c r="AC104" s="18"/>
      <c r="AD104" s="18"/>
      <c r="AE104" s="18"/>
      <c r="AF104" s="79"/>
      <c r="AG104" s="18"/>
      <c r="AH104" s="18"/>
      <c r="AI104" s="18"/>
      <c r="AJ104" s="79"/>
      <c r="AK104" s="18"/>
      <c r="AL104" s="18"/>
      <c r="AM104" s="18"/>
      <c r="AN104" s="18"/>
      <c r="AO104" s="79"/>
      <c r="AP104" s="18"/>
      <c r="AQ104" s="18"/>
      <c r="AR104" s="18"/>
      <c r="AS104" s="18"/>
      <c r="AT104" s="79"/>
      <c r="AU104" s="18"/>
      <c r="AV104" s="18"/>
      <c r="AW104" s="18"/>
      <c r="AX104" s="18"/>
      <c r="AY104" s="79"/>
      <c r="AZ104" s="9" t="s">
        <v>1570</v>
      </c>
      <c r="BA104" s="9" t="s">
        <v>1463</v>
      </c>
      <c r="BB104" s="9" t="s">
        <v>1356</v>
      </c>
      <c r="BC104" s="9" t="s">
        <v>1248</v>
      </c>
      <c r="BD104" s="118"/>
    </row>
    <row r="105" spans="1:56" ht="16.5">
      <c r="A105" s="66">
        <v>104</v>
      </c>
      <c r="B105" s="7">
        <v>59</v>
      </c>
      <c r="C105" s="7">
        <v>74</v>
      </c>
      <c r="D105" s="119">
        <v>94</v>
      </c>
      <c r="E105" s="119">
        <v>104</v>
      </c>
      <c r="F105" s="120" t="s">
        <v>153</v>
      </c>
      <c r="G105" s="120" t="s">
        <v>27</v>
      </c>
      <c r="H105" s="79" t="s">
        <v>1140</v>
      </c>
      <c r="I105" s="79"/>
      <c r="J105" s="79"/>
      <c r="K105" s="79"/>
      <c r="L105" s="79"/>
      <c r="M105" s="79"/>
      <c r="N105" s="79"/>
      <c r="O105" s="79"/>
      <c r="P105" s="79" t="s">
        <v>1140</v>
      </c>
      <c r="Q105" s="79" t="s">
        <v>630</v>
      </c>
      <c r="R105" s="18"/>
      <c r="S105" s="18"/>
      <c r="T105" s="79"/>
      <c r="U105" s="18"/>
      <c r="V105" s="18"/>
      <c r="W105" s="18"/>
      <c r="X105" s="18"/>
      <c r="Y105" s="18"/>
      <c r="Z105" s="79"/>
      <c r="AA105" s="18"/>
      <c r="AB105" s="18"/>
      <c r="AC105" s="18"/>
      <c r="AD105" s="18"/>
      <c r="AE105" s="18"/>
      <c r="AF105" s="79"/>
      <c r="AG105" s="18"/>
      <c r="AH105" s="18"/>
      <c r="AI105" s="18"/>
      <c r="AJ105" s="79"/>
      <c r="AK105" s="18"/>
      <c r="AL105" s="18"/>
      <c r="AM105" s="18"/>
      <c r="AN105" s="18"/>
      <c r="AO105" s="79"/>
      <c r="AP105" s="18"/>
      <c r="AQ105" s="18"/>
      <c r="AR105" s="18"/>
      <c r="AS105" s="18"/>
      <c r="AT105" s="79"/>
      <c r="AU105" s="18"/>
      <c r="AV105" s="18"/>
      <c r="AW105" s="18"/>
      <c r="AX105" s="18"/>
      <c r="AY105" s="79"/>
      <c r="AZ105" s="9" t="s">
        <v>1571</v>
      </c>
      <c r="BA105" s="9" t="s">
        <v>1464</v>
      </c>
      <c r="BB105" s="9" t="s">
        <v>1357</v>
      </c>
      <c r="BC105" s="9" t="s">
        <v>1249</v>
      </c>
      <c r="BD105" s="118"/>
    </row>
    <row r="106" spans="1:56" ht="16.5">
      <c r="A106" s="66">
        <v>105</v>
      </c>
      <c r="B106" s="7"/>
      <c r="C106" s="7"/>
      <c r="D106" s="119">
        <v>95</v>
      </c>
      <c r="E106" s="119">
        <v>105</v>
      </c>
      <c r="F106" s="120" t="s">
        <v>116</v>
      </c>
      <c r="G106" s="120" t="s">
        <v>117</v>
      </c>
      <c r="H106" s="79" t="s">
        <v>1141</v>
      </c>
      <c r="I106" s="79"/>
      <c r="J106" s="79"/>
      <c r="K106" s="79"/>
      <c r="L106" s="79"/>
      <c r="M106" s="79"/>
      <c r="N106" s="79"/>
      <c r="O106" s="79"/>
      <c r="P106" s="79" t="s">
        <v>1141</v>
      </c>
      <c r="Q106" s="79" t="s">
        <v>631</v>
      </c>
      <c r="R106" s="18"/>
      <c r="S106" s="18"/>
      <c r="T106" s="79"/>
      <c r="U106" s="18"/>
      <c r="V106" s="18"/>
      <c r="W106" s="18"/>
      <c r="X106" s="18"/>
      <c r="Y106" s="18"/>
      <c r="Z106" s="79"/>
      <c r="AA106" s="18"/>
      <c r="AB106" s="18"/>
      <c r="AC106" s="18"/>
      <c r="AD106" s="18"/>
      <c r="AE106" s="18"/>
      <c r="AF106" s="79"/>
      <c r="AG106" s="18"/>
      <c r="AH106" s="18"/>
      <c r="AI106" s="18"/>
      <c r="AJ106" s="79"/>
      <c r="AK106" s="18"/>
      <c r="AL106" s="18"/>
      <c r="AM106" s="18"/>
      <c r="AN106" s="18"/>
      <c r="AO106" s="79"/>
      <c r="AP106" s="18"/>
      <c r="AQ106" s="18"/>
      <c r="AR106" s="18"/>
      <c r="AS106" s="18"/>
      <c r="AT106" s="79"/>
      <c r="AU106" s="18"/>
      <c r="AV106" s="18"/>
      <c r="AW106" s="18"/>
      <c r="AX106" s="18"/>
      <c r="AY106" s="79"/>
      <c r="AZ106" s="9" t="s">
        <v>1572</v>
      </c>
      <c r="BA106" s="9" t="s">
        <v>1465</v>
      </c>
      <c r="BB106" s="9" t="s">
        <v>1358</v>
      </c>
      <c r="BC106" s="9" t="s">
        <v>1250</v>
      </c>
      <c r="BD106" s="118"/>
    </row>
    <row r="107" spans="1:56" ht="16.5">
      <c r="A107" s="66">
        <v>106</v>
      </c>
      <c r="B107" s="7"/>
      <c r="C107" s="7"/>
      <c r="D107" s="119"/>
      <c r="E107" s="119">
        <v>106</v>
      </c>
      <c r="F107" s="120" t="s">
        <v>113</v>
      </c>
      <c r="G107" s="120" t="s">
        <v>114</v>
      </c>
      <c r="H107" s="79" t="s">
        <v>1142</v>
      </c>
      <c r="I107" s="79"/>
      <c r="J107" s="79"/>
      <c r="K107" s="79"/>
      <c r="L107" s="79"/>
      <c r="M107" s="79"/>
      <c r="N107" s="79"/>
      <c r="O107" s="79"/>
      <c r="P107" s="79" t="s">
        <v>1142</v>
      </c>
      <c r="Q107" s="79" t="s">
        <v>632</v>
      </c>
      <c r="R107" s="18"/>
      <c r="S107" s="18"/>
      <c r="T107" s="79"/>
      <c r="U107" s="18"/>
      <c r="V107" s="18"/>
      <c r="W107" s="18"/>
      <c r="X107" s="18"/>
      <c r="Y107" s="18"/>
      <c r="Z107" s="79"/>
      <c r="AA107" s="18"/>
      <c r="AB107" s="18"/>
      <c r="AC107" s="18"/>
      <c r="AD107" s="18"/>
      <c r="AE107" s="18"/>
      <c r="AF107" s="79"/>
      <c r="AG107" s="18"/>
      <c r="AH107" s="18"/>
      <c r="AI107" s="18"/>
      <c r="AJ107" s="79"/>
      <c r="AK107" s="18"/>
      <c r="AL107" s="18"/>
      <c r="AM107" s="18"/>
      <c r="AN107" s="18"/>
      <c r="AO107" s="79"/>
      <c r="AP107" s="18"/>
      <c r="AQ107" s="18"/>
      <c r="AR107" s="18"/>
      <c r="AS107" s="18"/>
      <c r="AT107" s="79"/>
      <c r="AU107" s="18"/>
      <c r="AV107" s="18"/>
      <c r="AW107" s="18"/>
      <c r="AX107" s="18"/>
      <c r="AY107" s="79"/>
      <c r="AZ107" s="9" t="s">
        <v>1573</v>
      </c>
      <c r="BA107" s="9" t="s">
        <v>1466</v>
      </c>
      <c r="BB107" s="9" t="s">
        <v>1359</v>
      </c>
      <c r="BC107" s="9" t="s">
        <v>1251</v>
      </c>
      <c r="BD107" s="118"/>
    </row>
    <row r="108" spans="1:56" ht="16.5">
      <c r="A108" s="66">
        <v>107</v>
      </c>
      <c r="B108" s="7"/>
      <c r="C108" s="7"/>
      <c r="D108" s="119"/>
      <c r="E108" s="119">
        <v>107</v>
      </c>
      <c r="F108" s="120" t="s">
        <v>111</v>
      </c>
      <c r="G108" s="120" t="s">
        <v>112</v>
      </c>
      <c r="H108" s="79" t="s">
        <v>1143</v>
      </c>
      <c r="I108" s="79"/>
      <c r="J108" s="79"/>
      <c r="K108" s="79"/>
      <c r="L108" s="79"/>
      <c r="M108" s="79"/>
      <c r="N108" s="79"/>
      <c r="O108" s="79"/>
      <c r="P108" s="79" t="s">
        <v>1143</v>
      </c>
      <c r="Q108" s="79" t="s">
        <v>633</v>
      </c>
      <c r="R108" s="20"/>
      <c r="S108" s="20"/>
      <c r="T108" s="79"/>
      <c r="U108" s="20"/>
      <c r="V108" s="20"/>
      <c r="W108" s="20"/>
      <c r="X108" s="20"/>
      <c r="Y108" s="20"/>
      <c r="Z108" s="79"/>
      <c r="AA108" s="20"/>
      <c r="AB108" s="20"/>
      <c r="AC108" s="20"/>
      <c r="AD108" s="20"/>
      <c r="AE108" s="20"/>
      <c r="AF108" s="79"/>
      <c r="AG108" s="20"/>
      <c r="AH108" s="20"/>
      <c r="AI108" s="20"/>
      <c r="AJ108" s="79"/>
      <c r="AK108" s="20"/>
      <c r="AL108" s="20"/>
      <c r="AM108" s="20"/>
      <c r="AN108" s="20"/>
      <c r="AO108" s="79"/>
      <c r="AP108" s="20"/>
      <c r="AQ108" s="20"/>
      <c r="AR108" s="20"/>
      <c r="AS108" s="20"/>
      <c r="AT108" s="79"/>
      <c r="AU108" s="20"/>
      <c r="AV108" s="20"/>
      <c r="AW108" s="20"/>
      <c r="AX108" s="20"/>
      <c r="AY108" s="79"/>
      <c r="AZ108" s="9" t="s">
        <v>1574</v>
      </c>
      <c r="BA108" s="9" t="s">
        <v>1467</v>
      </c>
      <c r="BB108" s="9" t="s">
        <v>1360</v>
      </c>
      <c r="BC108" s="9" t="s">
        <v>1252</v>
      </c>
      <c r="BD108" s="118"/>
    </row>
    <row r="109" spans="1:56" ht="16.5">
      <c r="A109" s="66">
        <v>108</v>
      </c>
      <c r="B109" s="7">
        <v>60</v>
      </c>
      <c r="C109" s="7">
        <v>75</v>
      </c>
      <c r="D109" s="119">
        <v>96</v>
      </c>
      <c r="E109" s="119">
        <v>108</v>
      </c>
      <c r="F109" s="120" t="s">
        <v>634</v>
      </c>
      <c r="G109" s="120" t="s">
        <v>608</v>
      </c>
      <c r="H109" s="79"/>
      <c r="I109" s="79"/>
      <c r="J109" s="79"/>
      <c r="K109" s="79"/>
      <c r="L109" s="79"/>
      <c r="M109" s="79"/>
      <c r="N109" s="79"/>
      <c r="O109" s="79"/>
      <c r="P109" s="18"/>
      <c r="Q109" s="18"/>
      <c r="R109" s="18"/>
      <c r="S109" s="18"/>
      <c r="T109" s="79"/>
      <c r="U109" s="18"/>
      <c r="V109" s="18"/>
      <c r="W109" s="18"/>
      <c r="X109" s="18"/>
      <c r="Y109" s="18"/>
      <c r="Z109" s="79"/>
      <c r="AA109" s="18"/>
      <c r="AB109" s="18"/>
      <c r="AC109" s="18"/>
      <c r="AD109" s="18"/>
      <c r="AE109" s="18"/>
      <c r="AF109" s="79"/>
      <c r="AG109" s="18"/>
      <c r="AH109" s="18"/>
      <c r="AI109" s="18"/>
      <c r="AJ109" s="79"/>
      <c r="AK109" s="18"/>
      <c r="AL109" s="18"/>
      <c r="AM109" s="18"/>
      <c r="AN109" s="18"/>
      <c r="AO109" s="79"/>
      <c r="AP109" s="18"/>
      <c r="AQ109" s="18"/>
      <c r="AR109" s="18"/>
      <c r="AS109" s="18"/>
      <c r="AT109" s="79"/>
      <c r="AU109" s="18"/>
      <c r="AV109" s="18"/>
      <c r="AW109" s="18"/>
      <c r="AX109" s="18"/>
      <c r="AY109" s="79"/>
      <c r="AZ109" s="9" t="s">
        <v>1284</v>
      </c>
      <c r="BA109" s="9" t="s">
        <v>1284</v>
      </c>
      <c r="BB109" s="9" t="s">
        <v>1284</v>
      </c>
      <c r="BC109" s="9"/>
      <c r="BD109" s="118"/>
    </row>
    <row r="110" spans="1:56" ht="16.5">
      <c r="A110" s="66">
        <v>109</v>
      </c>
      <c r="B110" s="7">
        <v>61</v>
      </c>
      <c r="C110" s="7">
        <v>76</v>
      </c>
      <c r="D110" s="119">
        <v>97</v>
      </c>
      <c r="E110" s="119">
        <v>109</v>
      </c>
      <c r="F110" s="120" t="s">
        <v>607</v>
      </c>
      <c r="G110" s="120" t="s">
        <v>607</v>
      </c>
      <c r="H110" s="79"/>
      <c r="I110" s="79"/>
      <c r="J110" s="79"/>
      <c r="K110" s="79"/>
      <c r="L110" s="79"/>
      <c r="M110" s="79"/>
      <c r="N110" s="79"/>
      <c r="O110" s="79"/>
      <c r="P110" s="18"/>
      <c r="Q110" s="18"/>
      <c r="R110" s="18"/>
      <c r="S110" s="18"/>
      <c r="T110" s="79"/>
      <c r="U110" s="18"/>
      <c r="V110" s="18"/>
      <c r="W110" s="18"/>
      <c r="X110" s="18"/>
      <c r="Y110" s="18"/>
      <c r="Z110" s="79"/>
      <c r="AA110" s="18"/>
      <c r="AB110" s="18"/>
      <c r="AC110" s="18"/>
      <c r="AD110" s="18"/>
      <c r="AE110" s="18"/>
      <c r="AF110" s="79"/>
      <c r="AG110" s="18"/>
      <c r="AH110" s="18"/>
      <c r="AI110" s="18"/>
      <c r="AJ110" s="79"/>
      <c r="AK110" s="18"/>
      <c r="AL110" s="18"/>
      <c r="AM110" s="18"/>
      <c r="AN110" s="18"/>
      <c r="AO110" s="79"/>
      <c r="AP110" s="18"/>
      <c r="AQ110" s="18"/>
      <c r="AR110" s="18"/>
      <c r="AS110" s="18"/>
      <c r="AT110" s="79"/>
      <c r="AU110" s="18"/>
      <c r="AV110" s="18"/>
      <c r="AW110" s="18"/>
      <c r="AX110" s="18"/>
      <c r="AY110" s="79"/>
      <c r="AZ110" s="9" t="s">
        <v>1284</v>
      </c>
      <c r="BA110" s="9" t="s">
        <v>1284</v>
      </c>
      <c r="BB110" s="9" t="s">
        <v>1284</v>
      </c>
      <c r="BC110" s="9"/>
      <c r="BD110" s="118"/>
    </row>
    <row r="111" spans="1:56" ht="16.5">
      <c r="A111" s="66">
        <v>110</v>
      </c>
      <c r="B111" s="7"/>
      <c r="C111" s="7"/>
      <c r="D111" s="119"/>
      <c r="E111" s="119">
        <v>110</v>
      </c>
      <c r="F111" s="120" t="s">
        <v>1174</v>
      </c>
      <c r="G111" s="124" t="s">
        <v>1174</v>
      </c>
      <c r="H111" s="79"/>
      <c r="I111" s="79"/>
      <c r="J111" s="79"/>
      <c r="K111" s="79"/>
      <c r="L111" s="79"/>
      <c r="M111" s="79"/>
      <c r="N111" s="79"/>
      <c r="O111" s="79"/>
      <c r="P111" s="18"/>
      <c r="Q111" s="18"/>
      <c r="R111" s="18"/>
      <c r="S111" s="18"/>
      <c r="T111" s="79"/>
      <c r="U111" s="18"/>
      <c r="V111" s="18"/>
      <c r="W111" s="18"/>
      <c r="X111" s="18"/>
      <c r="Y111" s="18"/>
      <c r="Z111" s="79"/>
      <c r="AA111" s="18"/>
      <c r="AB111" s="18"/>
      <c r="AC111" s="18"/>
      <c r="AD111" s="18"/>
      <c r="AE111" s="18"/>
      <c r="AF111" s="79"/>
      <c r="AG111" s="18"/>
      <c r="AH111" s="18"/>
      <c r="AI111" s="18"/>
      <c r="AJ111" s="79"/>
      <c r="AK111" s="18"/>
      <c r="AL111" s="18"/>
      <c r="AM111" s="18"/>
      <c r="AN111" s="18"/>
      <c r="AO111" s="79"/>
      <c r="AP111" s="18"/>
      <c r="AQ111" s="18"/>
      <c r="AR111" s="18"/>
      <c r="AS111" s="18"/>
      <c r="AT111" s="79"/>
      <c r="AU111" s="18"/>
      <c r="AV111" s="18"/>
      <c r="AW111" s="18"/>
      <c r="AX111" s="18"/>
      <c r="AY111" s="79"/>
      <c r="AZ111" s="9" t="s">
        <v>1284</v>
      </c>
      <c r="BA111" s="9" t="s">
        <v>1284</v>
      </c>
      <c r="BB111" s="9" t="s">
        <v>1284</v>
      </c>
      <c r="BC111" s="9"/>
      <c r="BD111" s="118"/>
    </row>
    <row r="112" spans="1:56" ht="16.5">
      <c r="A112" s="66">
        <v>111</v>
      </c>
      <c r="B112" s="7"/>
      <c r="C112" s="7"/>
      <c r="D112" s="119"/>
      <c r="E112" s="119">
        <v>111</v>
      </c>
      <c r="F112" s="120" t="s">
        <v>635</v>
      </c>
      <c r="G112" s="125" t="s">
        <v>764</v>
      </c>
      <c r="H112" s="79"/>
      <c r="I112" s="79"/>
      <c r="J112" s="79"/>
      <c r="K112" s="79"/>
      <c r="L112" s="79"/>
      <c r="M112" s="79"/>
      <c r="N112" s="79"/>
      <c r="O112" s="79"/>
      <c r="P112" s="18"/>
      <c r="Q112" s="18"/>
      <c r="R112" s="18"/>
      <c r="S112" s="18"/>
      <c r="T112" s="79"/>
      <c r="U112" s="18"/>
      <c r="V112" s="18"/>
      <c r="W112" s="18"/>
      <c r="X112" s="18"/>
      <c r="Y112" s="18"/>
      <c r="Z112" s="79"/>
      <c r="AA112" s="18"/>
      <c r="AB112" s="18"/>
      <c r="AC112" s="18"/>
      <c r="AD112" s="18"/>
      <c r="AE112" s="18"/>
      <c r="AF112" s="79"/>
      <c r="AG112" s="18"/>
      <c r="AH112" s="18"/>
      <c r="AI112" s="18"/>
      <c r="AJ112" s="79"/>
      <c r="AK112" s="18"/>
      <c r="AL112" s="18"/>
      <c r="AM112" s="18"/>
      <c r="AN112" s="18"/>
      <c r="AO112" s="79"/>
      <c r="AP112" s="18"/>
      <c r="AQ112" s="18"/>
      <c r="AR112" s="18"/>
      <c r="AS112" s="18"/>
      <c r="AT112" s="79"/>
      <c r="AU112" s="18"/>
      <c r="AV112" s="18"/>
      <c r="AW112" s="18"/>
      <c r="AX112" s="18"/>
      <c r="AY112" s="79"/>
      <c r="AZ112" s="9" t="s">
        <v>1575</v>
      </c>
      <c r="BA112" s="9" t="s">
        <v>1468</v>
      </c>
      <c r="BB112" s="9" t="s">
        <v>1361</v>
      </c>
      <c r="BC112" s="9" t="s">
        <v>1253</v>
      </c>
      <c r="BD112" s="118"/>
    </row>
    <row r="113" spans="1:56" ht="16.5">
      <c r="A113" s="66">
        <v>112</v>
      </c>
      <c r="B113" s="7"/>
      <c r="C113" s="7"/>
      <c r="D113" s="119"/>
      <c r="E113" s="119">
        <v>112</v>
      </c>
      <c r="F113" s="120" t="s">
        <v>636</v>
      </c>
      <c r="G113" s="120" t="s">
        <v>765</v>
      </c>
      <c r="H113" s="79"/>
      <c r="I113" s="79"/>
      <c r="J113" s="79"/>
      <c r="K113" s="79"/>
      <c r="L113" s="79"/>
      <c r="M113" s="79"/>
      <c r="N113" s="79"/>
      <c r="O113" s="79"/>
      <c r="P113" s="18"/>
      <c r="Q113" s="18"/>
      <c r="R113" s="18"/>
      <c r="S113" s="18"/>
      <c r="T113" s="79"/>
      <c r="U113" s="18"/>
      <c r="V113" s="18"/>
      <c r="W113" s="18"/>
      <c r="X113" s="18"/>
      <c r="Y113" s="18"/>
      <c r="Z113" s="79"/>
      <c r="AA113" s="18"/>
      <c r="AB113" s="18"/>
      <c r="AC113" s="18"/>
      <c r="AD113" s="18"/>
      <c r="AE113" s="18"/>
      <c r="AF113" s="79"/>
      <c r="AG113" s="18"/>
      <c r="AH113" s="18"/>
      <c r="AI113" s="18"/>
      <c r="AJ113" s="79"/>
      <c r="AK113" s="18"/>
      <c r="AL113" s="18"/>
      <c r="AM113" s="18"/>
      <c r="AN113" s="18"/>
      <c r="AO113" s="79"/>
      <c r="AP113" s="18"/>
      <c r="AQ113" s="18"/>
      <c r="AR113" s="18"/>
      <c r="AS113" s="18"/>
      <c r="AT113" s="79"/>
      <c r="AU113" s="18"/>
      <c r="AV113" s="18"/>
      <c r="AW113" s="18"/>
      <c r="AX113" s="18"/>
      <c r="AY113" s="79"/>
      <c r="AZ113" s="9" t="s">
        <v>1576</v>
      </c>
      <c r="BA113" s="9" t="s">
        <v>1469</v>
      </c>
      <c r="BB113" s="9" t="s">
        <v>1362</v>
      </c>
      <c r="BC113" s="9" t="s">
        <v>1254</v>
      </c>
      <c r="BD113" s="118"/>
    </row>
    <row r="114" spans="1:56" ht="16.5">
      <c r="A114" s="67">
        <v>113</v>
      </c>
      <c r="B114" s="7">
        <v>62</v>
      </c>
      <c r="C114" s="7">
        <v>77</v>
      </c>
      <c r="D114" s="119">
        <v>98</v>
      </c>
      <c r="E114" s="119">
        <v>113</v>
      </c>
      <c r="F114" s="120" t="s">
        <v>637</v>
      </c>
      <c r="G114" s="120" t="s">
        <v>766</v>
      </c>
      <c r="H114" s="18" t="s">
        <v>1802</v>
      </c>
      <c r="I114" s="18" t="s">
        <v>1803</v>
      </c>
      <c r="J114" s="79"/>
      <c r="K114" s="79"/>
      <c r="L114" s="79"/>
      <c r="M114" s="79"/>
      <c r="N114" s="79"/>
      <c r="O114" s="79"/>
      <c r="P114" s="18"/>
      <c r="Q114" s="18"/>
      <c r="R114" s="18"/>
      <c r="S114" s="18"/>
      <c r="T114" s="79"/>
      <c r="U114" s="18" t="s">
        <v>1802</v>
      </c>
      <c r="V114" s="18" t="s">
        <v>2153</v>
      </c>
      <c r="W114" s="18" t="s">
        <v>2176</v>
      </c>
      <c r="X114" s="18" t="s">
        <v>2177</v>
      </c>
      <c r="Y114" s="18"/>
      <c r="Z114" s="79"/>
      <c r="AA114" s="18" t="s">
        <v>1803</v>
      </c>
      <c r="AB114" s="79" t="s">
        <v>2160</v>
      </c>
      <c r="AC114" s="18"/>
      <c r="AD114" s="18"/>
      <c r="AE114" s="18"/>
      <c r="AF114" s="79"/>
      <c r="AG114" s="18"/>
      <c r="AH114" s="18"/>
      <c r="AI114" s="18"/>
      <c r="AJ114" s="79"/>
      <c r="AK114" s="18"/>
      <c r="AL114" s="18"/>
      <c r="AM114" s="18"/>
      <c r="AN114" s="18"/>
      <c r="AO114" s="79"/>
      <c r="AP114" s="18"/>
      <c r="AQ114" s="18"/>
      <c r="AR114" s="18"/>
      <c r="AS114" s="18"/>
      <c r="AT114" s="79"/>
      <c r="AU114" s="18"/>
      <c r="AV114" s="18"/>
      <c r="AW114" s="18"/>
      <c r="AX114" s="18"/>
      <c r="AY114" s="79"/>
      <c r="AZ114" s="9" t="s">
        <v>1577</v>
      </c>
      <c r="BA114" s="9" t="s">
        <v>1470</v>
      </c>
      <c r="BB114" s="9" t="s">
        <v>1363</v>
      </c>
      <c r="BC114" s="9" t="s">
        <v>1255</v>
      </c>
      <c r="BD114" s="118"/>
    </row>
    <row r="115" spans="1:56" ht="16.5">
      <c r="A115" s="67">
        <v>114</v>
      </c>
      <c r="B115" s="7">
        <v>63</v>
      </c>
      <c r="C115" s="7">
        <v>78</v>
      </c>
      <c r="D115" s="119">
        <v>99</v>
      </c>
      <c r="E115" s="119">
        <v>114</v>
      </c>
      <c r="F115" s="120" t="s">
        <v>639</v>
      </c>
      <c r="G115" s="120" t="s">
        <v>767</v>
      </c>
      <c r="H115" s="18" t="s">
        <v>1148</v>
      </c>
      <c r="I115" s="18" t="s">
        <v>1155</v>
      </c>
      <c r="J115" s="79"/>
      <c r="K115" s="79"/>
      <c r="L115" s="79"/>
      <c r="M115" s="79"/>
      <c r="N115" s="79"/>
      <c r="O115" s="79"/>
      <c r="P115" s="20"/>
      <c r="Q115" s="20"/>
      <c r="R115" s="20"/>
      <c r="S115" s="20"/>
      <c r="T115" s="79"/>
      <c r="U115" s="18" t="s">
        <v>1148</v>
      </c>
      <c r="V115" s="79" t="s">
        <v>2160</v>
      </c>
      <c r="W115" s="20"/>
      <c r="X115" s="20"/>
      <c r="Y115" s="20"/>
      <c r="Z115" s="79"/>
      <c r="AA115" s="18" t="s">
        <v>1155</v>
      </c>
      <c r="AB115" s="20" t="s">
        <v>2153</v>
      </c>
      <c r="AC115" s="20" t="s">
        <v>2176</v>
      </c>
      <c r="AD115" s="20" t="s">
        <v>2177</v>
      </c>
      <c r="AE115" s="20"/>
      <c r="AF115" s="79"/>
      <c r="AG115" s="20"/>
      <c r="AH115" s="20"/>
      <c r="AI115" s="20"/>
      <c r="AJ115" s="79"/>
      <c r="AK115" s="20"/>
      <c r="AL115" s="20"/>
      <c r="AM115" s="20"/>
      <c r="AN115" s="20"/>
      <c r="AO115" s="79"/>
      <c r="AP115" s="20"/>
      <c r="AQ115" s="20"/>
      <c r="AR115" s="20"/>
      <c r="AS115" s="20"/>
      <c r="AT115" s="79"/>
      <c r="AU115" s="20"/>
      <c r="AV115" s="20"/>
      <c r="AW115" s="20"/>
      <c r="AX115" s="20"/>
      <c r="AY115" s="79"/>
      <c r="AZ115" s="9" t="s">
        <v>1578</v>
      </c>
      <c r="BA115" s="9" t="s">
        <v>1471</v>
      </c>
      <c r="BB115" s="9" t="s">
        <v>1364</v>
      </c>
      <c r="BC115" s="9" t="s">
        <v>1256</v>
      </c>
      <c r="BD115" s="118"/>
    </row>
    <row r="116" spans="1:56" ht="16.5">
      <c r="A116" s="67">
        <v>115</v>
      </c>
      <c r="B116" s="7">
        <v>64</v>
      </c>
      <c r="C116" s="7">
        <v>79</v>
      </c>
      <c r="D116" s="119">
        <v>100</v>
      </c>
      <c r="E116" s="119">
        <v>115</v>
      </c>
      <c r="F116" s="120" t="s">
        <v>641</v>
      </c>
      <c r="G116" s="120" t="s">
        <v>768</v>
      </c>
      <c r="H116" s="18" t="s">
        <v>1149</v>
      </c>
      <c r="I116" s="18"/>
      <c r="J116" s="79"/>
      <c r="K116" s="79"/>
      <c r="L116" s="79"/>
      <c r="M116" s="79"/>
      <c r="N116" s="79"/>
      <c r="O116" s="79"/>
      <c r="P116" s="18"/>
      <c r="Q116" s="18"/>
      <c r="R116" s="18"/>
      <c r="S116" s="18"/>
      <c r="T116" s="79"/>
      <c r="U116" s="18" t="s">
        <v>1149</v>
      </c>
      <c r="V116" s="18" t="s">
        <v>2226</v>
      </c>
      <c r="W116" s="18" t="s">
        <v>2202</v>
      </c>
      <c r="X116" s="18" t="s">
        <v>2203</v>
      </c>
      <c r="Y116" s="18"/>
      <c r="Z116" s="79"/>
      <c r="AA116" s="18"/>
      <c r="AB116" s="18"/>
      <c r="AC116" s="18"/>
      <c r="AD116" s="18"/>
      <c r="AE116" s="18"/>
      <c r="AF116" s="79"/>
      <c r="AG116" s="18"/>
      <c r="AH116" s="18"/>
      <c r="AI116" s="18"/>
      <c r="AJ116" s="79"/>
      <c r="AK116" s="18"/>
      <c r="AL116" s="18"/>
      <c r="AM116" s="18"/>
      <c r="AN116" s="18"/>
      <c r="AO116" s="79"/>
      <c r="AP116" s="18"/>
      <c r="AQ116" s="18"/>
      <c r="AR116" s="18"/>
      <c r="AS116" s="18"/>
      <c r="AT116" s="79"/>
      <c r="AU116" s="18"/>
      <c r="AV116" s="18"/>
      <c r="AW116" s="18"/>
      <c r="AX116" s="18"/>
      <c r="AY116" s="79"/>
      <c r="AZ116" s="9" t="s">
        <v>1579</v>
      </c>
      <c r="BA116" s="9" t="s">
        <v>1472</v>
      </c>
      <c r="BB116" s="9" t="s">
        <v>1365</v>
      </c>
      <c r="BC116" s="9" t="s">
        <v>1257</v>
      </c>
      <c r="BD116" s="118"/>
    </row>
    <row r="117" spans="1:56" ht="16.5">
      <c r="A117" s="67">
        <v>116</v>
      </c>
      <c r="B117" s="7"/>
      <c r="C117" s="7"/>
      <c r="D117" s="119">
        <v>101</v>
      </c>
      <c r="E117" s="119">
        <v>116</v>
      </c>
      <c r="F117" s="120" t="s">
        <v>642</v>
      </c>
      <c r="G117" s="120" t="s">
        <v>769</v>
      </c>
      <c r="H117" s="18" t="s">
        <v>1150</v>
      </c>
      <c r="I117" s="18" t="s">
        <v>1156</v>
      </c>
      <c r="J117" s="79"/>
      <c r="K117" s="79"/>
      <c r="L117" s="79"/>
      <c r="M117" s="79"/>
      <c r="N117" s="79"/>
      <c r="O117" s="79"/>
      <c r="P117" s="18"/>
      <c r="Q117" s="18"/>
      <c r="R117" s="18"/>
      <c r="S117" s="18"/>
      <c r="T117" s="79"/>
      <c r="U117" s="18" t="s">
        <v>1150</v>
      </c>
      <c r="V117" s="18" t="s">
        <v>2154</v>
      </c>
      <c r="W117" s="18" t="s">
        <v>2178</v>
      </c>
      <c r="X117" s="18"/>
      <c r="Y117" s="18"/>
      <c r="Z117" s="79"/>
      <c r="AA117" s="18" t="s">
        <v>1156</v>
      </c>
      <c r="AB117" s="79" t="s">
        <v>2161</v>
      </c>
      <c r="AC117" s="18"/>
      <c r="AD117" s="18"/>
      <c r="AE117" s="18"/>
      <c r="AF117" s="79"/>
      <c r="AG117" s="18"/>
      <c r="AH117" s="18"/>
      <c r="AI117" s="18"/>
      <c r="AJ117" s="79"/>
      <c r="AK117" s="18"/>
      <c r="AL117" s="18"/>
      <c r="AM117" s="18"/>
      <c r="AN117" s="18"/>
      <c r="AO117" s="79"/>
      <c r="AP117" s="18"/>
      <c r="AQ117" s="18"/>
      <c r="AR117" s="18"/>
      <c r="AS117" s="18"/>
      <c r="AT117" s="79"/>
      <c r="AU117" s="18"/>
      <c r="AV117" s="18"/>
      <c r="AW117" s="18"/>
      <c r="AX117" s="18"/>
      <c r="AY117" s="79"/>
      <c r="AZ117" s="9" t="s">
        <v>896</v>
      </c>
      <c r="BA117" s="9" t="s">
        <v>882</v>
      </c>
      <c r="BB117" s="9" t="s">
        <v>868</v>
      </c>
      <c r="BC117" s="9" t="s">
        <v>812</v>
      </c>
      <c r="BD117" s="118"/>
    </row>
    <row r="118" spans="1:56" ht="16.5">
      <c r="A118" s="67">
        <v>117</v>
      </c>
      <c r="B118" s="7"/>
      <c r="C118" s="7"/>
      <c r="D118" s="119">
        <v>102</v>
      </c>
      <c r="E118" s="119">
        <v>117</v>
      </c>
      <c r="F118" s="120" t="s">
        <v>644</v>
      </c>
      <c r="G118" s="120" t="s">
        <v>770</v>
      </c>
      <c r="H118" s="18" t="s">
        <v>1151</v>
      </c>
      <c r="I118" s="18" t="s">
        <v>1157</v>
      </c>
      <c r="J118" s="79"/>
      <c r="K118" s="79"/>
      <c r="L118" s="79"/>
      <c r="M118" s="79"/>
      <c r="N118" s="79"/>
      <c r="O118" s="79"/>
      <c r="P118" s="18"/>
      <c r="Q118" s="18"/>
      <c r="R118" s="18"/>
      <c r="S118" s="18"/>
      <c r="T118" s="79"/>
      <c r="U118" s="18" t="s">
        <v>1151</v>
      </c>
      <c r="V118" s="79" t="s">
        <v>2161</v>
      </c>
      <c r="W118" s="18"/>
      <c r="X118" s="18"/>
      <c r="Y118" s="18"/>
      <c r="Z118" s="79"/>
      <c r="AA118" s="18" t="s">
        <v>1157</v>
      </c>
      <c r="AB118" s="18" t="s">
        <v>2154</v>
      </c>
      <c r="AC118" s="18" t="s">
        <v>2178</v>
      </c>
      <c r="AD118" s="18"/>
      <c r="AE118" s="18"/>
      <c r="AF118" s="79"/>
      <c r="AG118" s="18"/>
      <c r="AH118" s="18"/>
      <c r="AI118" s="18"/>
      <c r="AJ118" s="79"/>
      <c r="AK118" s="18"/>
      <c r="AL118" s="18"/>
      <c r="AM118" s="18"/>
      <c r="AN118" s="18"/>
      <c r="AO118" s="79"/>
      <c r="AP118" s="18"/>
      <c r="AQ118" s="18"/>
      <c r="AR118" s="18"/>
      <c r="AS118" s="18"/>
      <c r="AT118" s="79"/>
      <c r="AU118" s="18"/>
      <c r="AV118" s="18"/>
      <c r="AW118" s="18"/>
      <c r="AX118" s="18"/>
      <c r="AY118" s="79"/>
      <c r="AZ118" s="9" t="s">
        <v>1580</v>
      </c>
      <c r="BA118" s="9" t="s">
        <v>1473</v>
      </c>
      <c r="BB118" s="9" t="s">
        <v>1366</v>
      </c>
      <c r="BC118" s="9" t="s">
        <v>1258</v>
      </c>
      <c r="BD118" s="118"/>
    </row>
    <row r="119" spans="1:56" ht="16.5">
      <c r="A119" s="67">
        <v>118</v>
      </c>
      <c r="B119" s="7"/>
      <c r="C119" s="7"/>
      <c r="D119" s="119">
        <v>103</v>
      </c>
      <c r="E119" s="119">
        <v>118</v>
      </c>
      <c r="F119" s="120" t="s">
        <v>646</v>
      </c>
      <c r="G119" s="120" t="s">
        <v>771</v>
      </c>
      <c r="H119" s="18" t="s">
        <v>1152</v>
      </c>
      <c r="I119" s="18"/>
      <c r="J119" s="79"/>
      <c r="K119" s="79"/>
      <c r="L119" s="79"/>
      <c r="M119" s="79"/>
      <c r="N119" s="79"/>
      <c r="O119" s="79"/>
      <c r="P119" s="18"/>
      <c r="Q119" s="18"/>
      <c r="R119" s="18"/>
      <c r="S119" s="18"/>
      <c r="T119" s="79"/>
      <c r="U119" s="18" t="s">
        <v>1152</v>
      </c>
      <c r="V119" s="18" t="s">
        <v>2227</v>
      </c>
      <c r="W119" s="18" t="s">
        <v>2200</v>
      </c>
      <c r="X119" s="18"/>
      <c r="Y119" s="18"/>
      <c r="Z119" s="79"/>
      <c r="AA119" s="18"/>
      <c r="AB119" s="18"/>
      <c r="AC119" s="18"/>
      <c r="AD119" s="18"/>
      <c r="AE119" s="18"/>
      <c r="AF119" s="79"/>
      <c r="AG119" s="18"/>
      <c r="AH119" s="18"/>
      <c r="AI119" s="18"/>
      <c r="AJ119" s="79"/>
      <c r="AK119" s="18"/>
      <c r="AL119" s="18"/>
      <c r="AM119" s="18"/>
      <c r="AN119" s="18"/>
      <c r="AO119" s="79"/>
      <c r="AP119" s="18"/>
      <c r="AQ119" s="18"/>
      <c r="AR119" s="18"/>
      <c r="AS119" s="18"/>
      <c r="AT119" s="79"/>
      <c r="AU119" s="18"/>
      <c r="AV119" s="18"/>
      <c r="AW119" s="18"/>
      <c r="AX119" s="18"/>
      <c r="AY119" s="79"/>
      <c r="AZ119" s="9" t="s">
        <v>1581</v>
      </c>
      <c r="BA119" s="9" t="s">
        <v>1474</v>
      </c>
      <c r="BB119" s="9" t="s">
        <v>1367</v>
      </c>
      <c r="BC119" s="9" t="s">
        <v>1259</v>
      </c>
      <c r="BD119" s="118"/>
    </row>
    <row r="120" spans="1:56" ht="16.5">
      <c r="A120" s="67">
        <v>119</v>
      </c>
      <c r="B120" s="7">
        <v>65</v>
      </c>
      <c r="C120" s="7">
        <v>80</v>
      </c>
      <c r="D120" s="119">
        <v>104</v>
      </c>
      <c r="E120" s="119">
        <v>119</v>
      </c>
      <c r="F120" s="120" t="s">
        <v>647</v>
      </c>
      <c r="G120" s="120" t="s">
        <v>772</v>
      </c>
      <c r="H120" s="79" t="s">
        <v>648</v>
      </c>
      <c r="I120" s="79" t="s">
        <v>1773</v>
      </c>
      <c r="J120" s="18" t="s">
        <v>1161</v>
      </c>
      <c r="K120" s="18" t="s">
        <v>1804</v>
      </c>
      <c r="L120" s="79"/>
      <c r="M120" s="79"/>
      <c r="N120" s="79"/>
      <c r="O120" s="79"/>
      <c r="P120" s="18"/>
      <c r="Q120" s="18"/>
      <c r="R120" s="18"/>
      <c r="S120" s="18"/>
      <c r="T120" s="79"/>
      <c r="U120" s="18"/>
      <c r="V120" s="18"/>
      <c r="W120" s="18"/>
      <c r="X120" s="18"/>
      <c r="Y120" s="18"/>
      <c r="Z120" s="79"/>
      <c r="AA120" s="18"/>
      <c r="AB120" s="18"/>
      <c r="AC120" s="18"/>
      <c r="AD120" s="18"/>
      <c r="AE120" s="18"/>
      <c r="AF120" s="79"/>
      <c r="AG120" s="18" t="s">
        <v>1161</v>
      </c>
      <c r="AH120" s="18" t="s">
        <v>2157</v>
      </c>
      <c r="AI120" s="18" t="s">
        <v>2181</v>
      </c>
      <c r="AJ120" s="79"/>
      <c r="AK120" s="18" t="s">
        <v>1804</v>
      </c>
      <c r="AL120" s="79" t="s">
        <v>2164</v>
      </c>
      <c r="AM120" s="18"/>
      <c r="AN120" s="18"/>
      <c r="AO120" s="79"/>
      <c r="AP120" s="18"/>
      <c r="AQ120" s="18"/>
      <c r="AR120" s="18"/>
      <c r="AS120" s="18"/>
      <c r="AT120" s="79"/>
      <c r="AU120" s="18"/>
      <c r="AV120" s="18"/>
      <c r="AW120" s="18"/>
      <c r="AX120" s="18"/>
      <c r="AY120" s="79"/>
      <c r="AZ120" s="9" t="s">
        <v>1582</v>
      </c>
      <c r="BA120" s="9" t="s">
        <v>1475</v>
      </c>
      <c r="BB120" s="9" t="s">
        <v>1368</v>
      </c>
      <c r="BC120" s="9" t="s">
        <v>1260</v>
      </c>
      <c r="BD120" s="118"/>
    </row>
    <row r="121" spans="1:56" ht="16.5">
      <c r="A121" s="67">
        <v>120</v>
      </c>
      <c r="B121" s="7">
        <v>66</v>
      </c>
      <c r="C121" s="7">
        <v>81</v>
      </c>
      <c r="D121" s="119">
        <v>105</v>
      </c>
      <c r="E121" s="119">
        <v>120</v>
      </c>
      <c r="F121" s="120" t="s">
        <v>651</v>
      </c>
      <c r="G121" s="120" t="s">
        <v>773</v>
      </c>
      <c r="H121" s="79" t="s">
        <v>652</v>
      </c>
      <c r="I121" s="79" t="s">
        <v>1772</v>
      </c>
      <c r="J121" s="18" t="s">
        <v>1162</v>
      </c>
      <c r="K121" s="18" t="s">
        <v>1171</v>
      </c>
      <c r="L121" s="79"/>
      <c r="M121" s="79"/>
      <c r="N121" s="79"/>
      <c r="O121" s="79"/>
      <c r="P121" s="18"/>
      <c r="Q121" s="18"/>
      <c r="R121" s="18"/>
      <c r="S121" s="18"/>
      <c r="T121" s="79"/>
      <c r="U121" s="18"/>
      <c r="V121" s="18"/>
      <c r="W121" s="18"/>
      <c r="X121" s="18"/>
      <c r="Y121" s="18"/>
      <c r="Z121" s="79"/>
      <c r="AA121" s="18"/>
      <c r="AB121" s="18"/>
      <c r="AC121" s="18"/>
      <c r="AD121" s="18"/>
      <c r="AE121" s="18"/>
      <c r="AF121" s="79"/>
      <c r="AG121" s="18" t="s">
        <v>1162</v>
      </c>
      <c r="AH121" s="79" t="s">
        <v>2164</v>
      </c>
      <c r="AI121" s="18"/>
      <c r="AJ121" s="79"/>
      <c r="AK121" s="18" t="s">
        <v>1171</v>
      </c>
      <c r="AL121" s="18" t="s">
        <v>2157</v>
      </c>
      <c r="AM121" s="18" t="s">
        <v>2181</v>
      </c>
      <c r="AN121" s="18"/>
      <c r="AO121" s="79"/>
      <c r="AP121" s="18"/>
      <c r="AQ121" s="18"/>
      <c r="AR121" s="18"/>
      <c r="AS121" s="18"/>
      <c r="AT121" s="79"/>
      <c r="AU121" s="18"/>
      <c r="AV121" s="18"/>
      <c r="AW121" s="18"/>
      <c r="AX121" s="18"/>
      <c r="AY121" s="79"/>
      <c r="AZ121" s="9" t="s">
        <v>1583</v>
      </c>
      <c r="BA121" s="9" t="s">
        <v>1476</v>
      </c>
      <c r="BB121" s="9" t="s">
        <v>1369</v>
      </c>
      <c r="BC121" s="9" t="s">
        <v>1261</v>
      </c>
      <c r="BD121" s="118"/>
    </row>
    <row r="122" spans="1:56" ht="16.5">
      <c r="A122" s="67">
        <v>121</v>
      </c>
      <c r="B122" s="7">
        <v>67</v>
      </c>
      <c r="C122" s="7">
        <v>82</v>
      </c>
      <c r="D122" s="119">
        <v>106</v>
      </c>
      <c r="E122" s="119">
        <v>121</v>
      </c>
      <c r="F122" s="120" t="s">
        <v>655</v>
      </c>
      <c r="G122" s="120" t="s">
        <v>774</v>
      </c>
      <c r="H122" s="79" t="s">
        <v>656</v>
      </c>
      <c r="I122" s="79" t="s">
        <v>1770</v>
      </c>
      <c r="J122" s="18" t="s">
        <v>1163</v>
      </c>
      <c r="K122" s="79"/>
      <c r="L122" s="79"/>
      <c r="M122" s="79"/>
      <c r="N122" s="79"/>
      <c r="O122" s="79"/>
      <c r="P122" s="18"/>
      <c r="Q122" s="18"/>
      <c r="R122" s="18"/>
      <c r="S122" s="18"/>
      <c r="T122" s="79"/>
      <c r="U122" s="18"/>
      <c r="V122" s="18"/>
      <c r="W122" s="18"/>
      <c r="X122" s="18"/>
      <c r="Y122" s="18"/>
      <c r="Z122" s="79"/>
      <c r="AA122" s="18"/>
      <c r="AB122" s="18"/>
      <c r="AC122" s="18"/>
      <c r="AD122" s="18"/>
      <c r="AE122" s="18"/>
      <c r="AF122" s="79"/>
      <c r="AG122" s="18" t="s">
        <v>1163</v>
      </c>
      <c r="AH122" s="18" t="s">
        <v>2228</v>
      </c>
      <c r="AI122" s="18" t="s">
        <v>2197</v>
      </c>
      <c r="AJ122" s="79"/>
      <c r="AK122" s="18"/>
      <c r="AL122" s="18"/>
      <c r="AM122" s="18"/>
      <c r="AN122" s="18"/>
      <c r="AO122" s="79"/>
      <c r="AP122" s="18"/>
      <c r="AQ122" s="18"/>
      <c r="AR122" s="18"/>
      <c r="AS122" s="18"/>
      <c r="AT122" s="79"/>
      <c r="AU122" s="18"/>
      <c r="AV122" s="18"/>
      <c r="AW122" s="18"/>
      <c r="AX122" s="18"/>
      <c r="AY122" s="79"/>
      <c r="AZ122" s="9" t="s">
        <v>1584</v>
      </c>
      <c r="BA122" s="9" t="s">
        <v>1477</v>
      </c>
      <c r="BB122" s="9" t="s">
        <v>1370</v>
      </c>
      <c r="BC122" s="9" t="s">
        <v>1262</v>
      </c>
      <c r="BD122" s="118"/>
    </row>
    <row r="123" spans="1:56" ht="16.5">
      <c r="A123" s="67">
        <v>122</v>
      </c>
      <c r="B123" s="7">
        <v>68</v>
      </c>
      <c r="C123" s="7">
        <v>83</v>
      </c>
      <c r="D123" s="119">
        <v>107</v>
      </c>
      <c r="E123" s="119">
        <v>122</v>
      </c>
      <c r="F123" s="120" t="s">
        <v>658</v>
      </c>
      <c r="G123" s="120" t="s">
        <v>775</v>
      </c>
      <c r="H123" s="79" t="s">
        <v>659</v>
      </c>
      <c r="I123" s="79" t="s">
        <v>1774</v>
      </c>
      <c r="J123" s="18" t="s">
        <v>1164</v>
      </c>
      <c r="K123" s="18" t="s">
        <v>1172</v>
      </c>
      <c r="L123" s="79"/>
      <c r="M123" s="79"/>
      <c r="N123" s="79"/>
      <c r="O123" s="79"/>
      <c r="P123" s="18"/>
      <c r="Q123" s="18"/>
      <c r="R123" s="18"/>
      <c r="S123" s="18"/>
      <c r="T123" s="79"/>
      <c r="U123" s="18"/>
      <c r="V123" s="18"/>
      <c r="W123" s="18"/>
      <c r="X123" s="18"/>
      <c r="Y123" s="18"/>
      <c r="Z123" s="79"/>
      <c r="AA123" s="18"/>
      <c r="AB123" s="18"/>
      <c r="AC123" s="18"/>
      <c r="AD123" s="18"/>
      <c r="AE123" s="18"/>
      <c r="AF123" s="79"/>
      <c r="AG123" s="18" t="s">
        <v>1164</v>
      </c>
      <c r="AH123" s="18" t="s">
        <v>2158</v>
      </c>
      <c r="AI123" s="18" t="s">
        <v>2182</v>
      </c>
      <c r="AJ123" s="79"/>
      <c r="AK123" s="18" t="s">
        <v>1172</v>
      </c>
      <c r="AL123" s="79" t="s">
        <v>2165</v>
      </c>
      <c r="AM123" s="18"/>
      <c r="AN123" s="18"/>
      <c r="AO123" s="79"/>
      <c r="AP123" s="18"/>
      <c r="AQ123" s="18"/>
      <c r="AR123" s="18"/>
      <c r="AS123" s="18"/>
      <c r="AT123" s="79"/>
      <c r="AU123" s="18"/>
      <c r="AV123" s="18"/>
      <c r="AW123" s="18"/>
      <c r="AX123" s="18"/>
      <c r="AY123" s="79"/>
      <c r="AZ123" s="9" t="s">
        <v>1585</v>
      </c>
      <c r="BA123" s="9" t="s">
        <v>1478</v>
      </c>
      <c r="BB123" s="9" t="s">
        <v>1371</v>
      </c>
      <c r="BC123" s="9" t="s">
        <v>1263</v>
      </c>
      <c r="BD123" s="118"/>
    </row>
    <row r="124" spans="1:56" ht="16.5">
      <c r="A124" s="67">
        <v>123</v>
      </c>
      <c r="B124" s="7">
        <v>69</v>
      </c>
      <c r="C124" s="7">
        <v>84</v>
      </c>
      <c r="D124" s="119">
        <v>108</v>
      </c>
      <c r="E124" s="119">
        <v>123</v>
      </c>
      <c r="F124" s="120" t="s">
        <v>662</v>
      </c>
      <c r="G124" s="120" t="s">
        <v>776</v>
      </c>
      <c r="H124" s="79" t="s">
        <v>663</v>
      </c>
      <c r="I124" s="79" t="s">
        <v>1776</v>
      </c>
      <c r="J124" s="18" t="s">
        <v>1165</v>
      </c>
      <c r="K124" s="18" t="s">
        <v>1173</v>
      </c>
      <c r="L124" s="79"/>
      <c r="M124" s="79"/>
      <c r="N124" s="79"/>
      <c r="O124" s="79"/>
      <c r="P124" s="18"/>
      <c r="Q124" s="18"/>
      <c r="R124" s="18"/>
      <c r="S124" s="18"/>
      <c r="T124" s="79"/>
      <c r="U124" s="18"/>
      <c r="V124" s="18"/>
      <c r="W124" s="18"/>
      <c r="X124" s="18"/>
      <c r="Y124" s="18"/>
      <c r="Z124" s="79"/>
      <c r="AA124" s="18"/>
      <c r="AB124" s="18"/>
      <c r="AC124" s="18"/>
      <c r="AD124" s="18"/>
      <c r="AE124" s="18"/>
      <c r="AF124" s="79"/>
      <c r="AG124" s="18" t="s">
        <v>1165</v>
      </c>
      <c r="AH124" s="79" t="s">
        <v>2165</v>
      </c>
      <c r="AI124" s="18"/>
      <c r="AJ124" s="79"/>
      <c r="AK124" s="18" t="s">
        <v>1173</v>
      </c>
      <c r="AL124" s="18" t="s">
        <v>2158</v>
      </c>
      <c r="AM124" s="18" t="s">
        <v>2182</v>
      </c>
      <c r="AN124" s="18"/>
      <c r="AO124" s="79"/>
      <c r="AP124" s="18"/>
      <c r="AQ124" s="18"/>
      <c r="AR124" s="18"/>
      <c r="AS124" s="18"/>
      <c r="AT124" s="79"/>
      <c r="AU124" s="18"/>
      <c r="AV124" s="18"/>
      <c r="AW124" s="18"/>
      <c r="AX124" s="18"/>
      <c r="AY124" s="79"/>
      <c r="AZ124" s="9" t="s">
        <v>1586</v>
      </c>
      <c r="BA124" s="9" t="s">
        <v>1479</v>
      </c>
      <c r="BB124" s="9" t="s">
        <v>1372</v>
      </c>
      <c r="BC124" s="9" t="s">
        <v>1264</v>
      </c>
      <c r="BD124" s="118"/>
    </row>
    <row r="125" spans="1:56" ht="16.5">
      <c r="A125" s="67">
        <v>124</v>
      </c>
      <c r="B125" s="7">
        <v>70</v>
      </c>
      <c r="C125" s="7">
        <v>85</v>
      </c>
      <c r="D125" s="119">
        <v>109</v>
      </c>
      <c r="E125" s="119">
        <v>124</v>
      </c>
      <c r="F125" s="120" t="s">
        <v>666</v>
      </c>
      <c r="G125" s="120" t="s">
        <v>777</v>
      </c>
      <c r="H125" s="79" t="s">
        <v>667</v>
      </c>
      <c r="I125" s="18" t="s">
        <v>1805</v>
      </c>
      <c r="J125" s="18"/>
      <c r="K125" s="18"/>
      <c r="L125" s="79"/>
      <c r="M125" s="79"/>
      <c r="N125" s="79"/>
      <c r="O125" s="79"/>
      <c r="P125" s="18"/>
      <c r="Q125" s="18"/>
      <c r="R125" s="18"/>
      <c r="S125" s="18"/>
      <c r="T125" s="79"/>
      <c r="U125" s="18"/>
      <c r="V125" s="18"/>
      <c r="W125" s="18"/>
      <c r="X125" s="18"/>
      <c r="Y125" s="18"/>
      <c r="Z125" s="79"/>
      <c r="AA125" s="18" t="s">
        <v>1805</v>
      </c>
      <c r="AB125" s="18" t="s">
        <v>2229</v>
      </c>
      <c r="AC125" s="18" t="s">
        <v>2185</v>
      </c>
      <c r="AD125" s="18"/>
      <c r="AE125" s="18"/>
      <c r="AF125" s="79"/>
      <c r="AG125" s="18"/>
      <c r="AH125" s="18"/>
      <c r="AI125" s="18"/>
      <c r="AJ125" s="79"/>
      <c r="AK125" s="18"/>
      <c r="AL125" s="18"/>
      <c r="AM125" s="18"/>
      <c r="AN125" s="18"/>
      <c r="AO125" s="79"/>
      <c r="AP125" s="18"/>
      <c r="AQ125" s="18"/>
      <c r="AR125" s="18"/>
      <c r="AS125" s="18"/>
      <c r="AT125" s="79"/>
      <c r="AU125" s="18"/>
      <c r="AV125" s="18"/>
      <c r="AW125" s="18"/>
      <c r="AX125" s="18"/>
      <c r="AY125" s="79"/>
      <c r="AZ125" s="9" t="s">
        <v>1587</v>
      </c>
      <c r="BA125" s="9" t="s">
        <v>1480</v>
      </c>
      <c r="BB125" s="9" t="s">
        <v>1373</v>
      </c>
      <c r="BC125" s="9" t="s">
        <v>1265</v>
      </c>
      <c r="BD125" s="118"/>
    </row>
    <row r="126" spans="1:56" ht="16.5">
      <c r="A126" s="67">
        <v>125</v>
      </c>
      <c r="B126" s="7"/>
      <c r="C126" s="7"/>
      <c r="D126" s="119">
        <v>110</v>
      </c>
      <c r="E126" s="119">
        <v>125</v>
      </c>
      <c r="F126" s="120" t="s">
        <v>668</v>
      </c>
      <c r="G126" s="120" t="s">
        <v>778</v>
      </c>
      <c r="H126" s="79" t="s">
        <v>669</v>
      </c>
      <c r="I126" s="79" t="s">
        <v>1758</v>
      </c>
      <c r="J126" s="79"/>
      <c r="K126" s="79"/>
      <c r="L126" s="79"/>
      <c r="M126" s="79"/>
      <c r="N126" s="79"/>
      <c r="O126" s="79"/>
      <c r="P126" s="18"/>
      <c r="Q126" s="18"/>
      <c r="R126" s="18"/>
      <c r="S126" s="18"/>
      <c r="T126" s="79"/>
      <c r="U126" s="18"/>
      <c r="V126" s="18"/>
      <c r="W126" s="18"/>
      <c r="X126" s="18"/>
      <c r="Y126" s="18"/>
      <c r="Z126" s="79"/>
      <c r="AA126" s="18"/>
      <c r="AB126" s="18"/>
      <c r="AC126" s="18"/>
      <c r="AD126" s="18"/>
      <c r="AE126" s="18"/>
      <c r="AF126" s="79"/>
      <c r="AG126" s="18"/>
      <c r="AH126" s="18"/>
      <c r="AI126" s="18"/>
      <c r="AJ126" s="79"/>
      <c r="AK126" s="18"/>
      <c r="AL126" s="18"/>
      <c r="AM126" s="18"/>
      <c r="AN126" s="18"/>
      <c r="AO126" s="79"/>
      <c r="AP126" s="18"/>
      <c r="AQ126" s="18"/>
      <c r="AR126" s="18"/>
      <c r="AS126" s="18"/>
      <c r="AT126" s="79"/>
      <c r="AU126" s="18"/>
      <c r="AV126" s="18"/>
      <c r="AW126" s="18"/>
      <c r="AX126" s="18"/>
      <c r="AY126" s="79"/>
      <c r="AZ126" s="9" t="s">
        <v>1588</v>
      </c>
      <c r="BA126" s="9" t="s">
        <v>1481</v>
      </c>
      <c r="BB126" s="9" t="s">
        <v>1374</v>
      </c>
      <c r="BC126" s="9" t="s">
        <v>1266</v>
      </c>
      <c r="BD126" s="118"/>
    </row>
    <row r="127" spans="1:56" ht="16.5">
      <c r="A127" s="67">
        <v>126</v>
      </c>
      <c r="B127" s="7"/>
      <c r="C127" s="7"/>
      <c r="D127" s="119">
        <v>111</v>
      </c>
      <c r="E127" s="119">
        <v>126</v>
      </c>
      <c r="F127" s="120" t="s">
        <v>671</v>
      </c>
      <c r="G127" s="120" t="s">
        <v>779</v>
      </c>
      <c r="H127" s="79" t="s">
        <v>672</v>
      </c>
      <c r="I127" s="79" t="s">
        <v>1759</v>
      </c>
      <c r="J127" s="79"/>
      <c r="K127" s="79"/>
      <c r="L127" s="79"/>
      <c r="M127" s="79"/>
      <c r="N127" s="79"/>
      <c r="O127" s="79"/>
      <c r="P127" s="18"/>
      <c r="Q127" s="18"/>
      <c r="R127" s="18"/>
      <c r="S127" s="18"/>
      <c r="T127" s="79"/>
      <c r="U127" s="18"/>
      <c r="V127" s="18"/>
      <c r="W127" s="18"/>
      <c r="X127" s="18"/>
      <c r="Y127" s="18"/>
      <c r="Z127" s="79"/>
      <c r="AA127" s="18"/>
      <c r="AB127" s="18"/>
      <c r="AC127" s="18"/>
      <c r="AD127" s="18"/>
      <c r="AE127" s="18"/>
      <c r="AF127" s="79"/>
      <c r="AG127" s="18"/>
      <c r="AH127" s="18"/>
      <c r="AI127" s="18"/>
      <c r="AJ127" s="79"/>
      <c r="AK127" s="18"/>
      <c r="AL127" s="18"/>
      <c r="AM127" s="18"/>
      <c r="AN127" s="18"/>
      <c r="AO127" s="79"/>
      <c r="AP127" s="18"/>
      <c r="AQ127" s="18"/>
      <c r="AR127" s="18"/>
      <c r="AS127" s="18"/>
      <c r="AT127" s="79"/>
      <c r="AU127" s="18"/>
      <c r="AV127" s="18"/>
      <c r="AW127" s="18"/>
      <c r="AX127" s="18"/>
      <c r="AY127" s="79"/>
      <c r="AZ127" s="9" t="s">
        <v>1589</v>
      </c>
      <c r="BA127" s="9" t="s">
        <v>1482</v>
      </c>
      <c r="BB127" s="9" t="s">
        <v>1375</v>
      </c>
      <c r="BC127" s="9" t="s">
        <v>1267</v>
      </c>
      <c r="BD127" s="118"/>
    </row>
    <row r="128" spans="1:56" ht="16.5">
      <c r="A128" s="67">
        <v>127</v>
      </c>
      <c r="B128" s="7"/>
      <c r="C128" s="7"/>
      <c r="D128" s="119">
        <v>112</v>
      </c>
      <c r="E128" s="119">
        <v>127</v>
      </c>
      <c r="F128" s="120" t="s">
        <v>674</v>
      </c>
      <c r="G128" s="120" t="s">
        <v>780</v>
      </c>
      <c r="H128" s="79"/>
      <c r="I128" s="79"/>
      <c r="J128" s="79"/>
      <c r="K128" s="79"/>
      <c r="L128" s="79"/>
      <c r="M128" s="79"/>
      <c r="N128" s="79"/>
      <c r="O128" s="79"/>
      <c r="P128" s="18"/>
      <c r="Q128" s="18"/>
      <c r="R128" s="18"/>
      <c r="S128" s="18"/>
      <c r="T128" s="79"/>
      <c r="U128" s="18"/>
      <c r="V128" s="18"/>
      <c r="W128" s="18"/>
      <c r="X128" s="18"/>
      <c r="Y128" s="18"/>
      <c r="Z128" s="79"/>
      <c r="AA128" s="18"/>
      <c r="AB128" s="18"/>
      <c r="AC128" s="18"/>
      <c r="AD128" s="18"/>
      <c r="AE128" s="18"/>
      <c r="AF128" s="79"/>
      <c r="AG128" s="18"/>
      <c r="AH128" s="18"/>
      <c r="AI128" s="18"/>
      <c r="AJ128" s="79"/>
      <c r="AK128" s="18"/>
      <c r="AL128" s="18"/>
      <c r="AM128" s="18"/>
      <c r="AN128" s="18"/>
      <c r="AO128" s="79"/>
      <c r="AP128" s="18"/>
      <c r="AQ128" s="18"/>
      <c r="AR128" s="18"/>
      <c r="AS128" s="18"/>
      <c r="AT128" s="79"/>
      <c r="AU128" s="18"/>
      <c r="AV128" s="18"/>
      <c r="AW128" s="18"/>
      <c r="AX128" s="18"/>
      <c r="AY128" s="79"/>
      <c r="AZ128" s="9" t="s">
        <v>1590</v>
      </c>
      <c r="BA128" s="9" t="s">
        <v>1483</v>
      </c>
      <c r="BB128" s="9" t="s">
        <v>1376</v>
      </c>
      <c r="BC128" s="9" t="s">
        <v>1268</v>
      </c>
      <c r="BD128" s="118"/>
    </row>
    <row r="129" spans="1:56" ht="16.5">
      <c r="A129" s="67">
        <v>128</v>
      </c>
      <c r="B129" s="7"/>
      <c r="C129" s="7"/>
      <c r="D129" s="119"/>
      <c r="E129" s="119">
        <v>128</v>
      </c>
      <c r="F129" s="120" t="s">
        <v>675</v>
      </c>
      <c r="G129" s="120" t="s">
        <v>781</v>
      </c>
      <c r="H129" s="79"/>
      <c r="I129" s="79"/>
      <c r="J129" s="79"/>
      <c r="K129" s="79"/>
      <c r="L129" s="79"/>
      <c r="M129" s="79"/>
      <c r="N129" s="79"/>
      <c r="O129" s="79"/>
      <c r="P129" s="18"/>
      <c r="Q129" s="18"/>
      <c r="R129" s="18"/>
      <c r="S129" s="18"/>
      <c r="T129" s="79"/>
      <c r="U129" s="18"/>
      <c r="V129" s="18"/>
      <c r="W129" s="18"/>
      <c r="X129" s="18"/>
      <c r="Y129" s="18"/>
      <c r="Z129" s="79"/>
      <c r="AA129" s="18"/>
      <c r="AB129" s="18"/>
      <c r="AC129" s="18"/>
      <c r="AD129" s="18"/>
      <c r="AE129" s="18"/>
      <c r="AF129" s="79"/>
      <c r="AG129" s="18"/>
      <c r="AH129" s="18"/>
      <c r="AI129" s="18"/>
      <c r="AJ129" s="79"/>
      <c r="AK129" s="18"/>
      <c r="AL129" s="18"/>
      <c r="AM129" s="18"/>
      <c r="AN129" s="18"/>
      <c r="AO129" s="79"/>
      <c r="AP129" s="18"/>
      <c r="AQ129" s="18"/>
      <c r="AR129" s="18"/>
      <c r="AS129" s="18"/>
      <c r="AT129" s="79"/>
      <c r="AU129" s="18"/>
      <c r="AV129" s="18"/>
      <c r="AW129" s="18"/>
      <c r="AX129" s="18"/>
      <c r="AY129" s="79"/>
      <c r="AZ129" s="9" t="s">
        <v>1591</v>
      </c>
      <c r="BA129" s="9" t="s">
        <v>1484</v>
      </c>
      <c r="BB129" s="9" t="s">
        <v>1377</v>
      </c>
      <c r="BC129" s="9" t="s">
        <v>1269</v>
      </c>
      <c r="BD129" s="118"/>
    </row>
    <row r="130" spans="1:56" ht="16.5">
      <c r="A130" s="67">
        <v>129</v>
      </c>
      <c r="B130" s="7">
        <v>71</v>
      </c>
      <c r="C130" s="7">
        <v>86</v>
      </c>
      <c r="D130" s="7">
        <v>113</v>
      </c>
      <c r="E130" s="7">
        <v>129</v>
      </c>
      <c r="F130" s="1" t="s">
        <v>676</v>
      </c>
      <c r="G130" s="1" t="s">
        <v>782</v>
      </c>
      <c r="H130" s="18" t="s">
        <v>1806</v>
      </c>
      <c r="I130" s="18" t="s">
        <v>1807</v>
      </c>
      <c r="J130" s="79" t="s">
        <v>1771</v>
      </c>
      <c r="K130" s="79"/>
      <c r="L130" s="79"/>
      <c r="M130" s="79"/>
      <c r="N130" s="79"/>
      <c r="O130" s="79"/>
      <c r="P130" s="18"/>
      <c r="Q130" s="18"/>
      <c r="R130" s="18"/>
      <c r="S130" s="18"/>
      <c r="T130" s="79"/>
      <c r="U130" s="18" t="s">
        <v>1806</v>
      </c>
      <c r="V130" s="18" t="s">
        <v>2152</v>
      </c>
      <c r="W130" s="18"/>
      <c r="X130" s="18"/>
      <c r="Y130" s="18" t="s">
        <v>2218</v>
      </c>
      <c r="Z130" s="79"/>
      <c r="AA130" s="18" t="s">
        <v>1807</v>
      </c>
      <c r="AB130" s="18" t="s">
        <v>1808</v>
      </c>
      <c r="AC130" s="18"/>
      <c r="AD130" s="18"/>
      <c r="AE130" s="18" t="s">
        <v>2220</v>
      </c>
      <c r="AF130" s="79"/>
      <c r="AG130" s="18"/>
      <c r="AH130" s="18"/>
      <c r="AI130" s="18"/>
      <c r="AJ130" s="79"/>
      <c r="AK130" s="18"/>
      <c r="AL130" s="18"/>
      <c r="AM130" s="18"/>
      <c r="AN130" s="18"/>
      <c r="AO130" s="79"/>
      <c r="AP130" s="18"/>
      <c r="AQ130" s="18"/>
      <c r="AR130" s="18"/>
      <c r="AS130" s="18"/>
      <c r="AT130" s="79"/>
      <c r="AU130" s="18"/>
      <c r="AV130" s="18"/>
      <c r="AW130" s="18"/>
      <c r="AX130" s="18"/>
      <c r="AY130" s="79"/>
      <c r="AZ130" s="9" t="s">
        <v>895</v>
      </c>
      <c r="BA130" s="9" t="s">
        <v>881</v>
      </c>
      <c r="BB130" s="9" t="s">
        <v>867</v>
      </c>
      <c r="BC130" s="9" t="s">
        <v>811</v>
      </c>
      <c r="BD130" s="118"/>
    </row>
    <row r="131" spans="1:56" ht="16.5">
      <c r="A131" s="67">
        <v>130</v>
      </c>
      <c r="B131" s="7">
        <v>72</v>
      </c>
      <c r="C131" s="7">
        <v>87</v>
      </c>
      <c r="D131" s="7">
        <v>114</v>
      </c>
      <c r="E131" s="7">
        <v>130</v>
      </c>
      <c r="F131" s="1" t="s">
        <v>678</v>
      </c>
      <c r="G131" s="1" t="s">
        <v>783</v>
      </c>
      <c r="H131" s="18" t="s">
        <v>1153</v>
      </c>
      <c r="I131" s="18" t="s">
        <v>1809</v>
      </c>
      <c r="J131" s="79" t="s">
        <v>1775</v>
      </c>
      <c r="K131" s="79"/>
      <c r="L131" s="79"/>
      <c r="M131" s="79"/>
      <c r="N131" s="79"/>
      <c r="O131" s="79"/>
      <c r="P131" s="18"/>
      <c r="Q131" s="18"/>
      <c r="R131" s="18"/>
      <c r="S131" s="18"/>
      <c r="T131" s="79"/>
      <c r="U131" s="18" t="s">
        <v>1153</v>
      </c>
      <c r="V131" s="18" t="s">
        <v>1808</v>
      </c>
      <c r="W131" s="18"/>
      <c r="X131" s="18"/>
      <c r="Y131" s="18" t="s">
        <v>2220</v>
      </c>
      <c r="Z131" s="79"/>
      <c r="AA131" s="18" t="s">
        <v>1809</v>
      </c>
      <c r="AB131" s="18" t="s">
        <v>2152</v>
      </c>
      <c r="AC131" s="18"/>
      <c r="AD131" s="18"/>
      <c r="AE131" s="18" t="s">
        <v>2218</v>
      </c>
      <c r="AF131" s="79"/>
      <c r="AG131" s="18"/>
      <c r="AH131" s="18"/>
      <c r="AI131" s="18"/>
      <c r="AJ131" s="79"/>
      <c r="AK131" s="18"/>
      <c r="AL131" s="18"/>
      <c r="AM131" s="18"/>
      <c r="AN131" s="18"/>
      <c r="AO131" s="79"/>
      <c r="AP131" s="18"/>
      <c r="AQ131" s="18"/>
      <c r="AR131" s="18"/>
      <c r="AS131" s="18"/>
      <c r="AT131" s="79"/>
      <c r="AU131" s="18"/>
      <c r="AV131" s="18"/>
      <c r="AW131" s="18"/>
      <c r="AX131" s="18"/>
      <c r="AY131" s="79"/>
      <c r="AZ131" s="9" t="s">
        <v>1592</v>
      </c>
      <c r="BA131" s="9" t="s">
        <v>1485</v>
      </c>
      <c r="BB131" s="9" t="s">
        <v>1378</v>
      </c>
      <c r="BC131" s="9" t="s">
        <v>1270</v>
      </c>
      <c r="BD131" s="118"/>
    </row>
    <row r="132" spans="1:56" ht="16.5">
      <c r="A132" s="67">
        <v>131</v>
      </c>
      <c r="B132" s="7">
        <v>73</v>
      </c>
      <c r="C132" s="7">
        <v>88</v>
      </c>
      <c r="D132" s="7">
        <v>115</v>
      </c>
      <c r="E132" s="7">
        <v>131</v>
      </c>
      <c r="F132" s="1" t="s">
        <v>680</v>
      </c>
      <c r="G132" s="1" t="s">
        <v>784</v>
      </c>
      <c r="H132" s="18" t="s">
        <v>1154</v>
      </c>
      <c r="I132" s="79" t="s">
        <v>1777</v>
      </c>
      <c r="J132" s="79"/>
      <c r="K132" s="79"/>
      <c r="L132" s="79"/>
      <c r="M132" s="79"/>
      <c r="N132" s="79"/>
      <c r="O132" s="79"/>
      <c r="P132" s="18"/>
      <c r="Q132" s="18"/>
      <c r="R132" s="18"/>
      <c r="S132" s="18"/>
      <c r="T132" s="79"/>
      <c r="U132" s="18" t="s">
        <v>1154</v>
      </c>
      <c r="V132" s="79" t="s">
        <v>2230</v>
      </c>
      <c r="W132" s="18"/>
      <c r="X132" s="18"/>
      <c r="Y132" s="18"/>
      <c r="Z132" s="79"/>
      <c r="AA132" s="18"/>
      <c r="AB132" s="18"/>
      <c r="AC132" s="18"/>
      <c r="AD132" s="18"/>
      <c r="AE132" s="18"/>
      <c r="AF132" s="79"/>
      <c r="AG132" s="18"/>
      <c r="AH132" s="18"/>
      <c r="AI132" s="18"/>
      <c r="AJ132" s="79"/>
      <c r="AK132" s="18"/>
      <c r="AL132" s="18"/>
      <c r="AM132" s="18"/>
      <c r="AN132" s="18"/>
      <c r="AO132" s="79"/>
      <c r="AP132" s="18"/>
      <c r="AQ132" s="18"/>
      <c r="AR132" s="18"/>
      <c r="AS132" s="18"/>
      <c r="AT132" s="79"/>
      <c r="AU132" s="18"/>
      <c r="AV132" s="18"/>
      <c r="AW132" s="18"/>
      <c r="AX132" s="18"/>
      <c r="AY132" s="79"/>
      <c r="AZ132" s="9" t="s">
        <v>1593</v>
      </c>
      <c r="BA132" s="9" t="s">
        <v>1486</v>
      </c>
      <c r="BB132" s="9" t="s">
        <v>1379</v>
      </c>
      <c r="BC132" s="9" t="s">
        <v>1271</v>
      </c>
      <c r="BD132" s="118"/>
    </row>
    <row r="133" spans="1:56" ht="16.5">
      <c r="A133" s="67">
        <v>132</v>
      </c>
      <c r="B133" s="7">
        <v>74</v>
      </c>
      <c r="C133" s="7">
        <v>89</v>
      </c>
      <c r="D133" s="7">
        <v>116</v>
      </c>
      <c r="E133" s="7">
        <v>132</v>
      </c>
      <c r="F133" s="1" t="s">
        <v>682</v>
      </c>
      <c r="G133" s="1" t="s">
        <v>785</v>
      </c>
      <c r="H133" s="79" t="s">
        <v>683</v>
      </c>
      <c r="I133" s="79" t="s">
        <v>684</v>
      </c>
      <c r="J133" s="79"/>
      <c r="K133" s="79"/>
      <c r="L133" s="79"/>
      <c r="M133" s="79"/>
      <c r="N133" s="79"/>
      <c r="O133" s="79"/>
      <c r="P133" s="18"/>
      <c r="Q133" s="18"/>
      <c r="R133" s="18"/>
      <c r="S133" s="18"/>
      <c r="T133" s="79"/>
      <c r="U133" s="18"/>
      <c r="V133" s="18"/>
      <c r="W133" s="18"/>
      <c r="X133" s="18"/>
      <c r="Y133" s="18"/>
      <c r="Z133" s="79"/>
      <c r="AA133" s="18"/>
      <c r="AB133" s="18"/>
      <c r="AC133" s="18"/>
      <c r="AD133" s="18"/>
      <c r="AE133" s="18"/>
      <c r="AF133" s="79"/>
      <c r="AG133" s="18"/>
      <c r="AH133" s="18"/>
      <c r="AI133" s="18"/>
      <c r="AJ133" s="79"/>
      <c r="AK133" s="18"/>
      <c r="AL133" s="18"/>
      <c r="AM133" s="18"/>
      <c r="AN133" s="18"/>
      <c r="AO133" s="79"/>
      <c r="AP133" s="18"/>
      <c r="AQ133" s="18"/>
      <c r="AR133" s="18"/>
      <c r="AS133" s="18"/>
      <c r="AT133" s="79"/>
      <c r="AU133" s="18"/>
      <c r="AV133" s="18"/>
      <c r="AW133" s="18"/>
      <c r="AX133" s="18"/>
      <c r="AY133" s="79"/>
      <c r="AZ133" s="9" t="s">
        <v>898</v>
      </c>
      <c r="BA133" s="9" t="s">
        <v>884</v>
      </c>
      <c r="BB133" s="9" t="s">
        <v>870</v>
      </c>
      <c r="BC133" s="9" t="s">
        <v>814</v>
      </c>
      <c r="BD133" s="118"/>
    </row>
    <row r="134" spans="1:56" ht="16.5">
      <c r="A134" s="67">
        <v>133</v>
      </c>
      <c r="B134" s="7">
        <v>75</v>
      </c>
      <c r="C134" s="7">
        <v>90</v>
      </c>
      <c r="D134" s="7">
        <v>117</v>
      </c>
      <c r="E134" s="7">
        <v>133</v>
      </c>
      <c r="F134" s="1" t="s">
        <v>685</v>
      </c>
      <c r="G134" s="1" t="s">
        <v>786</v>
      </c>
      <c r="H134" s="79" t="s">
        <v>686</v>
      </c>
      <c r="I134" s="79" t="s">
        <v>687</v>
      </c>
      <c r="J134" s="79"/>
      <c r="K134" s="79"/>
      <c r="L134" s="79"/>
      <c r="M134" s="79"/>
      <c r="N134" s="79"/>
      <c r="O134" s="79"/>
      <c r="P134" s="18"/>
      <c r="Q134" s="18"/>
      <c r="R134" s="18"/>
      <c r="S134" s="18"/>
      <c r="T134" s="79"/>
      <c r="U134" s="18"/>
      <c r="V134" s="18"/>
      <c r="W134" s="18"/>
      <c r="X134" s="18"/>
      <c r="Y134" s="18"/>
      <c r="Z134" s="79"/>
      <c r="AA134" s="18"/>
      <c r="AB134" s="18"/>
      <c r="AC134" s="18"/>
      <c r="AD134" s="18"/>
      <c r="AE134" s="18"/>
      <c r="AF134" s="79"/>
      <c r="AG134" s="18"/>
      <c r="AH134" s="18"/>
      <c r="AI134" s="18"/>
      <c r="AJ134" s="79"/>
      <c r="AK134" s="18"/>
      <c r="AL134" s="18"/>
      <c r="AM134" s="18"/>
      <c r="AN134" s="18"/>
      <c r="AO134" s="79"/>
      <c r="AP134" s="18"/>
      <c r="AQ134" s="18"/>
      <c r="AR134" s="18"/>
      <c r="AS134" s="18"/>
      <c r="AT134" s="79"/>
      <c r="AU134" s="18"/>
      <c r="AV134" s="18"/>
      <c r="AW134" s="18"/>
      <c r="AX134" s="18"/>
      <c r="AY134" s="79"/>
      <c r="AZ134" s="9" t="s">
        <v>1594</v>
      </c>
      <c r="BA134" s="9" t="s">
        <v>1487</v>
      </c>
      <c r="BB134" s="9" t="s">
        <v>1380</v>
      </c>
      <c r="BC134" s="9" t="s">
        <v>1272</v>
      </c>
      <c r="BD134" s="118"/>
    </row>
    <row r="135" spans="1:56" ht="16.5">
      <c r="A135" s="67">
        <v>134</v>
      </c>
      <c r="B135" s="7">
        <v>76</v>
      </c>
      <c r="C135" s="7">
        <v>91</v>
      </c>
      <c r="D135" s="7">
        <v>118</v>
      </c>
      <c r="E135" s="7">
        <v>134</v>
      </c>
      <c r="F135" s="1" t="s">
        <v>688</v>
      </c>
      <c r="G135" s="1" t="s">
        <v>787</v>
      </c>
      <c r="H135" s="79" t="s">
        <v>689</v>
      </c>
      <c r="I135" s="79"/>
      <c r="J135" s="79"/>
      <c r="K135" s="79"/>
      <c r="L135" s="79"/>
      <c r="M135" s="79"/>
      <c r="N135" s="79"/>
      <c r="O135" s="79"/>
      <c r="P135" s="18"/>
      <c r="Q135" s="18"/>
      <c r="R135" s="18"/>
      <c r="S135" s="18"/>
      <c r="T135" s="79"/>
      <c r="U135" s="18"/>
      <c r="V135" s="18"/>
      <c r="W135" s="18"/>
      <c r="X135" s="18"/>
      <c r="Y135" s="18"/>
      <c r="Z135" s="79"/>
      <c r="AA135" s="18"/>
      <c r="AB135" s="18"/>
      <c r="AC135" s="18"/>
      <c r="AD135" s="18"/>
      <c r="AE135" s="18"/>
      <c r="AF135" s="79"/>
      <c r="AG135" s="18"/>
      <c r="AH135" s="18"/>
      <c r="AI135" s="18"/>
      <c r="AJ135" s="79"/>
      <c r="AK135" s="18"/>
      <c r="AL135" s="18"/>
      <c r="AM135" s="18"/>
      <c r="AN135" s="18"/>
      <c r="AO135" s="79"/>
      <c r="AP135" s="18"/>
      <c r="AQ135" s="18"/>
      <c r="AR135" s="18"/>
      <c r="AS135" s="18"/>
      <c r="AT135" s="79"/>
      <c r="AU135" s="18"/>
      <c r="AV135" s="18"/>
      <c r="AW135" s="18"/>
      <c r="AX135" s="18"/>
      <c r="AY135" s="79"/>
      <c r="AZ135" s="9" t="s">
        <v>1595</v>
      </c>
      <c r="BA135" s="9" t="s">
        <v>1488</v>
      </c>
      <c r="BB135" s="9" t="s">
        <v>1381</v>
      </c>
      <c r="BC135" s="9" t="s">
        <v>1273</v>
      </c>
      <c r="BD135" s="118"/>
    </row>
    <row r="136" spans="1:56" ht="16.5">
      <c r="A136" s="67">
        <v>135</v>
      </c>
      <c r="B136" s="7"/>
      <c r="C136" s="7">
        <v>92</v>
      </c>
      <c r="D136" s="7">
        <v>119</v>
      </c>
      <c r="E136" s="7">
        <v>135</v>
      </c>
      <c r="F136" s="1" t="s">
        <v>690</v>
      </c>
      <c r="G136" s="1" t="s">
        <v>788</v>
      </c>
      <c r="H136" s="79" t="s">
        <v>691</v>
      </c>
      <c r="I136" s="79" t="s">
        <v>2174</v>
      </c>
      <c r="J136" s="79"/>
      <c r="K136" s="79"/>
      <c r="L136" s="79"/>
      <c r="M136" s="79"/>
      <c r="N136" s="79"/>
      <c r="O136" s="79"/>
      <c r="P136" s="18"/>
      <c r="Q136" s="18"/>
      <c r="R136" s="18"/>
      <c r="S136" s="18"/>
      <c r="T136" s="79"/>
      <c r="U136" s="18"/>
      <c r="V136" s="18"/>
      <c r="W136" s="18"/>
      <c r="X136" s="18"/>
      <c r="Y136" s="18"/>
      <c r="Z136" s="79"/>
      <c r="AA136" s="18"/>
      <c r="AB136" s="18"/>
      <c r="AC136" s="18"/>
      <c r="AD136" s="18"/>
      <c r="AE136" s="18"/>
      <c r="AF136" s="79"/>
      <c r="AG136" s="18"/>
      <c r="AH136" s="18"/>
      <c r="AI136" s="18"/>
      <c r="AJ136" s="79"/>
      <c r="AK136" s="18"/>
      <c r="AL136" s="18"/>
      <c r="AM136" s="18"/>
      <c r="AN136" s="18"/>
      <c r="AO136" s="79"/>
      <c r="AP136" s="18"/>
      <c r="AQ136" s="18"/>
      <c r="AR136" s="18"/>
      <c r="AS136" s="18"/>
      <c r="AT136" s="79"/>
      <c r="AU136" s="18"/>
      <c r="AV136" s="18"/>
      <c r="AW136" s="18"/>
      <c r="AX136" s="18"/>
      <c r="AY136" s="79"/>
      <c r="AZ136" s="9" t="s">
        <v>897</v>
      </c>
      <c r="BA136" s="9" t="s">
        <v>883</v>
      </c>
      <c r="BB136" s="9" t="s">
        <v>869</v>
      </c>
      <c r="BC136" s="9" t="s">
        <v>813</v>
      </c>
      <c r="BD136" s="118"/>
    </row>
    <row r="137" spans="1:56" ht="16.5">
      <c r="A137" s="67">
        <v>136</v>
      </c>
      <c r="B137" s="7"/>
      <c r="C137" s="7">
        <v>93</v>
      </c>
      <c r="D137" s="7">
        <v>120</v>
      </c>
      <c r="E137" s="7">
        <v>136</v>
      </c>
      <c r="F137" s="1" t="s">
        <v>693</v>
      </c>
      <c r="G137" s="1" t="s">
        <v>789</v>
      </c>
      <c r="H137" s="79" t="s">
        <v>694</v>
      </c>
      <c r="I137" s="79" t="s">
        <v>2204</v>
      </c>
      <c r="J137" s="79"/>
      <c r="K137" s="79"/>
      <c r="L137" s="79"/>
      <c r="M137" s="79"/>
      <c r="N137" s="79"/>
      <c r="O137" s="79"/>
      <c r="P137" s="18"/>
      <c r="Q137" s="18"/>
      <c r="R137" s="18"/>
      <c r="S137" s="18"/>
      <c r="T137" s="79"/>
      <c r="U137" s="18"/>
      <c r="V137" s="18"/>
      <c r="W137" s="18"/>
      <c r="X137" s="18"/>
      <c r="Y137" s="18"/>
      <c r="Z137" s="79"/>
      <c r="AA137" s="18"/>
      <c r="AB137" s="18"/>
      <c r="AC137" s="18"/>
      <c r="AD137" s="18"/>
      <c r="AE137" s="18"/>
      <c r="AF137" s="79"/>
      <c r="AG137" s="18"/>
      <c r="AH137" s="18"/>
      <c r="AI137" s="18"/>
      <c r="AJ137" s="79"/>
      <c r="AK137" s="18"/>
      <c r="AL137" s="18"/>
      <c r="AM137" s="18"/>
      <c r="AN137" s="18"/>
      <c r="AO137" s="79"/>
      <c r="AP137" s="18"/>
      <c r="AQ137" s="18"/>
      <c r="AR137" s="18"/>
      <c r="AS137" s="18"/>
      <c r="AT137" s="79"/>
      <c r="AU137" s="18"/>
      <c r="AV137" s="18"/>
      <c r="AW137" s="18"/>
      <c r="AX137" s="18"/>
      <c r="AY137" s="79"/>
      <c r="AZ137" s="9" t="s">
        <v>1596</v>
      </c>
      <c r="BA137" s="9" t="s">
        <v>1489</v>
      </c>
      <c r="BB137" s="9" t="s">
        <v>1382</v>
      </c>
      <c r="BC137" s="9" t="s">
        <v>1274</v>
      </c>
      <c r="BD137" s="118"/>
    </row>
    <row r="138" spans="1:56" ht="16.5">
      <c r="A138" s="67">
        <v>137</v>
      </c>
      <c r="B138" s="7">
        <v>77</v>
      </c>
      <c r="C138" s="7">
        <v>94</v>
      </c>
      <c r="D138" s="7">
        <v>121</v>
      </c>
      <c r="E138" s="7">
        <v>137</v>
      </c>
      <c r="F138" s="1" t="s">
        <v>696</v>
      </c>
      <c r="G138" s="1" t="s">
        <v>790</v>
      </c>
      <c r="H138" s="79" t="s">
        <v>697</v>
      </c>
      <c r="I138" s="18" t="s">
        <v>1810</v>
      </c>
      <c r="J138" s="18" t="s">
        <v>1811</v>
      </c>
      <c r="K138" s="79" t="s">
        <v>2204</v>
      </c>
      <c r="L138" s="79" t="s">
        <v>699</v>
      </c>
      <c r="M138" s="79"/>
      <c r="N138" s="79"/>
      <c r="O138" s="79"/>
      <c r="P138" s="18"/>
      <c r="Q138" s="18"/>
      <c r="R138" s="18"/>
      <c r="S138" s="18"/>
      <c r="T138" s="79"/>
      <c r="U138" s="18"/>
      <c r="V138" s="18"/>
      <c r="W138" s="18"/>
      <c r="X138" s="18"/>
      <c r="Y138" s="18"/>
      <c r="Z138" s="79"/>
      <c r="AA138" s="18" t="s">
        <v>1810</v>
      </c>
      <c r="AB138" s="18" t="s">
        <v>2224</v>
      </c>
      <c r="AC138" s="18" t="s">
        <v>2198</v>
      </c>
      <c r="AD138" s="18"/>
      <c r="AE138" s="18"/>
      <c r="AF138" s="79"/>
      <c r="AG138" s="18" t="s">
        <v>1811</v>
      </c>
      <c r="AH138" s="18" t="s">
        <v>2225</v>
      </c>
      <c r="AI138" s="18" t="s">
        <v>2184</v>
      </c>
      <c r="AJ138" s="79"/>
      <c r="AK138" s="18"/>
      <c r="AL138" s="18"/>
      <c r="AM138" s="18"/>
      <c r="AN138" s="18"/>
      <c r="AO138" s="79"/>
      <c r="AP138" s="18"/>
      <c r="AQ138" s="18"/>
      <c r="AR138" s="18"/>
      <c r="AS138" s="18"/>
      <c r="AT138" s="79"/>
      <c r="AU138" s="18"/>
      <c r="AV138" s="18"/>
      <c r="AW138" s="18"/>
      <c r="AX138" s="18"/>
      <c r="AY138" s="79"/>
      <c r="AZ138" s="9" t="s">
        <v>1597</v>
      </c>
      <c r="BA138" s="9" t="s">
        <v>1490</v>
      </c>
      <c r="BB138" s="9" t="s">
        <v>1383</v>
      </c>
      <c r="BC138" s="9" t="s">
        <v>1275</v>
      </c>
      <c r="BD138" s="118"/>
    </row>
    <row r="139" spans="1:56" ht="16.5">
      <c r="A139" s="67">
        <v>138</v>
      </c>
      <c r="B139" s="7">
        <v>78</v>
      </c>
      <c r="C139" s="7">
        <v>95</v>
      </c>
      <c r="D139" s="7">
        <v>122</v>
      </c>
      <c r="E139" s="7">
        <v>138</v>
      </c>
      <c r="F139" s="1" t="s">
        <v>700</v>
      </c>
      <c r="G139" s="1" t="s">
        <v>791</v>
      </c>
      <c r="H139" s="79" t="s">
        <v>701</v>
      </c>
      <c r="I139" s="18" t="s">
        <v>1812</v>
      </c>
      <c r="J139" s="18" t="s">
        <v>1166</v>
      </c>
      <c r="K139" s="18" t="s">
        <v>1605</v>
      </c>
      <c r="L139" s="18" t="s">
        <v>1813</v>
      </c>
      <c r="M139" s="79" t="s">
        <v>2174</v>
      </c>
      <c r="N139" s="79" t="s">
        <v>703</v>
      </c>
      <c r="O139" s="79"/>
      <c r="P139" s="18"/>
      <c r="Q139" s="18"/>
      <c r="R139" s="18"/>
      <c r="S139" s="18"/>
      <c r="T139" s="79"/>
      <c r="U139" s="18"/>
      <c r="V139" s="18"/>
      <c r="W139" s="18"/>
      <c r="X139" s="18"/>
      <c r="Y139" s="18"/>
      <c r="Z139" s="79"/>
      <c r="AA139" s="18" t="s">
        <v>1812</v>
      </c>
      <c r="AB139" s="18" t="s">
        <v>2156</v>
      </c>
      <c r="AC139" s="18" t="s">
        <v>2180</v>
      </c>
      <c r="AD139" s="18"/>
      <c r="AE139" s="18"/>
      <c r="AF139" s="79"/>
      <c r="AG139" s="18" t="s">
        <v>1166</v>
      </c>
      <c r="AH139" s="79" t="s">
        <v>2163</v>
      </c>
      <c r="AI139" s="18"/>
      <c r="AJ139" s="79"/>
      <c r="AK139" s="18" t="s">
        <v>1605</v>
      </c>
      <c r="AL139" s="18" t="s">
        <v>2159</v>
      </c>
      <c r="AM139" s="18" t="s">
        <v>2183</v>
      </c>
      <c r="AN139" s="18" t="s">
        <v>2217</v>
      </c>
      <c r="AO139" s="79"/>
      <c r="AP139" s="18" t="s">
        <v>1813</v>
      </c>
      <c r="AQ139" s="18" t="s">
        <v>2166</v>
      </c>
      <c r="AR139" s="18"/>
      <c r="AS139" s="18" t="s">
        <v>2219</v>
      </c>
      <c r="AT139" s="79"/>
      <c r="AU139" s="18"/>
      <c r="AV139" s="18"/>
      <c r="AW139" s="18"/>
      <c r="AX139" s="18"/>
      <c r="AY139" s="79"/>
      <c r="AZ139" s="9" t="s">
        <v>1598</v>
      </c>
      <c r="BA139" s="9" t="s">
        <v>1491</v>
      </c>
      <c r="BB139" s="9" t="s">
        <v>1384</v>
      </c>
      <c r="BC139" s="9" t="s">
        <v>1276</v>
      </c>
      <c r="BD139" s="118"/>
    </row>
    <row r="140" spans="1:56" ht="16.5">
      <c r="A140" s="67">
        <v>139</v>
      </c>
      <c r="B140" s="7">
        <v>79</v>
      </c>
      <c r="C140" s="7">
        <v>96</v>
      </c>
      <c r="D140" s="7">
        <v>123</v>
      </c>
      <c r="E140" s="7">
        <v>139</v>
      </c>
      <c r="F140" s="1" t="s">
        <v>704</v>
      </c>
      <c r="G140" s="1" t="s">
        <v>792</v>
      </c>
      <c r="H140" s="79" t="s">
        <v>705</v>
      </c>
      <c r="I140" s="18" t="s">
        <v>1814</v>
      </c>
      <c r="J140" s="18" t="s">
        <v>1167</v>
      </c>
      <c r="K140" s="122" t="s">
        <v>1606</v>
      </c>
      <c r="L140" s="18" t="s">
        <v>1815</v>
      </c>
      <c r="M140" s="79" t="s">
        <v>707</v>
      </c>
      <c r="N140" s="79" t="s">
        <v>708</v>
      </c>
      <c r="O140" s="79"/>
      <c r="P140" s="18"/>
      <c r="Q140" s="18"/>
      <c r="R140" s="18"/>
      <c r="S140" s="18"/>
      <c r="T140" s="79"/>
      <c r="U140" s="18"/>
      <c r="V140" s="18"/>
      <c r="W140" s="18"/>
      <c r="X140" s="18"/>
      <c r="Y140" s="18"/>
      <c r="Z140" s="79"/>
      <c r="AA140" s="18" t="s">
        <v>1814</v>
      </c>
      <c r="AB140" s="79" t="s">
        <v>2163</v>
      </c>
      <c r="AC140" s="18"/>
      <c r="AD140" s="18"/>
      <c r="AE140" s="18"/>
      <c r="AF140" s="79"/>
      <c r="AG140" s="18" t="s">
        <v>1167</v>
      </c>
      <c r="AH140" s="18" t="s">
        <v>2156</v>
      </c>
      <c r="AI140" s="18" t="s">
        <v>2180</v>
      </c>
      <c r="AJ140" s="79"/>
      <c r="AK140" s="122" t="s">
        <v>1606</v>
      </c>
      <c r="AL140" s="18" t="s">
        <v>2166</v>
      </c>
      <c r="AM140" s="18"/>
      <c r="AN140" s="18" t="s">
        <v>2219</v>
      </c>
      <c r="AO140" s="79"/>
      <c r="AP140" s="18" t="s">
        <v>1815</v>
      </c>
      <c r="AQ140" s="18" t="s">
        <v>2159</v>
      </c>
      <c r="AR140" s="18" t="s">
        <v>2183</v>
      </c>
      <c r="AS140" s="18" t="s">
        <v>2217</v>
      </c>
      <c r="AT140" s="79"/>
      <c r="AU140" s="18"/>
      <c r="AV140" s="18"/>
      <c r="AW140" s="18"/>
      <c r="AX140" s="18"/>
      <c r="AY140" s="79"/>
      <c r="AZ140" s="9" t="s">
        <v>1599</v>
      </c>
      <c r="BA140" s="9" t="s">
        <v>1492</v>
      </c>
      <c r="BB140" s="9" t="s">
        <v>1385</v>
      </c>
      <c r="BC140" s="9" t="s">
        <v>1277</v>
      </c>
      <c r="BD140" s="118"/>
    </row>
    <row r="141" spans="1:56" ht="16.5">
      <c r="A141" s="67">
        <v>140</v>
      </c>
      <c r="B141" s="7">
        <v>80</v>
      </c>
      <c r="C141" s="7">
        <v>97</v>
      </c>
      <c r="D141" s="7">
        <v>124</v>
      </c>
      <c r="E141" s="7">
        <v>140</v>
      </c>
      <c r="F141" s="1" t="s">
        <v>709</v>
      </c>
      <c r="G141" s="1" t="s">
        <v>793</v>
      </c>
      <c r="H141" s="18" t="s">
        <v>1816</v>
      </c>
      <c r="I141" s="18" t="s">
        <v>1817</v>
      </c>
      <c r="J141" s="79" t="s">
        <v>711</v>
      </c>
      <c r="K141" s="79"/>
      <c r="L141" s="79"/>
      <c r="M141" s="79"/>
      <c r="N141" s="79"/>
      <c r="O141" s="79"/>
      <c r="P141" s="18"/>
      <c r="Q141" s="18"/>
      <c r="R141" s="18"/>
      <c r="S141" s="18"/>
      <c r="T141" s="79"/>
      <c r="U141" s="18" t="s">
        <v>1816</v>
      </c>
      <c r="V141" s="79" t="s">
        <v>2221</v>
      </c>
      <c r="W141" s="18"/>
      <c r="X141" s="18"/>
      <c r="Y141" s="18"/>
      <c r="Z141" s="79"/>
      <c r="AA141" s="18" t="s">
        <v>1817</v>
      </c>
      <c r="AB141" s="79" t="s">
        <v>2222</v>
      </c>
      <c r="AC141" s="18"/>
      <c r="AD141" s="18"/>
      <c r="AE141" s="18"/>
      <c r="AF141" s="79"/>
      <c r="AG141" s="18"/>
      <c r="AH141" s="18"/>
      <c r="AI141" s="18"/>
      <c r="AJ141" s="79"/>
      <c r="AK141" s="18"/>
      <c r="AL141" s="18"/>
      <c r="AM141" s="18"/>
      <c r="AN141" s="18"/>
      <c r="AO141" s="79"/>
      <c r="AP141" s="18"/>
      <c r="AQ141" s="18"/>
      <c r="AR141" s="18"/>
      <c r="AS141" s="18"/>
      <c r="AT141" s="79"/>
      <c r="AU141" s="18"/>
      <c r="AV141" s="18"/>
      <c r="AW141" s="18"/>
      <c r="AX141" s="18"/>
      <c r="AY141" s="79"/>
      <c r="AZ141" s="9" t="s">
        <v>1600</v>
      </c>
      <c r="BA141" s="9" t="s">
        <v>1493</v>
      </c>
      <c r="BB141" s="9" t="s">
        <v>1386</v>
      </c>
      <c r="BC141" s="9" t="s">
        <v>1278</v>
      </c>
      <c r="BD141" s="118"/>
    </row>
    <row r="142" spans="1:56" ht="16.5">
      <c r="A142" s="67">
        <v>141</v>
      </c>
      <c r="B142" s="7"/>
      <c r="C142" s="7">
        <v>98</v>
      </c>
      <c r="D142" s="7">
        <v>125</v>
      </c>
      <c r="E142" s="7">
        <v>141</v>
      </c>
      <c r="F142" s="1" t="s">
        <v>712</v>
      </c>
      <c r="G142" s="1" t="s">
        <v>794</v>
      </c>
      <c r="H142" s="18" t="s">
        <v>1144</v>
      </c>
      <c r="I142" s="18" t="s">
        <v>1818</v>
      </c>
      <c r="J142" s="79"/>
      <c r="K142" s="79"/>
      <c r="L142" s="79"/>
      <c r="M142" s="79"/>
      <c r="N142" s="79"/>
      <c r="O142" s="79"/>
      <c r="P142" s="18"/>
      <c r="Q142" s="18"/>
      <c r="R142" s="18"/>
      <c r="S142" s="18"/>
      <c r="T142" s="79"/>
      <c r="U142" s="18" t="s">
        <v>1144</v>
      </c>
      <c r="V142" s="18" t="s">
        <v>2155</v>
      </c>
      <c r="W142" s="18" t="s">
        <v>2179</v>
      </c>
      <c r="X142" s="18"/>
      <c r="Y142" s="18"/>
      <c r="Z142" s="79"/>
      <c r="AA142" s="18" t="s">
        <v>1818</v>
      </c>
      <c r="AB142" s="79" t="s">
        <v>2162</v>
      </c>
      <c r="AC142" s="18"/>
      <c r="AD142" s="18"/>
      <c r="AE142" s="18"/>
      <c r="AF142" s="79"/>
      <c r="AG142" s="18"/>
      <c r="AH142" s="18"/>
      <c r="AI142" s="18"/>
      <c r="AJ142" s="79"/>
      <c r="AK142" s="18"/>
      <c r="AL142" s="18"/>
      <c r="AM142" s="18"/>
      <c r="AN142" s="18"/>
      <c r="AO142" s="79"/>
      <c r="AP142" s="18"/>
      <c r="AQ142" s="18"/>
      <c r="AR142" s="18"/>
      <c r="AS142" s="18"/>
      <c r="AT142" s="79"/>
      <c r="AU142" s="18"/>
      <c r="AV142" s="18"/>
      <c r="AW142" s="18"/>
      <c r="AX142" s="18"/>
      <c r="AY142" s="79"/>
      <c r="AZ142" s="9" t="s">
        <v>1601</v>
      </c>
      <c r="BA142" s="9" t="s">
        <v>1494</v>
      </c>
      <c r="BB142" s="9" t="s">
        <v>1387</v>
      </c>
      <c r="BC142" s="9" t="s">
        <v>1279</v>
      </c>
      <c r="BD142" s="118"/>
    </row>
    <row r="143" spans="1:56" ht="16.5">
      <c r="A143" s="67">
        <v>142</v>
      </c>
      <c r="B143" s="7"/>
      <c r="C143" s="7">
        <v>99</v>
      </c>
      <c r="D143" s="7">
        <v>126</v>
      </c>
      <c r="E143" s="7">
        <v>142</v>
      </c>
      <c r="F143" s="1" t="s">
        <v>714</v>
      </c>
      <c r="G143" s="1" t="s">
        <v>795</v>
      </c>
      <c r="H143" s="18" t="s">
        <v>1145</v>
      </c>
      <c r="I143" s="18" t="s">
        <v>1819</v>
      </c>
      <c r="J143" s="79"/>
      <c r="K143" s="79"/>
      <c r="L143" s="79"/>
      <c r="M143" s="79"/>
      <c r="N143" s="79"/>
      <c r="O143" s="79"/>
      <c r="P143" s="18"/>
      <c r="Q143" s="18"/>
      <c r="R143" s="18"/>
      <c r="S143" s="18"/>
      <c r="T143" s="79"/>
      <c r="U143" s="18" t="s">
        <v>1145</v>
      </c>
      <c r="V143" s="79" t="s">
        <v>2162</v>
      </c>
      <c r="W143" s="18"/>
      <c r="X143" s="18"/>
      <c r="Y143" s="18"/>
      <c r="Z143" s="79"/>
      <c r="AA143" s="18" t="s">
        <v>1819</v>
      </c>
      <c r="AB143" s="18" t="s">
        <v>2155</v>
      </c>
      <c r="AC143" s="18" t="s">
        <v>2179</v>
      </c>
      <c r="AD143" s="18"/>
      <c r="AE143" s="18"/>
      <c r="AF143" s="79"/>
      <c r="AG143" s="18"/>
      <c r="AH143" s="18"/>
      <c r="AI143" s="18"/>
      <c r="AJ143" s="79"/>
      <c r="AK143" s="18"/>
      <c r="AL143" s="18"/>
      <c r="AM143" s="18"/>
      <c r="AN143" s="18"/>
      <c r="AO143" s="79"/>
      <c r="AP143" s="18"/>
      <c r="AQ143" s="18"/>
      <c r="AR143" s="18"/>
      <c r="AS143" s="18"/>
      <c r="AT143" s="79"/>
      <c r="AU143" s="18"/>
      <c r="AV143" s="18"/>
      <c r="AW143" s="18"/>
      <c r="AX143" s="18"/>
      <c r="AY143" s="79"/>
      <c r="AZ143" s="9" t="s">
        <v>1602</v>
      </c>
      <c r="BA143" s="9" t="s">
        <v>1495</v>
      </c>
      <c r="BB143" s="9" t="s">
        <v>1388</v>
      </c>
      <c r="BC143" s="9" t="s">
        <v>1280</v>
      </c>
      <c r="BD143" s="118"/>
    </row>
    <row r="144" spans="1:56" ht="16.5">
      <c r="A144" s="67">
        <v>143</v>
      </c>
      <c r="B144" s="7"/>
      <c r="C144" s="7">
        <v>100</v>
      </c>
      <c r="D144" s="7">
        <v>127</v>
      </c>
      <c r="E144" s="7">
        <v>143</v>
      </c>
      <c r="F144" s="1" t="s">
        <v>716</v>
      </c>
      <c r="G144" s="1" t="s">
        <v>796</v>
      </c>
      <c r="H144" s="18" t="s">
        <v>1146</v>
      </c>
      <c r="I144" s="79"/>
      <c r="J144" s="79"/>
      <c r="K144" s="79"/>
      <c r="L144" s="79"/>
      <c r="M144" s="79"/>
      <c r="N144" s="79"/>
      <c r="O144" s="79"/>
      <c r="P144" s="18"/>
      <c r="Q144" s="18"/>
      <c r="R144" s="18"/>
      <c r="S144" s="18"/>
      <c r="T144" s="79"/>
      <c r="U144" s="18" t="s">
        <v>1146</v>
      </c>
      <c r="V144" s="18" t="s">
        <v>2231</v>
      </c>
      <c r="W144" s="18" t="s">
        <v>2199</v>
      </c>
      <c r="X144" s="18"/>
      <c r="Y144" s="18"/>
      <c r="Z144" s="79"/>
      <c r="AA144" s="18"/>
      <c r="AB144" s="18"/>
      <c r="AC144" s="18"/>
      <c r="AD144" s="18"/>
      <c r="AE144" s="18"/>
      <c r="AF144" s="79"/>
      <c r="AG144" s="18"/>
      <c r="AH144" s="18"/>
      <c r="AI144" s="18"/>
      <c r="AJ144" s="79"/>
      <c r="AK144" s="18"/>
      <c r="AL144" s="18"/>
      <c r="AM144" s="18"/>
      <c r="AN144" s="18"/>
      <c r="AO144" s="79"/>
      <c r="AP144" s="18"/>
      <c r="AQ144" s="18"/>
      <c r="AR144" s="18"/>
      <c r="AS144" s="18"/>
      <c r="AT144" s="79"/>
      <c r="AU144" s="18"/>
      <c r="AV144" s="18"/>
      <c r="AW144" s="18"/>
      <c r="AX144" s="18"/>
      <c r="AY144" s="79"/>
      <c r="AZ144" s="9" t="s">
        <v>1603</v>
      </c>
      <c r="BA144" s="9" t="s">
        <v>1496</v>
      </c>
      <c r="BB144" s="9" t="s">
        <v>1389</v>
      </c>
      <c r="BC144" s="9" t="s">
        <v>1281</v>
      </c>
      <c r="BD144" s="118"/>
    </row>
    <row r="145" spans="1:56" ht="16.5">
      <c r="A145" s="67">
        <v>144</v>
      </c>
      <c r="B145" s="7"/>
      <c r="C145" s="7"/>
      <c r="D145" s="7">
        <v>128</v>
      </c>
      <c r="E145" s="7">
        <v>144</v>
      </c>
      <c r="F145" s="1" t="s">
        <v>717</v>
      </c>
      <c r="G145" s="1" t="s">
        <v>797</v>
      </c>
      <c r="H145" s="18" t="s">
        <v>1147</v>
      </c>
      <c r="I145" s="79"/>
      <c r="J145" s="79"/>
      <c r="K145" s="79"/>
      <c r="L145" s="79"/>
      <c r="M145" s="79"/>
      <c r="N145" s="79"/>
      <c r="O145" s="79"/>
      <c r="P145" s="18"/>
      <c r="Q145" s="18"/>
      <c r="R145" s="18"/>
      <c r="S145" s="18"/>
      <c r="T145" s="79"/>
      <c r="U145" s="18" t="s">
        <v>1147</v>
      </c>
      <c r="V145" s="79" t="s">
        <v>2223</v>
      </c>
      <c r="W145" s="18"/>
      <c r="X145" s="18"/>
      <c r="Y145" s="18"/>
      <c r="Z145" s="79"/>
      <c r="AA145" s="18"/>
      <c r="AB145" s="18"/>
      <c r="AC145" s="18"/>
      <c r="AD145" s="18"/>
      <c r="AE145" s="18"/>
      <c r="AF145" s="79"/>
      <c r="AG145" s="18"/>
      <c r="AH145" s="18"/>
      <c r="AI145" s="18"/>
      <c r="AJ145" s="79"/>
      <c r="AK145" s="18"/>
      <c r="AL145" s="18"/>
      <c r="AM145" s="18"/>
      <c r="AN145" s="18"/>
      <c r="AO145" s="79"/>
      <c r="AP145" s="18"/>
      <c r="AQ145" s="18"/>
      <c r="AR145" s="18"/>
      <c r="AS145" s="18"/>
      <c r="AT145" s="79"/>
      <c r="AU145" s="18"/>
      <c r="AV145" s="18"/>
      <c r="AW145" s="18"/>
      <c r="AX145" s="18"/>
      <c r="AY145" s="79"/>
      <c r="AZ145" s="9" t="s">
        <v>1604</v>
      </c>
      <c r="BA145" s="9" t="s">
        <v>1497</v>
      </c>
      <c r="BB145" s="9" t="s">
        <v>1390</v>
      </c>
      <c r="BC145" s="9" t="s">
        <v>1282</v>
      </c>
      <c r="BD145" s="118"/>
    </row>
    <row r="146" spans="1:56">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row>
    <row r="147" spans="1:56">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row>
    <row r="148" spans="1:56">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row>
  </sheetData>
  <autoFilter ref="A1:N145"/>
  <phoneticPr fontId="56"/>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B2:J21"/>
  <sheetViews>
    <sheetView zoomScale="145" zoomScaleNormal="145" workbookViewId="0">
      <selection activeCell="I4" sqref="I4:I7"/>
    </sheetView>
  </sheetViews>
  <sheetFormatPr defaultRowHeight="15.75"/>
  <cols>
    <col min="2" max="10" width="13.140625" customWidth="1"/>
  </cols>
  <sheetData>
    <row r="2" spans="2:10" ht="16.5" thickBot="1"/>
    <row r="3" spans="2:10" ht="16.5" customHeight="1">
      <c r="B3" s="21" t="s">
        <v>415</v>
      </c>
      <c r="C3" s="172" t="s">
        <v>903</v>
      </c>
      <c r="D3" s="173"/>
      <c r="E3" s="174" t="s">
        <v>904</v>
      </c>
      <c r="F3" s="174"/>
      <c r="G3" s="174" t="s">
        <v>905</v>
      </c>
      <c r="H3" s="174"/>
      <c r="I3" s="174" t="s">
        <v>906</v>
      </c>
      <c r="J3" s="175"/>
    </row>
    <row r="4" spans="2:10" ht="16.5" customHeight="1">
      <c r="B4" s="22" t="s">
        <v>1021</v>
      </c>
      <c r="C4" s="113" t="s">
        <v>1821</v>
      </c>
      <c r="D4" s="114" t="s">
        <v>899</v>
      </c>
      <c r="E4" s="113" t="s">
        <v>1767</v>
      </c>
      <c r="F4" s="114" t="s">
        <v>900</v>
      </c>
      <c r="G4" s="113" t="s">
        <v>1620</v>
      </c>
      <c r="H4" s="114" t="s">
        <v>901</v>
      </c>
      <c r="I4" s="113" t="s">
        <v>1621</v>
      </c>
      <c r="J4" s="23" t="s">
        <v>902</v>
      </c>
    </row>
    <row r="5" spans="2:10" ht="16.5" customHeight="1">
      <c r="B5" s="22" t="s">
        <v>1022</v>
      </c>
      <c r="C5" s="113" t="s">
        <v>1622</v>
      </c>
      <c r="D5" s="114" t="s">
        <v>899</v>
      </c>
      <c r="E5" s="113" t="s">
        <v>1623</v>
      </c>
      <c r="F5" s="114" t="s">
        <v>900</v>
      </c>
      <c r="G5" s="113" t="s">
        <v>1624</v>
      </c>
      <c r="H5" s="114" t="s">
        <v>901</v>
      </c>
      <c r="I5" s="113" t="s">
        <v>1625</v>
      </c>
      <c r="J5" s="23" t="s">
        <v>902</v>
      </c>
    </row>
    <row r="6" spans="2:10" ht="16.5" customHeight="1">
      <c r="B6" s="22" t="s">
        <v>1023</v>
      </c>
      <c r="C6" s="113" t="s">
        <v>1626</v>
      </c>
      <c r="D6" s="114" t="s">
        <v>899</v>
      </c>
      <c r="E6" s="113" t="s">
        <v>1627</v>
      </c>
      <c r="F6" s="114" t="s">
        <v>900</v>
      </c>
      <c r="G6" s="113" t="s">
        <v>1628</v>
      </c>
      <c r="H6" s="114" t="s">
        <v>901</v>
      </c>
      <c r="I6" s="113" t="s">
        <v>1629</v>
      </c>
      <c r="J6" s="23" t="s">
        <v>902</v>
      </c>
    </row>
    <row r="7" spans="2:10" ht="16.5" customHeight="1" thickBot="1">
      <c r="B7" s="24" t="s">
        <v>1024</v>
      </c>
      <c r="C7" s="115" t="s">
        <v>1630</v>
      </c>
      <c r="D7" s="116" t="s">
        <v>899</v>
      </c>
      <c r="E7" s="115" t="s">
        <v>1631</v>
      </c>
      <c r="F7" s="116" t="s">
        <v>900</v>
      </c>
      <c r="G7" s="115" t="s">
        <v>1632</v>
      </c>
      <c r="H7" s="116" t="s">
        <v>901</v>
      </c>
      <c r="I7" s="115" t="s">
        <v>1633</v>
      </c>
      <c r="J7" s="26" t="s">
        <v>902</v>
      </c>
    </row>
    <row r="8" spans="2:10">
      <c r="C8" s="89"/>
    </row>
    <row r="11" spans="2:10" ht="16.5" thickBot="1"/>
    <row r="12" spans="2:10" ht="31.5">
      <c r="B12" s="48" t="s">
        <v>454</v>
      </c>
      <c r="C12" s="49" t="s">
        <v>455</v>
      </c>
      <c r="D12" s="49" t="s">
        <v>907</v>
      </c>
      <c r="E12" s="50" t="s">
        <v>457</v>
      </c>
    </row>
    <row r="13" spans="2:10" ht="16.5" thickBot="1">
      <c r="B13" s="27" t="s">
        <v>899</v>
      </c>
      <c r="C13" s="25" t="s">
        <v>900</v>
      </c>
      <c r="D13" s="25" t="s">
        <v>901</v>
      </c>
      <c r="E13" s="26" t="s">
        <v>902</v>
      </c>
    </row>
    <row r="14" spans="2:10" ht="16.5" thickBot="1"/>
    <row r="15" spans="2:10" ht="16.5" thickBot="1">
      <c r="B15" s="28" t="s">
        <v>915</v>
      </c>
      <c r="C15" s="81" t="s">
        <v>916</v>
      </c>
      <c r="D15" s="29"/>
      <c r="E15" s="30"/>
    </row>
    <row r="16" spans="2:10" ht="16.5" thickBot="1"/>
    <row r="17" spans="2:5" ht="16.5" thickBot="1">
      <c r="B17" s="28" t="s">
        <v>911</v>
      </c>
      <c r="C17" s="81" t="s">
        <v>916</v>
      </c>
      <c r="D17" s="29"/>
      <c r="E17" s="30"/>
    </row>
    <row r="18" spans="2:5" ht="16.5" thickBot="1"/>
    <row r="19" spans="2:5" ht="16.5" thickBot="1">
      <c r="B19" s="28" t="s">
        <v>914</v>
      </c>
      <c r="C19" s="81" t="s">
        <v>916</v>
      </c>
      <c r="D19" s="29"/>
      <c r="E19" s="30"/>
    </row>
    <row r="20" spans="2:5" ht="16.5" thickBot="1"/>
    <row r="21" spans="2:5" ht="16.5" thickBot="1">
      <c r="B21" s="28" t="s">
        <v>528</v>
      </c>
      <c r="C21" s="81" t="s">
        <v>916</v>
      </c>
      <c r="D21" s="29"/>
      <c r="E21" s="30"/>
    </row>
  </sheetData>
  <mergeCells count="4">
    <mergeCell ref="C3:D3"/>
    <mergeCell ref="E3:F3"/>
    <mergeCell ref="G3:H3"/>
    <mergeCell ref="I3:J3"/>
  </mergeCells>
  <phoneticPr fontId="13"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Q30"/>
  <sheetViews>
    <sheetView zoomScaleNormal="100" workbookViewId="0">
      <selection activeCell="C16" sqref="C16"/>
    </sheetView>
  </sheetViews>
  <sheetFormatPr defaultRowHeight="15.75"/>
  <cols>
    <col min="2" max="17" width="12.85546875" customWidth="1"/>
  </cols>
  <sheetData>
    <row r="1" spans="1:17" ht="23.25" customHeight="1">
      <c r="A1" s="36"/>
      <c r="B1" s="37" t="s">
        <v>417</v>
      </c>
      <c r="C1" s="37" t="s">
        <v>417</v>
      </c>
      <c r="D1" s="37" t="s">
        <v>417</v>
      </c>
      <c r="E1" s="37" t="s">
        <v>417</v>
      </c>
      <c r="F1" s="37" t="s">
        <v>417</v>
      </c>
      <c r="G1" s="37" t="s">
        <v>417</v>
      </c>
      <c r="H1" s="37" t="s">
        <v>417</v>
      </c>
      <c r="I1" s="37" t="s">
        <v>908</v>
      </c>
      <c r="J1" s="37" t="s">
        <v>908</v>
      </c>
      <c r="K1" s="37" t="s">
        <v>908</v>
      </c>
      <c r="L1" s="37" t="s">
        <v>908</v>
      </c>
      <c r="M1" s="37" t="s">
        <v>908</v>
      </c>
      <c r="N1" s="37" t="s">
        <v>908</v>
      </c>
      <c r="O1" s="37" t="s">
        <v>908</v>
      </c>
      <c r="P1" s="37" t="s">
        <v>908</v>
      </c>
      <c r="Q1" s="31" t="s">
        <v>908</v>
      </c>
    </row>
    <row r="2" spans="1:17" ht="30">
      <c r="A2" s="38"/>
      <c r="B2" s="32" t="s">
        <v>1826</v>
      </c>
      <c r="C2" s="32" t="s">
        <v>1622</v>
      </c>
      <c r="D2" s="32" t="s">
        <v>1626</v>
      </c>
      <c r="E2" s="32" t="s">
        <v>1630</v>
      </c>
      <c r="F2" s="32" t="s">
        <v>1827</v>
      </c>
      <c r="G2" s="32" t="s">
        <v>1623</v>
      </c>
      <c r="H2" s="32" t="s">
        <v>1627</v>
      </c>
      <c r="I2" s="32" t="s">
        <v>1631</v>
      </c>
      <c r="J2" s="32" t="s">
        <v>1620</v>
      </c>
      <c r="K2" s="32" t="s">
        <v>1624</v>
      </c>
      <c r="L2" s="32" t="s">
        <v>1628</v>
      </c>
      <c r="M2" s="32" t="s">
        <v>1632</v>
      </c>
      <c r="N2" s="32" t="s">
        <v>1621</v>
      </c>
      <c r="O2" s="32" t="s">
        <v>1625</v>
      </c>
      <c r="P2" s="32" t="s">
        <v>1629</v>
      </c>
      <c r="Q2" s="39" t="s">
        <v>1633</v>
      </c>
    </row>
    <row r="3" spans="1:17" ht="30">
      <c r="A3" s="38" t="s">
        <v>416</v>
      </c>
      <c r="B3" s="33" t="s">
        <v>1613</v>
      </c>
      <c r="C3" s="33" t="s">
        <v>454</v>
      </c>
      <c r="D3" s="33" t="s">
        <v>454</v>
      </c>
      <c r="E3" s="33" t="s">
        <v>454</v>
      </c>
      <c r="F3" s="33" t="s">
        <v>455</v>
      </c>
      <c r="G3" s="33" t="s">
        <v>455</v>
      </c>
      <c r="H3" s="33" t="s">
        <v>455</v>
      </c>
      <c r="I3" s="33" t="s">
        <v>455</v>
      </c>
      <c r="J3" s="33" t="s">
        <v>456</v>
      </c>
      <c r="K3" s="33" t="s">
        <v>456</v>
      </c>
      <c r="L3" s="33" t="s">
        <v>456</v>
      </c>
      <c r="M3" s="33" t="s">
        <v>456</v>
      </c>
      <c r="N3" s="33" t="s">
        <v>457</v>
      </c>
      <c r="O3" s="33" t="s">
        <v>457</v>
      </c>
      <c r="P3" s="33" t="s">
        <v>457</v>
      </c>
      <c r="Q3" s="40" t="s">
        <v>457</v>
      </c>
    </row>
    <row r="4" spans="1:17">
      <c r="A4" s="102" t="s">
        <v>917</v>
      </c>
      <c r="B4" s="82" t="s">
        <v>919</v>
      </c>
      <c r="C4" s="82" t="s">
        <v>918</v>
      </c>
      <c r="D4" s="82" t="s">
        <v>918</v>
      </c>
      <c r="E4" s="82" t="s">
        <v>918</v>
      </c>
      <c r="F4" s="34"/>
      <c r="G4" s="34"/>
      <c r="H4" s="34"/>
      <c r="I4" s="34"/>
      <c r="J4" s="34"/>
      <c r="K4" s="34"/>
      <c r="L4" s="34"/>
      <c r="M4" s="34"/>
      <c r="N4" s="34"/>
      <c r="O4" s="34"/>
      <c r="P4" s="34"/>
      <c r="Q4" s="41"/>
    </row>
    <row r="5" spans="1:17">
      <c r="A5" s="176" t="s">
        <v>936</v>
      </c>
      <c r="B5" s="82" t="s">
        <v>920</v>
      </c>
      <c r="C5" s="82" t="s">
        <v>920</v>
      </c>
      <c r="D5" s="82" t="s">
        <v>920</v>
      </c>
      <c r="E5" s="82" t="s">
        <v>920</v>
      </c>
      <c r="F5" s="82"/>
      <c r="G5" s="82"/>
      <c r="H5" s="82"/>
      <c r="I5" s="82"/>
      <c r="J5" s="82"/>
      <c r="K5" s="82"/>
      <c r="L5" s="82"/>
      <c r="M5" s="82"/>
      <c r="N5" s="82"/>
      <c r="O5" s="82"/>
      <c r="P5" s="82"/>
      <c r="Q5" s="83"/>
    </row>
    <row r="6" spans="1:17">
      <c r="A6" s="177"/>
      <c r="B6" s="82" t="s">
        <v>921</v>
      </c>
      <c r="C6" s="82" t="s">
        <v>921</v>
      </c>
      <c r="D6" s="82" t="s">
        <v>921</v>
      </c>
      <c r="E6" s="82" t="s">
        <v>921</v>
      </c>
      <c r="F6" s="82"/>
      <c r="G6" s="82"/>
      <c r="H6" s="82"/>
      <c r="I6" s="82"/>
      <c r="J6" s="82"/>
      <c r="K6" s="82"/>
      <c r="L6" s="82"/>
      <c r="M6" s="82"/>
      <c r="N6" s="82"/>
      <c r="O6" s="82"/>
      <c r="P6" s="82"/>
      <c r="Q6" s="83"/>
    </row>
    <row r="7" spans="1:17">
      <c r="A7" s="177"/>
      <c r="B7" s="82" t="s">
        <v>923</v>
      </c>
      <c r="C7" s="82" t="s">
        <v>923</v>
      </c>
      <c r="D7" s="82" t="s">
        <v>923</v>
      </c>
      <c r="E7" s="82" t="s">
        <v>923</v>
      </c>
      <c r="F7" s="82" t="s">
        <v>923</v>
      </c>
      <c r="G7" s="82" t="s">
        <v>923</v>
      </c>
      <c r="H7" s="82" t="s">
        <v>923</v>
      </c>
      <c r="I7" s="82" t="s">
        <v>923</v>
      </c>
      <c r="J7" s="82"/>
      <c r="K7" s="82"/>
      <c r="L7" s="82"/>
      <c r="M7" s="82"/>
      <c r="N7" s="82"/>
      <c r="O7" s="82"/>
      <c r="P7" s="82"/>
      <c r="Q7" s="83"/>
    </row>
    <row r="8" spans="1:17">
      <c r="A8" s="178"/>
      <c r="B8" s="82" t="s">
        <v>922</v>
      </c>
      <c r="C8" s="82" t="s">
        <v>922</v>
      </c>
      <c r="D8" s="82" t="s">
        <v>922</v>
      </c>
      <c r="E8" s="82" t="s">
        <v>922</v>
      </c>
      <c r="F8" s="82" t="s">
        <v>922</v>
      </c>
      <c r="G8" s="82" t="s">
        <v>922</v>
      </c>
      <c r="H8" s="82" t="s">
        <v>922</v>
      </c>
      <c r="I8" s="82" t="s">
        <v>922</v>
      </c>
      <c r="J8" s="82"/>
      <c r="K8" s="82"/>
      <c r="L8" s="82"/>
      <c r="M8" s="82"/>
      <c r="N8" s="82"/>
      <c r="O8" s="82"/>
      <c r="P8" s="82"/>
      <c r="Q8" s="83"/>
    </row>
    <row r="9" spans="1:17">
      <c r="A9" s="176" t="s">
        <v>935</v>
      </c>
      <c r="B9" s="112" t="s">
        <v>1829</v>
      </c>
      <c r="C9" s="112" t="s">
        <v>1829</v>
      </c>
      <c r="D9" s="112" t="s">
        <v>1829</v>
      </c>
      <c r="E9" s="112" t="s">
        <v>1829</v>
      </c>
      <c r="F9" s="112" t="s">
        <v>1829</v>
      </c>
      <c r="G9" s="112" t="s">
        <v>1829</v>
      </c>
      <c r="H9" s="112" t="s">
        <v>1829</v>
      </c>
      <c r="I9" s="112" t="s">
        <v>1829</v>
      </c>
      <c r="J9" s="82"/>
      <c r="K9" s="82"/>
      <c r="L9" s="82"/>
      <c r="M9" s="82"/>
      <c r="N9" s="82"/>
      <c r="O9" s="82"/>
      <c r="P9" s="82"/>
      <c r="Q9" s="83"/>
    </row>
    <row r="10" spans="1:17">
      <c r="A10" s="177"/>
      <c r="B10" s="82" t="s">
        <v>1828</v>
      </c>
      <c r="C10" s="82" t="s">
        <v>925</v>
      </c>
      <c r="D10" s="82" t="s">
        <v>925</v>
      </c>
      <c r="E10" s="82" t="s">
        <v>925</v>
      </c>
      <c r="F10" s="82"/>
      <c r="G10" s="82"/>
      <c r="H10" s="82"/>
      <c r="I10" s="82"/>
      <c r="J10" s="82"/>
      <c r="K10" s="82"/>
      <c r="L10" s="82"/>
      <c r="M10" s="82"/>
      <c r="N10" s="82"/>
      <c r="O10" s="82"/>
      <c r="P10" s="82"/>
      <c r="Q10" s="83"/>
    </row>
    <row r="11" spans="1:17">
      <c r="A11" s="177"/>
      <c r="B11" s="112" t="s">
        <v>1618</v>
      </c>
      <c r="C11" s="112" t="s">
        <v>1618</v>
      </c>
      <c r="D11" s="112" t="s">
        <v>1618</v>
      </c>
      <c r="E11" s="112" t="s">
        <v>1618</v>
      </c>
      <c r="F11" s="112" t="s">
        <v>1618</v>
      </c>
      <c r="G11" s="112" t="s">
        <v>1618</v>
      </c>
      <c r="H11" s="112" t="s">
        <v>1618</v>
      </c>
      <c r="I11" s="112" t="s">
        <v>1618</v>
      </c>
      <c r="J11" s="82"/>
      <c r="K11" s="82"/>
      <c r="L11" s="82"/>
      <c r="M11" s="82"/>
      <c r="N11" s="82"/>
      <c r="O11" s="82"/>
      <c r="P11" s="82"/>
      <c r="Q11" s="83"/>
    </row>
    <row r="12" spans="1:17">
      <c r="A12" s="178"/>
      <c r="B12" s="112" t="s">
        <v>926</v>
      </c>
      <c r="C12" s="112" t="s">
        <v>926</v>
      </c>
      <c r="D12" s="112" t="s">
        <v>926</v>
      </c>
      <c r="E12" s="112" t="s">
        <v>926</v>
      </c>
      <c r="F12" s="112"/>
      <c r="G12" s="112"/>
      <c r="H12" s="112"/>
      <c r="I12" s="112"/>
      <c r="J12" s="82"/>
      <c r="K12" s="82"/>
      <c r="L12" s="82"/>
      <c r="M12" s="82"/>
      <c r="N12" s="82"/>
      <c r="O12" s="82"/>
      <c r="P12" s="82"/>
      <c r="Q12" s="83"/>
    </row>
    <row r="13" spans="1:17">
      <c r="A13" s="176" t="s">
        <v>927</v>
      </c>
      <c r="B13" s="82" t="s">
        <v>924</v>
      </c>
      <c r="C13" s="82" t="s">
        <v>924</v>
      </c>
      <c r="D13" s="82"/>
      <c r="E13" s="82"/>
      <c r="F13" s="82" t="s">
        <v>924</v>
      </c>
      <c r="G13" s="82" t="s">
        <v>924</v>
      </c>
      <c r="H13" s="82"/>
      <c r="I13" s="82"/>
      <c r="J13" s="82" t="s">
        <v>924</v>
      </c>
      <c r="K13" s="82" t="s">
        <v>924</v>
      </c>
      <c r="L13" s="82"/>
      <c r="M13" s="82"/>
      <c r="N13" s="82" t="s">
        <v>924</v>
      </c>
      <c r="O13" s="82" t="s">
        <v>924</v>
      </c>
      <c r="P13" s="82"/>
      <c r="Q13" s="83"/>
    </row>
    <row r="14" spans="1:17">
      <c r="A14" s="178"/>
      <c r="B14" s="82" t="s">
        <v>928</v>
      </c>
      <c r="C14" s="82" t="s">
        <v>928</v>
      </c>
      <c r="D14" s="82"/>
      <c r="E14" s="82"/>
      <c r="F14" s="82" t="s">
        <v>928</v>
      </c>
      <c r="G14" s="82" t="s">
        <v>928</v>
      </c>
      <c r="H14" s="82"/>
      <c r="I14" s="82"/>
      <c r="J14" s="82" t="s">
        <v>928</v>
      </c>
      <c r="K14" s="82" t="s">
        <v>928</v>
      </c>
      <c r="L14" s="82"/>
      <c r="M14" s="82"/>
      <c r="N14" s="82" t="s">
        <v>928</v>
      </c>
      <c r="O14" s="82" t="s">
        <v>928</v>
      </c>
      <c r="P14" s="82"/>
      <c r="Q14" s="83"/>
    </row>
    <row r="15" spans="1:17">
      <c r="A15" s="84" t="s">
        <v>930</v>
      </c>
      <c r="B15" s="82" t="s">
        <v>929</v>
      </c>
      <c r="C15" s="82" t="s">
        <v>929</v>
      </c>
      <c r="D15" s="82" t="s">
        <v>929</v>
      </c>
      <c r="E15" s="82" t="s">
        <v>1634</v>
      </c>
      <c r="F15" s="82" t="s">
        <v>929</v>
      </c>
      <c r="G15" s="82" t="s">
        <v>929</v>
      </c>
      <c r="H15" s="82" t="s">
        <v>929</v>
      </c>
      <c r="I15" s="82" t="s">
        <v>929</v>
      </c>
      <c r="J15" s="82"/>
      <c r="K15" s="82"/>
      <c r="L15" s="82"/>
      <c r="M15" s="82"/>
      <c r="N15" s="82"/>
      <c r="O15" s="82"/>
      <c r="P15" s="82"/>
      <c r="Q15" s="83"/>
    </row>
    <row r="16" spans="1:17">
      <c r="A16" s="176" t="s">
        <v>931</v>
      </c>
      <c r="B16" s="82"/>
      <c r="C16" s="82" t="s">
        <v>1820</v>
      </c>
      <c r="D16" s="82"/>
      <c r="E16" s="82" t="s">
        <v>1820</v>
      </c>
      <c r="F16" s="82"/>
      <c r="G16" s="82" t="s">
        <v>1820</v>
      </c>
      <c r="H16" s="82"/>
      <c r="I16" s="82" t="s">
        <v>1820</v>
      </c>
      <c r="J16" s="82"/>
      <c r="K16" s="82" t="s">
        <v>1820</v>
      </c>
      <c r="L16" s="82"/>
      <c r="M16" s="82" t="s">
        <v>1820</v>
      </c>
      <c r="N16" s="82"/>
      <c r="O16" s="82" t="s">
        <v>1820</v>
      </c>
      <c r="P16" s="82"/>
      <c r="Q16" s="83" t="s">
        <v>1820</v>
      </c>
    </row>
    <row r="17" spans="1:17">
      <c r="A17" s="177"/>
      <c r="B17" s="82"/>
      <c r="C17" s="82" t="s">
        <v>933</v>
      </c>
      <c r="D17" s="82"/>
      <c r="E17" s="82" t="s">
        <v>933</v>
      </c>
      <c r="F17" s="82"/>
      <c r="G17" s="82" t="s">
        <v>933</v>
      </c>
      <c r="H17" s="82"/>
      <c r="I17" s="82" t="s">
        <v>933</v>
      </c>
      <c r="J17" s="82"/>
      <c r="K17" s="82" t="s">
        <v>933</v>
      </c>
      <c r="L17" s="82"/>
      <c r="M17" s="82" t="s">
        <v>933</v>
      </c>
      <c r="N17" s="82"/>
      <c r="O17" s="82" t="s">
        <v>933</v>
      </c>
      <c r="P17" s="82"/>
      <c r="Q17" s="83" t="s">
        <v>932</v>
      </c>
    </row>
    <row r="18" spans="1:17" ht="16.5" thickBot="1">
      <c r="A18" s="179"/>
      <c r="B18" s="42"/>
      <c r="C18" s="42" t="s">
        <v>934</v>
      </c>
      <c r="D18" s="42"/>
      <c r="E18" s="42" t="s">
        <v>934</v>
      </c>
      <c r="F18" s="42"/>
      <c r="G18" s="42" t="s">
        <v>934</v>
      </c>
      <c r="H18" s="42"/>
      <c r="I18" s="42" t="s">
        <v>934</v>
      </c>
      <c r="J18" s="42"/>
      <c r="K18" s="42" t="s">
        <v>934</v>
      </c>
      <c r="L18" s="42"/>
      <c r="M18" s="42" t="s">
        <v>934</v>
      </c>
      <c r="N18" s="42"/>
      <c r="O18" s="42" t="s">
        <v>934</v>
      </c>
      <c r="P18" s="42"/>
      <c r="Q18" s="43" t="s">
        <v>934</v>
      </c>
    </row>
    <row r="29" spans="1:17" ht="16.5" thickBot="1"/>
    <row r="30" spans="1:17" ht="16.5" thickBot="1">
      <c r="F30" s="35"/>
    </row>
  </sheetData>
  <mergeCells count="4">
    <mergeCell ref="A5:A8"/>
    <mergeCell ref="A9:A12"/>
    <mergeCell ref="A13:A14"/>
    <mergeCell ref="A16:A18"/>
  </mergeCells>
  <phoneticPr fontId="13" type="noConversion"/>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96"/>
  <sheetViews>
    <sheetView workbookViewId="0">
      <selection activeCell="B7" sqref="B7"/>
    </sheetView>
  </sheetViews>
  <sheetFormatPr defaultRowHeight="15.75"/>
  <cols>
    <col min="1" max="1" width="15" customWidth="1"/>
    <col min="2" max="2" width="20.140625" customWidth="1"/>
  </cols>
  <sheetData>
    <row r="1" spans="1:2">
      <c r="A1" s="126" t="s">
        <v>64</v>
      </c>
      <c r="B1" s="127" t="s">
        <v>65</v>
      </c>
    </row>
    <row r="2" spans="1:2">
      <c r="A2" s="44" t="s">
        <v>1675</v>
      </c>
      <c r="B2" s="45" t="s">
        <v>470</v>
      </c>
    </row>
    <row r="3" spans="1:2">
      <c r="A3" s="44" t="s">
        <v>1675</v>
      </c>
      <c r="B3" s="45" t="s">
        <v>474</v>
      </c>
    </row>
    <row r="4" spans="1:2">
      <c r="A4" s="44" t="s">
        <v>1675</v>
      </c>
      <c r="B4" s="45" t="s">
        <v>478</v>
      </c>
    </row>
    <row r="5" spans="1:2">
      <c r="A5" s="44" t="s">
        <v>1675</v>
      </c>
      <c r="B5" s="45" t="s">
        <v>482</v>
      </c>
    </row>
    <row r="6" spans="1:2">
      <c r="A6" s="44" t="s">
        <v>1675</v>
      </c>
      <c r="B6" s="45" t="s">
        <v>486</v>
      </c>
    </row>
    <row r="7" spans="1:2">
      <c r="A7" s="44" t="s">
        <v>1675</v>
      </c>
      <c r="B7" s="45" t="s">
        <v>490</v>
      </c>
    </row>
    <row r="8" spans="1:2">
      <c r="A8" s="44" t="s">
        <v>1675</v>
      </c>
      <c r="B8" s="45" t="s">
        <v>494</v>
      </c>
    </row>
    <row r="9" spans="1:2">
      <c r="A9" s="44" t="s">
        <v>1675</v>
      </c>
      <c r="B9" s="45" t="s">
        <v>498</v>
      </c>
    </row>
    <row r="10" spans="1:2">
      <c r="A10" s="44" t="s">
        <v>1675</v>
      </c>
      <c r="B10" s="45" t="s">
        <v>566</v>
      </c>
    </row>
    <row r="11" spans="1:2">
      <c r="A11" s="44" t="s">
        <v>1675</v>
      </c>
      <c r="B11" s="45" t="s">
        <v>571</v>
      </c>
    </row>
    <row r="12" spans="1:2">
      <c r="A12" s="44" t="s">
        <v>1675</v>
      </c>
      <c r="B12" s="45" t="s">
        <v>576</v>
      </c>
    </row>
    <row r="13" spans="1:2">
      <c r="A13" s="44" t="s">
        <v>1675</v>
      </c>
      <c r="B13" s="45" t="s">
        <v>579</v>
      </c>
    </row>
    <row r="14" spans="1:2">
      <c r="A14" s="44" t="s">
        <v>1675</v>
      </c>
      <c r="B14" s="45" t="s">
        <v>583</v>
      </c>
    </row>
    <row r="15" spans="1:2">
      <c r="A15" s="44" t="s">
        <v>1675</v>
      </c>
      <c r="B15" s="45" t="s">
        <v>588</v>
      </c>
    </row>
    <row r="16" spans="1:2">
      <c r="A16" s="44" t="s">
        <v>1675</v>
      </c>
      <c r="B16" s="45" t="s">
        <v>683</v>
      </c>
    </row>
    <row r="17" spans="1:2">
      <c r="A17" s="44" t="s">
        <v>1675</v>
      </c>
      <c r="B17" s="45" t="s">
        <v>686</v>
      </c>
    </row>
    <row r="18" spans="1:2">
      <c r="A18" s="44" t="s">
        <v>1675</v>
      </c>
      <c r="B18" s="45" t="s">
        <v>689</v>
      </c>
    </row>
    <row r="19" spans="1:2">
      <c r="A19" s="44" t="s">
        <v>1675</v>
      </c>
      <c r="B19" s="45" t="s">
        <v>697</v>
      </c>
    </row>
    <row r="20" spans="1:2">
      <c r="A20" s="44" t="s">
        <v>1675</v>
      </c>
      <c r="B20" s="45" t="s">
        <v>701</v>
      </c>
    </row>
    <row r="21" spans="1:2">
      <c r="A21" s="44" t="s">
        <v>1675</v>
      </c>
      <c r="B21" s="45" t="s">
        <v>705</v>
      </c>
    </row>
    <row r="22" spans="1:2">
      <c r="A22" s="44" t="s">
        <v>1676</v>
      </c>
      <c r="B22" s="45" t="s">
        <v>479</v>
      </c>
    </row>
    <row r="23" spans="1:2">
      <c r="A23" s="44" t="s">
        <v>1676</v>
      </c>
      <c r="B23" s="45" t="s">
        <v>483</v>
      </c>
    </row>
    <row r="24" spans="1:2">
      <c r="A24" s="44" t="s">
        <v>1677</v>
      </c>
      <c r="B24" s="45" t="s">
        <v>487</v>
      </c>
    </row>
    <row r="25" spans="1:2">
      <c r="A25" s="44" t="s">
        <v>1677</v>
      </c>
      <c r="B25" s="45" t="s">
        <v>491</v>
      </c>
    </row>
    <row r="26" spans="1:2">
      <c r="A26" s="44" t="s">
        <v>1678</v>
      </c>
      <c r="B26" s="45" t="s">
        <v>495</v>
      </c>
    </row>
    <row r="27" spans="1:2">
      <c r="A27" s="44" t="s">
        <v>1678</v>
      </c>
      <c r="B27" s="45" t="s">
        <v>499</v>
      </c>
    </row>
    <row r="28" spans="1:2">
      <c r="A28" s="44" t="s">
        <v>1679</v>
      </c>
      <c r="B28" s="45" t="s">
        <v>503</v>
      </c>
    </row>
    <row r="29" spans="1:2">
      <c r="A29" s="44" t="s">
        <v>1679</v>
      </c>
      <c r="B29" s="45" t="s">
        <v>506</v>
      </c>
    </row>
    <row r="30" spans="1:2">
      <c r="A30" s="44" t="s">
        <v>1680</v>
      </c>
      <c r="B30" s="45" t="s">
        <v>510</v>
      </c>
    </row>
    <row r="31" spans="1:2">
      <c r="A31" s="44" t="s">
        <v>1680</v>
      </c>
      <c r="B31" s="45" t="s">
        <v>514</v>
      </c>
    </row>
    <row r="32" spans="1:2">
      <c r="A32" s="44" t="s">
        <v>1681</v>
      </c>
      <c r="B32" s="45" t="s">
        <v>520</v>
      </c>
    </row>
    <row r="33" spans="1:2">
      <c r="A33" s="44" t="s">
        <v>1681</v>
      </c>
      <c r="B33" s="45" t="s">
        <v>522</v>
      </c>
    </row>
    <row r="34" spans="1:2">
      <c r="A34" s="44" t="s">
        <v>1682</v>
      </c>
      <c r="B34" s="45" t="s">
        <v>550</v>
      </c>
    </row>
    <row r="35" spans="1:2">
      <c r="A35" s="44" t="s">
        <v>1682</v>
      </c>
      <c r="B35" s="45" t="s">
        <v>552</v>
      </c>
    </row>
    <row r="36" spans="1:2">
      <c r="A36" s="44" t="s">
        <v>1683</v>
      </c>
      <c r="B36" s="45" t="s">
        <v>577</v>
      </c>
    </row>
    <row r="37" spans="1:2">
      <c r="A37" s="44" t="s">
        <v>1683</v>
      </c>
      <c r="B37" s="45" t="s">
        <v>580</v>
      </c>
    </row>
    <row r="38" spans="1:2">
      <c r="A38" s="44" t="s">
        <v>1684</v>
      </c>
      <c r="B38" s="45" t="s">
        <v>584</v>
      </c>
    </row>
    <row r="39" spans="1:2">
      <c r="A39" s="44" t="s">
        <v>1684</v>
      </c>
      <c r="B39" s="45" t="s">
        <v>589</v>
      </c>
    </row>
    <row r="40" spans="1:2">
      <c r="A40" s="44" t="s">
        <v>1685</v>
      </c>
      <c r="B40" s="45" t="s">
        <v>595</v>
      </c>
    </row>
    <row r="41" spans="1:2">
      <c r="A41" s="44" t="s">
        <v>1685</v>
      </c>
      <c r="B41" s="45" t="s">
        <v>598</v>
      </c>
    </row>
    <row r="42" spans="1:2">
      <c r="A42" s="44" t="s">
        <v>1686</v>
      </c>
      <c r="B42" s="45" t="s">
        <v>601</v>
      </c>
    </row>
    <row r="43" spans="1:2">
      <c r="A43" s="44" t="s">
        <v>1686</v>
      </c>
      <c r="B43" s="45" t="s">
        <v>604</v>
      </c>
    </row>
    <row r="44" spans="1:2">
      <c r="A44" s="44" t="s">
        <v>1687</v>
      </c>
      <c r="B44" s="45" t="s">
        <v>669</v>
      </c>
    </row>
    <row r="45" spans="1:2">
      <c r="A45" s="44" t="s">
        <v>1687</v>
      </c>
      <c r="B45" s="45" t="s">
        <v>672</v>
      </c>
    </row>
    <row r="46" spans="1:2">
      <c r="A46" s="44" t="s">
        <v>1688</v>
      </c>
      <c r="B46" s="45" t="s">
        <v>684</v>
      </c>
    </row>
    <row r="47" spans="1:2">
      <c r="A47" s="44" t="s">
        <v>1688</v>
      </c>
      <c r="B47" s="45" t="s">
        <v>687</v>
      </c>
    </row>
    <row r="48" spans="1:2">
      <c r="A48" s="44" t="s">
        <v>1689</v>
      </c>
      <c r="B48" s="45" t="s">
        <v>707</v>
      </c>
    </row>
    <row r="49" spans="1:2">
      <c r="A49" s="44" t="s">
        <v>1689</v>
      </c>
      <c r="B49" s="45" t="s">
        <v>711</v>
      </c>
    </row>
    <row r="50" spans="1:2">
      <c r="A50" s="44" t="s">
        <v>1690</v>
      </c>
      <c r="B50" s="45" t="s">
        <v>471</v>
      </c>
    </row>
    <row r="51" spans="1:2">
      <c r="A51" s="44" t="s">
        <v>1690</v>
      </c>
      <c r="B51" s="45" t="s">
        <v>475</v>
      </c>
    </row>
    <row r="52" spans="1:2">
      <c r="A52" s="44" t="s">
        <v>1691</v>
      </c>
      <c r="B52" s="45" t="s">
        <v>567</v>
      </c>
    </row>
    <row r="53" spans="1:2">
      <c r="A53" s="44" t="s">
        <v>1691</v>
      </c>
      <c r="B53" s="45" t="s">
        <v>572</v>
      </c>
    </row>
    <row r="54" spans="1:2">
      <c r="A54" s="44" t="s">
        <v>918</v>
      </c>
      <c r="B54" s="45" t="s">
        <v>691</v>
      </c>
    </row>
    <row r="55" spans="1:2">
      <c r="A55" s="44" t="s">
        <v>918</v>
      </c>
      <c r="B55" s="45" t="s">
        <v>694</v>
      </c>
    </row>
    <row r="56" spans="1:2">
      <c r="A56" s="44" t="s">
        <v>1692</v>
      </c>
      <c r="B56" s="45" t="s">
        <v>648</v>
      </c>
    </row>
    <row r="57" spans="1:2">
      <c r="A57" s="44" t="s">
        <v>1692</v>
      </c>
      <c r="B57" s="45" t="s">
        <v>652</v>
      </c>
    </row>
    <row r="58" spans="1:2">
      <c r="A58" s="44" t="s">
        <v>1693</v>
      </c>
      <c r="B58" s="45" t="s">
        <v>656</v>
      </c>
    </row>
    <row r="59" spans="1:2">
      <c r="A59" s="44" t="s">
        <v>1693</v>
      </c>
      <c r="B59" s="45" t="s">
        <v>659</v>
      </c>
    </row>
    <row r="60" spans="1:2">
      <c r="A60" s="44" t="s">
        <v>1694</v>
      </c>
      <c r="B60" s="45" t="s">
        <v>663</v>
      </c>
    </row>
    <row r="61" spans="1:2">
      <c r="A61" s="44" t="s">
        <v>1694</v>
      </c>
      <c r="B61" s="45" t="s">
        <v>667</v>
      </c>
    </row>
    <row r="62" spans="1:2">
      <c r="A62" s="44" t="s">
        <v>1695</v>
      </c>
      <c r="B62" s="45" t="s">
        <v>948</v>
      </c>
    </row>
    <row r="63" spans="1:2">
      <c r="A63" s="44" t="s">
        <v>1695</v>
      </c>
      <c r="B63" s="45" t="s">
        <v>949</v>
      </c>
    </row>
    <row r="64" spans="1:2">
      <c r="A64" s="44" t="s">
        <v>1695</v>
      </c>
      <c r="B64" s="45" t="s">
        <v>950</v>
      </c>
    </row>
    <row r="65" spans="1:2">
      <c r="A65" s="44" t="s">
        <v>1695</v>
      </c>
      <c r="B65" s="45" t="s">
        <v>952</v>
      </c>
    </row>
    <row r="66" spans="1:2">
      <c r="A66" s="44" t="s">
        <v>1695</v>
      </c>
      <c r="B66" s="45" t="s">
        <v>626</v>
      </c>
    </row>
    <row r="67" spans="1:2">
      <c r="A67" s="44" t="s">
        <v>1695</v>
      </c>
      <c r="B67" s="45" t="s">
        <v>628</v>
      </c>
    </row>
    <row r="68" spans="1:2">
      <c r="A68" s="44" t="s">
        <v>1695</v>
      </c>
      <c r="B68" s="45" t="s">
        <v>629</v>
      </c>
    </row>
    <row r="69" spans="1:2">
      <c r="A69" s="44" t="s">
        <v>1695</v>
      </c>
      <c r="B69" s="45" t="s">
        <v>630</v>
      </c>
    </row>
    <row r="70" spans="1:2">
      <c r="A70" s="44" t="s">
        <v>1695</v>
      </c>
      <c r="B70" s="45" t="s">
        <v>943</v>
      </c>
    </row>
    <row r="71" spans="1:2">
      <c r="A71" s="44" t="s">
        <v>1695</v>
      </c>
      <c r="B71" s="45" t="s">
        <v>945</v>
      </c>
    </row>
    <row r="72" spans="1:2">
      <c r="A72" s="44" t="s">
        <v>1695</v>
      </c>
      <c r="B72" s="45" t="s">
        <v>618</v>
      </c>
    </row>
    <row r="73" spans="1:2">
      <c r="A73" s="44" t="s">
        <v>1695</v>
      </c>
      <c r="B73" s="45" t="s">
        <v>619</v>
      </c>
    </row>
    <row r="74" spans="1:2">
      <c r="A74" s="44" t="s">
        <v>1695</v>
      </c>
      <c r="B74" s="45" t="s">
        <v>620</v>
      </c>
    </row>
    <row r="75" spans="1:2">
      <c r="A75" s="44" t="s">
        <v>1695</v>
      </c>
      <c r="B75" s="45" t="s">
        <v>621</v>
      </c>
    </row>
    <row r="76" spans="1:2">
      <c r="A76" s="44" t="s">
        <v>1695</v>
      </c>
      <c r="B76" s="45" t="s">
        <v>622</v>
      </c>
    </row>
    <row r="77" spans="1:2">
      <c r="A77" s="44" t="s">
        <v>1695</v>
      </c>
      <c r="B77" s="45" t="s">
        <v>623</v>
      </c>
    </row>
    <row r="78" spans="1:2">
      <c r="A78" s="44" t="s">
        <v>1695</v>
      </c>
      <c r="B78" s="45" t="s">
        <v>938</v>
      </c>
    </row>
    <row r="79" spans="1:2">
      <c r="A79" s="44" t="s">
        <v>1695</v>
      </c>
      <c r="B79" s="45" t="s">
        <v>941</v>
      </c>
    </row>
    <row r="80" spans="1:2">
      <c r="A80" s="44" t="s">
        <v>1695</v>
      </c>
      <c r="B80" s="45" t="s">
        <v>612</v>
      </c>
    </row>
    <row r="81" spans="1:2">
      <c r="A81" s="44" t="s">
        <v>1695</v>
      </c>
      <c r="B81" s="45" t="s">
        <v>613</v>
      </c>
    </row>
    <row r="82" spans="1:2">
      <c r="A82" s="44" t="s">
        <v>1695</v>
      </c>
      <c r="B82" s="45" t="s">
        <v>614</v>
      </c>
    </row>
    <row r="83" spans="1:2">
      <c r="A83" s="44" t="s">
        <v>1695</v>
      </c>
      <c r="B83" s="45" t="s">
        <v>615</v>
      </c>
    </row>
    <row r="84" spans="1:2">
      <c r="A84" s="44" t="s">
        <v>1695</v>
      </c>
      <c r="B84" s="45" t="s">
        <v>616</v>
      </c>
    </row>
    <row r="85" spans="1:2">
      <c r="A85" s="44" t="s">
        <v>1695</v>
      </c>
      <c r="B85" s="45" t="s">
        <v>617</v>
      </c>
    </row>
    <row r="86" spans="1:2">
      <c r="A86" s="44" t="s">
        <v>1695</v>
      </c>
      <c r="B86" s="45" t="s">
        <v>609</v>
      </c>
    </row>
    <row r="87" spans="1:2">
      <c r="A87" s="44" t="s">
        <v>1695</v>
      </c>
      <c r="B87" s="45" t="s">
        <v>610</v>
      </c>
    </row>
    <row r="88" spans="1:2">
      <c r="A88" s="44" t="s">
        <v>1695</v>
      </c>
      <c r="B88" s="45" t="s">
        <v>611</v>
      </c>
    </row>
    <row r="89" spans="1:2">
      <c r="A89" s="44" t="s">
        <v>1695</v>
      </c>
      <c r="B89" s="45" t="s">
        <v>624</v>
      </c>
    </row>
    <row r="90" spans="1:2">
      <c r="A90" s="44" t="s">
        <v>1695</v>
      </c>
      <c r="B90" s="45" t="s">
        <v>625</v>
      </c>
    </row>
    <row r="91" spans="1:2">
      <c r="A91" s="44" t="s">
        <v>1695</v>
      </c>
      <c r="B91" s="45" t="s">
        <v>631</v>
      </c>
    </row>
    <row r="92" spans="1:2">
      <c r="A92" s="44" t="s">
        <v>1695</v>
      </c>
      <c r="B92" s="45" t="s">
        <v>632</v>
      </c>
    </row>
    <row r="93" spans="1:2">
      <c r="A93" s="44" t="s">
        <v>1695</v>
      </c>
      <c r="B93" s="45" t="s">
        <v>633</v>
      </c>
    </row>
    <row r="94" spans="1:2">
      <c r="A94" s="44" t="s">
        <v>1695</v>
      </c>
      <c r="B94" s="45" t="s">
        <v>699</v>
      </c>
    </row>
    <row r="95" spans="1:2">
      <c r="A95" s="44" t="s">
        <v>1695</v>
      </c>
      <c r="B95" s="45" t="s">
        <v>703</v>
      </c>
    </row>
    <row r="96" spans="1:2" ht="16.5" thickBot="1">
      <c r="A96" s="46" t="s">
        <v>1695</v>
      </c>
      <c r="B96" s="47" t="s">
        <v>708</v>
      </c>
    </row>
  </sheetData>
  <phoneticPr fontId="13" type="noConversion"/>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5.75"/>
  <cols>
    <col min="1" max="1" width="23.42578125" bestFit="1" customWidth="1"/>
    <col min="2" max="4" width="16.7109375" bestFit="1" customWidth="1"/>
  </cols>
  <sheetData>
    <row r="1" spans="1:4" ht="16.5" thickBot="1">
      <c r="A1" s="76" t="s">
        <v>821</v>
      </c>
      <c r="B1" s="77" t="s">
        <v>819</v>
      </c>
      <c r="C1" s="170" t="s">
        <v>822</v>
      </c>
      <c r="D1" s="78" t="s">
        <v>2335</v>
      </c>
    </row>
    <row r="2" spans="1:4">
      <c r="A2" s="73" t="s">
        <v>820</v>
      </c>
      <c r="B2" s="74" t="s">
        <v>1822</v>
      </c>
      <c r="C2" s="171" t="s">
        <v>825</v>
      </c>
      <c r="D2" s="75" t="s">
        <v>2334</v>
      </c>
    </row>
    <row r="3" spans="1:4">
      <c r="A3" s="44" t="s">
        <v>823</v>
      </c>
      <c r="B3" s="70" t="s">
        <v>1660</v>
      </c>
      <c r="C3" s="71" t="s">
        <v>824</v>
      </c>
      <c r="D3" s="45" t="s">
        <v>2334</v>
      </c>
    </row>
    <row r="4" spans="1:4">
      <c r="A4" s="44" t="s">
        <v>826</v>
      </c>
      <c r="B4" s="70" t="s">
        <v>1661</v>
      </c>
      <c r="C4" s="71" t="s">
        <v>835</v>
      </c>
      <c r="D4" s="45" t="s">
        <v>2334</v>
      </c>
    </row>
    <row r="5" spans="1:4">
      <c r="A5" s="44" t="s">
        <v>827</v>
      </c>
      <c r="B5" s="70" t="s">
        <v>1662</v>
      </c>
      <c r="C5" s="71" t="s">
        <v>836</v>
      </c>
      <c r="D5" s="45" t="s">
        <v>2334</v>
      </c>
    </row>
    <row r="6" spans="1:4">
      <c r="A6" s="44" t="s">
        <v>828</v>
      </c>
      <c r="B6" s="70" t="s">
        <v>1663</v>
      </c>
      <c r="C6" s="71" t="s">
        <v>837</v>
      </c>
      <c r="D6" s="45" t="s">
        <v>2334</v>
      </c>
    </row>
    <row r="7" spans="1:4">
      <c r="A7" s="44" t="s">
        <v>829</v>
      </c>
      <c r="B7" s="70" t="s">
        <v>1664</v>
      </c>
      <c r="C7" s="71" t="s">
        <v>838</v>
      </c>
      <c r="D7" s="45" t="s">
        <v>2334</v>
      </c>
    </row>
    <row r="8" spans="1:4">
      <c r="A8" s="44" t="s">
        <v>830</v>
      </c>
      <c r="B8" s="70" t="s">
        <v>1665</v>
      </c>
      <c r="C8" s="71" t="s">
        <v>839</v>
      </c>
      <c r="D8" s="45" t="s">
        <v>2334</v>
      </c>
    </row>
    <row r="9" spans="1:4">
      <c r="A9" s="44" t="s">
        <v>831</v>
      </c>
      <c r="B9" s="70" t="s">
        <v>1666</v>
      </c>
      <c r="C9" s="71" t="s">
        <v>840</v>
      </c>
      <c r="D9" s="45" t="s">
        <v>2334</v>
      </c>
    </row>
    <row r="10" spans="1:4">
      <c r="A10" s="44" t="s">
        <v>832</v>
      </c>
      <c r="B10" s="70" t="s">
        <v>1667</v>
      </c>
      <c r="C10" s="71" t="s">
        <v>841</v>
      </c>
      <c r="D10" s="45" t="s">
        <v>2334</v>
      </c>
    </row>
    <row r="11" spans="1:4">
      <c r="A11" s="44" t="s">
        <v>833</v>
      </c>
      <c r="B11" s="70" t="s">
        <v>1668</v>
      </c>
      <c r="C11" s="71" t="s">
        <v>842</v>
      </c>
      <c r="D11" s="45" t="s">
        <v>2334</v>
      </c>
    </row>
    <row r="12" spans="1:4">
      <c r="A12" s="44" t="s">
        <v>834</v>
      </c>
      <c r="B12" s="70" t="s">
        <v>1669</v>
      </c>
      <c r="C12" s="71" t="s">
        <v>843</v>
      </c>
      <c r="D12" s="45" t="s">
        <v>2334</v>
      </c>
    </row>
    <row r="13" spans="1:4">
      <c r="A13" s="44" t="s">
        <v>844</v>
      </c>
      <c r="B13" s="70" t="s">
        <v>1670</v>
      </c>
      <c r="C13" s="71" t="s">
        <v>845</v>
      </c>
      <c r="D13" s="45" t="s">
        <v>2334</v>
      </c>
    </row>
    <row r="14" spans="1:4">
      <c r="A14" s="44" t="s">
        <v>846</v>
      </c>
      <c r="B14" s="71" t="s">
        <v>1671</v>
      </c>
      <c r="C14" s="71" t="s">
        <v>850</v>
      </c>
      <c r="D14" s="45" t="s">
        <v>2334</v>
      </c>
    </row>
    <row r="15" spans="1:4">
      <c r="A15" s="44" t="s">
        <v>847</v>
      </c>
      <c r="B15" s="71" t="s">
        <v>1672</v>
      </c>
      <c r="C15" s="71" t="s">
        <v>851</v>
      </c>
      <c r="D15" s="45" t="s">
        <v>2334</v>
      </c>
    </row>
    <row r="16" spans="1:4">
      <c r="A16" s="44" t="s">
        <v>848</v>
      </c>
      <c r="B16" s="71" t="s">
        <v>1673</v>
      </c>
      <c r="C16" s="71" t="s">
        <v>852</v>
      </c>
      <c r="D16" s="45" t="s">
        <v>2334</v>
      </c>
    </row>
    <row r="17" spans="1:4" ht="16.5" thickBot="1">
      <c r="A17" s="46" t="s">
        <v>849</v>
      </c>
      <c r="B17" s="72" t="s">
        <v>1674</v>
      </c>
      <c r="C17" s="72" t="s">
        <v>853</v>
      </c>
      <c r="D17" s="47" t="s">
        <v>2334</v>
      </c>
    </row>
  </sheetData>
  <phoneticPr fontId="56"/>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B1:J413"/>
  <sheetViews>
    <sheetView zoomScaleNormal="100" workbookViewId="0">
      <pane xSplit="2" ySplit="3" topLeftCell="C4" activePane="bottomRight" state="frozen"/>
      <selection pane="topRight" activeCell="B1" sqref="B1"/>
      <selection pane="bottomLeft" activeCell="A3" sqref="A3"/>
      <selection pane="bottomRight" activeCell="F35" sqref="F35"/>
    </sheetView>
  </sheetViews>
  <sheetFormatPr defaultColWidth="9.140625" defaultRowHeight="13.5"/>
  <cols>
    <col min="1" max="1" width="3.5703125" style="90" customWidth="1"/>
    <col min="2" max="2" width="27.140625" style="90" bestFit="1" customWidth="1"/>
    <col min="3" max="3" width="16.42578125" style="90" customWidth="1"/>
    <col min="4" max="4" width="15.28515625" style="90" customWidth="1"/>
    <col min="5" max="5" width="14.42578125" style="90" customWidth="1"/>
    <col min="6" max="6" width="17.28515625" style="90" bestFit="1" customWidth="1"/>
    <col min="7" max="7" width="23.5703125" style="90" customWidth="1"/>
    <col min="8" max="8" width="19.140625" style="90" customWidth="1"/>
    <col min="9" max="9" width="25.7109375" style="90" bestFit="1" customWidth="1"/>
    <col min="10" max="10" width="19.85546875" style="90" bestFit="1" customWidth="1"/>
    <col min="11" max="11" width="27.140625" style="90" bestFit="1" customWidth="1"/>
    <col min="12" max="12" width="15.42578125" style="90" bestFit="1" customWidth="1"/>
    <col min="13" max="13" width="8.28515625" style="90" bestFit="1" customWidth="1"/>
    <col min="14" max="14" width="8" style="90" bestFit="1" customWidth="1"/>
    <col min="15" max="15" width="8.28515625" style="90" bestFit="1" customWidth="1"/>
    <col min="16" max="16" width="8.85546875" style="90" bestFit="1" customWidth="1"/>
    <col min="17" max="17" width="10.140625" style="90" bestFit="1" customWidth="1"/>
    <col min="18" max="18" width="12.28515625" style="90" bestFit="1" customWidth="1"/>
    <col min="19" max="19" width="10.5703125" style="90" bestFit="1" customWidth="1"/>
    <col min="20" max="21" width="18.5703125" style="90" bestFit="1" customWidth="1"/>
    <col min="22" max="22" width="10.140625" style="90" bestFit="1" customWidth="1"/>
    <col min="23" max="23" width="11.42578125" style="90" bestFit="1" customWidth="1"/>
    <col min="24" max="16384" width="9.140625" style="90"/>
  </cols>
  <sheetData>
    <row r="1" spans="2:9" ht="15.6" customHeight="1" thickBot="1"/>
    <row r="2" spans="2:9" ht="16.5" customHeight="1" thickBot="1">
      <c r="B2" s="186" t="s">
        <v>1030</v>
      </c>
      <c r="C2" s="184" t="s">
        <v>1610</v>
      </c>
      <c r="D2" s="186" t="s">
        <v>1031</v>
      </c>
      <c r="E2" s="186"/>
      <c r="G2" s="108" t="s">
        <v>1612</v>
      </c>
      <c r="H2" s="187" t="s">
        <v>1032</v>
      </c>
      <c r="I2" s="186"/>
    </row>
    <row r="3" spans="2:9" ht="14.25" thickBot="1">
      <c r="B3" s="186"/>
      <c r="C3" s="185"/>
      <c r="D3" s="91" t="s">
        <v>1033</v>
      </c>
      <c r="E3" s="160" t="s">
        <v>1034</v>
      </c>
      <c r="G3" s="132" t="s">
        <v>1611</v>
      </c>
      <c r="H3" s="105" t="s">
        <v>1608</v>
      </c>
      <c r="I3" s="131" t="s">
        <v>1609</v>
      </c>
    </row>
    <row r="4" spans="2:9">
      <c r="B4" s="188" t="s">
        <v>1607</v>
      </c>
      <c r="C4" s="155" t="s">
        <v>2136</v>
      </c>
      <c r="D4" s="92" t="s">
        <v>472</v>
      </c>
      <c r="E4" s="93"/>
      <c r="G4" s="90">
        <v>1</v>
      </c>
      <c r="H4" s="94" t="str">
        <f>C4</f>
        <v>DBG</v>
      </c>
      <c r="I4" s="93" t="str">
        <f>IF(G4=1,C4&amp;"_"&amp;IF(E4&lt;&gt;"",E4,D4),IF(E4&lt;&gt;"",E4,D4))</f>
        <v>DBG_TRCCLK</v>
      </c>
    </row>
    <row r="5" spans="2:9">
      <c r="B5" s="181"/>
      <c r="C5" s="158" t="s">
        <v>2136</v>
      </c>
      <c r="D5" s="96" t="s">
        <v>476</v>
      </c>
      <c r="E5" s="97"/>
      <c r="G5" s="90">
        <v>1</v>
      </c>
      <c r="H5" s="98" t="str">
        <f t="shared" ref="H5:H68" si="0">C5</f>
        <v>DBG</v>
      </c>
      <c r="I5" s="93" t="str">
        <f t="shared" ref="I5:I68" si="1">IF(G5=1,C5&amp;"_"&amp;IF(E5&lt;&gt;"",E5,D5),IF(E5&lt;&gt;"",E5,D5))</f>
        <v>DBG_TRCSWO</v>
      </c>
    </row>
    <row r="6" spans="2:9">
      <c r="B6" s="181"/>
      <c r="C6" s="158" t="s">
        <v>2136</v>
      </c>
      <c r="D6" s="96" t="s">
        <v>480</v>
      </c>
      <c r="E6" s="97"/>
      <c r="G6" s="90">
        <v>1</v>
      </c>
      <c r="H6" s="98" t="str">
        <f t="shared" si="0"/>
        <v>DBG</v>
      </c>
      <c r="I6" s="93" t="str">
        <f t="shared" si="1"/>
        <v>DBG_TRCD0</v>
      </c>
    </row>
    <row r="7" spans="2:9">
      <c r="B7" s="181"/>
      <c r="C7" s="158" t="s">
        <v>2136</v>
      </c>
      <c r="D7" s="96" t="s">
        <v>484</v>
      </c>
      <c r="E7" s="97"/>
      <c r="G7" s="90">
        <v>1</v>
      </c>
      <c r="H7" s="98" t="str">
        <f t="shared" si="0"/>
        <v>DBG</v>
      </c>
      <c r="I7" s="93" t="str">
        <f t="shared" si="1"/>
        <v>DBG_TRCD1</v>
      </c>
    </row>
    <row r="8" spans="2:9">
      <c r="B8" s="181"/>
      <c r="C8" s="158" t="s">
        <v>2136</v>
      </c>
      <c r="D8" s="96" t="s">
        <v>488</v>
      </c>
      <c r="E8" s="97"/>
      <c r="G8" s="90">
        <v>1</v>
      </c>
      <c r="H8" s="98" t="str">
        <f t="shared" si="0"/>
        <v>DBG</v>
      </c>
      <c r="I8" s="93" t="str">
        <f t="shared" si="1"/>
        <v>DBG_TRCD2</v>
      </c>
    </row>
    <row r="9" spans="2:9">
      <c r="B9" s="183"/>
      <c r="C9" s="158" t="s">
        <v>2136</v>
      </c>
      <c r="D9" s="96" t="s">
        <v>492</v>
      </c>
      <c r="E9" s="97"/>
      <c r="G9" s="90">
        <v>1</v>
      </c>
      <c r="H9" s="98" t="str">
        <f t="shared" si="0"/>
        <v>DBG</v>
      </c>
      <c r="I9" s="93" t="str">
        <f t="shared" si="1"/>
        <v>DBG_TRCD3</v>
      </c>
    </row>
    <row r="10" spans="2:9">
      <c r="B10" s="180" t="s">
        <v>1035</v>
      </c>
      <c r="C10" s="95" t="s">
        <v>1036</v>
      </c>
      <c r="D10" s="96" t="s">
        <v>470</v>
      </c>
      <c r="E10" s="97"/>
      <c r="G10" s="90">
        <v>2</v>
      </c>
      <c r="H10" s="98" t="str">
        <f t="shared" si="0"/>
        <v>IRQ</v>
      </c>
      <c r="I10" s="93" t="str">
        <f t="shared" si="1"/>
        <v>IRQ00</v>
      </c>
    </row>
    <row r="11" spans="2:9">
      <c r="B11" s="181"/>
      <c r="C11" s="95" t="s">
        <v>1036</v>
      </c>
      <c r="D11" s="96" t="s">
        <v>474</v>
      </c>
      <c r="E11" s="97"/>
      <c r="G11" s="90">
        <v>2</v>
      </c>
      <c r="H11" s="98" t="str">
        <f t="shared" si="0"/>
        <v>IRQ</v>
      </c>
      <c r="I11" s="93" t="str">
        <f t="shared" si="1"/>
        <v>IRQ01</v>
      </c>
    </row>
    <row r="12" spans="2:9">
      <c r="B12" s="181"/>
      <c r="C12" s="95" t="s">
        <v>1036</v>
      </c>
      <c r="D12" s="96" t="s">
        <v>478</v>
      </c>
      <c r="E12" s="97"/>
      <c r="G12" s="90">
        <v>2</v>
      </c>
      <c r="H12" s="98" t="str">
        <f t="shared" si="0"/>
        <v>IRQ</v>
      </c>
      <c r="I12" s="93" t="str">
        <f t="shared" si="1"/>
        <v>IRQ02</v>
      </c>
    </row>
    <row r="13" spans="2:9">
      <c r="B13" s="181"/>
      <c r="C13" s="95" t="s">
        <v>1036</v>
      </c>
      <c r="D13" s="96" t="s">
        <v>482</v>
      </c>
      <c r="E13" s="97"/>
      <c r="G13" s="90">
        <v>2</v>
      </c>
      <c r="H13" s="98" t="str">
        <f t="shared" si="0"/>
        <v>IRQ</v>
      </c>
      <c r="I13" s="93" t="str">
        <f t="shared" si="1"/>
        <v>IRQ03</v>
      </c>
    </row>
    <row r="14" spans="2:9">
      <c r="B14" s="181"/>
      <c r="C14" s="95" t="s">
        <v>1036</v>
      </c>
      <c r="D14" s="96" t="s">
        <v>486</v>
      </c>
      <c r="E14" s="97"/>
      <c r="G14" s="90">
        <v>2</v>
      </c>
      <c r="H14" s="98" t="str">
        <f t="shared" si="0"/>
        <v>IRQ</v>
      </c>
      <c r="I14" s="93" t="str">
        <f t="shared" si="1"/>
        <v>IRQ04</v>
      </c>
    </row>
    <row r="15" spans="2:9">
      <c r="B15" s="181"/>
      <c r="C15" s="95" t="s">
        <v>1036</v>
      </c>
      <c r="D15" s="96" t="s">
        <v>490</v>
      </c>
      <c r="E15" s="97"/>
      <c r="G15" s="90">
        <v>2</v>
      </c>
      <c r="H15" s="98" t="str">
        <f t="shared" si="0"/>
        <v>IRQ</v>
      </c>
      <c r="I15" s="93" t="str">
        <f t="shared" si="1"/>
        <v>IRQ05</v>
      </c>
    </row>
    <row r="16" spans="2:9">
      <c r="B16" s="181"/>
      <c r="C16" s="95" t="s">
        <v>1036</v>
      </c>
      <c r="D16" s="96" t="s">
        <v>494</v>
      </c>
      <c r="E16" s="97"/>
      <c r="G16" s="90">
        <v>2</v>
      </c>
      <c r="H16" s="98" t="str">
        <f t="shared" si="0"/>
        <v>IRQ</v>
      </c>
      <c r="I16" s="93" t="str">
        <f t="shared" si="1"/>
        <v>IRQ06</v>
      </c>
    </row>
    <row r="17" spans="2:9">
      <c r="B17" s="181"/>
      <c r="C17" s="95" t="s">
        <v>1036</v>
      </c>
      <c r="D17" s="96" t="s">
        <v>498</v>
      </c>
      <c r="E17" s="97"/>
      <c r="G17" s="90">
        <v>2</v>
      </c>
      <c r="H17" s="98" t="str">
        <f t="shared" si="0"/>
        <v>IRQ</v>
      </c>
      <c r="I17" s="93" t="str">
        <f t="shared" si="1"/>
        <v>IRQ07</v>
      </c>
    </row>
    <row r="18" spans="2:9">
      <c r="B18" s="181"/>
      <c r="C18" s="95" t="s">
        <v>1036</v>
      </c>
      <c r="D18" s="96" t="s">
        <v>566</v>
      </c>
      <c r="E18" s="97"/>
      <c r="G18" s="90">
        <v>2</v>
      </c>
      <c r="H18" s="98" t="str">
        <f t="shared" si="0"/>
        <v>IRQ</v>
      </c>
      <c r="I18" s="93" t="str">
        <f t="shared" si="1"/>
        <v>IRQ08</v>
      </c>
    </row>
    <row r="19" spans="2:9">
      <c r="B19" s="181"/>
      <c r="C19" s="95" t="s">
        <v>1036</v>
      </c>
      <c r="D19" s="96" t="s">
        <v>571</v>
      </c>
      <c r="E19" s="97"/>
      <c r="G19" s="90">
        <v>2</v>
      </c>
      <c r="H19" s="98" t="str">
        <f t="shared" si="0"/>
        <v>IRQ</v>
      </c>
      <c r="I19" s="93" t="str">
        <f t="shared" si="1"/>
        <v>IRQ09</v>
      </c>
    </row>
    <row r="20" spans="2:9">
      <c r="B20" s="181"/>
      <c r="C20" s="95" t="s">
        <v>1036</v>
      </c>
      <c r="D20" s="96" t="s">
        <v>576</v>
      </c>
      <c r="E20" s="97"/>
      <c r="G20" s="90">
        <v>2</v>
      </c>
      <c r="H20" s="98" t="str">
        <f t="shared" si="0"/>
        <v>IRQ</v>
      </c>
      <c r="I20" s="93" t="str">
        <f t="shared" si="1"/>
        <v>IRQ10</v>
      </c>
    </row>
    <row r="21" spans="2:9">
      <c r="B21" s="181"/>
      <c r="C21" s="95" t="s">
        <v>1036</v>
      </c>
      <c r="D21" s="96" t="s">
        <v>579</v>
      </c>
      <c r="E21" s="97"/>
      <c r="G21" s="90">
        <v>2</v>
      </c>
      <c r="H21" s="98" t="str">
        <f t="shared" si="0"/>
        <v>IRQ</v>
      </c>
      <c r="I21" s="93" t="str">
        <f t="shared" si="1"/>
        <v>IRQ11</v>
      </c>
    </row>
    <row r="22" spans="2:9">
      <c r="B22" s="181"/>
      <c r="C22" s="95" t="s">
        <v>1036</v>
      </c>
      <c r="D22" s="96" t="s">
        <v>583</v>
      </c>
      <c r="E22" s="97"/>
      <c r="G22" s="90">
        <v>2</v>
      </c>
      <c r="H22" s="98" t="str">
        <f t="shared" si="0"/>
        <v>IRQ</v>
      </c>
      <c r="I22" s="93" t="str">
        <f t="shared" si="1"/>
        <v>IRQ12</v>
      </c>
    </row>
    <row r="23" spans="2:9">
      <c r="B23" s="181"/>
      <c r="C23" s="95" t="s">
        <v>1036</v>
      </c>
      <c r="D23" s="96" t="s">
        <v>588</v>
      </c>
      <c r="E23" s="97"/>
      <c r="G23" s="90">
        <v>2</v>
      </c>
      <c r="H23" s="98" t="str">
        <f t="shared" si="0"/>
        <v>IRQ</v>
      </c>
      <c r="I23" s="93" t="str">
        <f t="shared" si="1"/>
        <v>IRQ13</v>
      </c>
    </row>
    <row r="24" spans="2:9">
      <c r="B24" s="181"/>
      <c r="C24" s="95" t="s">
        <v>1036</v>
      </c>
      <c r="D24" s="96" t="s">
        <v>683</v>
      </c>
      <c r="E24" s="97"/>
      <c r="G24" s="90">
        <v>2</v>
      </c>
      <c r="H24" s="98" t="str">
        <f t="shared" si="0"/>
        <v>IRQ</v>
      </c>
      <c r="I24" s="93" t="str">
        <f t="shared" si="1"/>
        <v>IRQ14</v>
      </c>
    </row>
    <row r="25" spans="2:9">
      <c r="B25" s="181"/>
      <c r="C25" s="95" t="s">
        <v>1036</v>
      </c>
      <c r="D25" s="96" t="s">
        <v>686</v>
      </c>
      <c r="E25" s="97"/>
      <c r="G25" s="90">
        <v>2</v>
      </c>
      <c r="H25" s="98" t="str">
        <f t="shared" si="0"/>
        <v>IRQ</v>
      </c>
      <c r="I25" s="93" t="str">
        <f t="shared" si="1"/>
        <v>IRQ15</v>
      </c>
    </row>
    <row r="26" spans="2:9">
      <c r="B26" s="181"/>
      <c r="C26" s="95" t="s">
        <v>1036</v>
      </c>
      <c r="D26" s="96" t="s">
        <v>689</v>
      </c>
      <c r="E26" s="97"/>
      <c r="G26" s="90">
        <v>2</v>
      </c>
      <c r="H26" s="98" t="str">
        <f t="shared" si="0"/>
        <v>IRQ</v>
      </c>
      <c r="I26" s="93" t="str">
        <f t="shared" si="1"/>
        <v>IRQ16</v>
      </c>
    </row>
    <row r="27" spans="2:9">
      <c r="B27" s="181"/>
      <c r="C27" s="95" t="s">
        <v>1036</v>
      </c>
      <c r="D27" s="96" t="s">
        <v>697</v>
      </c>
      <c r="E27" s="97"/>
      <c r="G27" s="90">
        <v>2</v>
      </c>
      <c r="H27" s="98" t="str">
        <f t="shared" si="0"/>
        <v>IRQ</v>
      </c>
      <c r="I27" s="93" t="str">
        <f t="shared" si="1"/>
        <v>IRQ17</v>
      </c>
    </row>
    <row r="28" spans="2:9">
      <c r="B28" s="181"/>
      <c r="C28" s="95" t="s">
        <v>1036</v>
      </c>
      <c r="D28" s="96" t="s">
        <v>701</v>
      </c>
      <c r="E28" s="97"/>
      <c r="G28" s="90">
        <v>2</v>
      </c>
      <c r="H28" s="98" t="str">
        <f t="shared" si="0"/>
        <v>IRQ</v>
      </c>
      <c r="I28" s="93" t="str">
        <f t="shared" si="1"/>
        <v>IRQ18</v>
      </c>
    </row>
    <row r="29" spans="2:9">
      <c r="B29" s="183"/>
      <c r="C29" s="95" t="s">
        <v>1036</v>
      </c>
      <c r="D29" s="96" t="s">
        <v>705</v>
      </c>
      <c r="E29" s="97"/>
      <c r="G29" s="90">
        <v>2</v>
      </c>
      <c r="H29" s="98" t="str">
        <f t="shared" si="0"/>
        <v>IRQ</v>
      </c>
      <c r="I29" s="93" t="str">
        <f t="shared" si="1"/>
        <v>IRQ19</v>
      </c>
    </row>
    <row r="30" spans="2:9">
      <c r="B30" s="180" t="s">
        <v>1037</v>
      </c>
      <c r="C30" s="110" t="s">
        <v>1038</v>
      </c>
      <c r="D30" s="104" t="s">
        <v>1039</v>
      </c>
      <c r="E30" s="106"/>
      <c r="G30" s="90">
        <v>2</v>
      </c>
      <c r="H30" s="98" t="str">
        <f>C30</f>
        <v>TM00</v>
      </c>
      <c r="I30" s="93" t="str">
        <f t="shared" si="1"/>
        <v>TM00A</v>
      </c>
    </row>
    <row r="31" spans="2:9">
      <c r="B31" s="181"/>
      <c r="C31" s="110" t="s">
        <v>1635</v>
      </c>
      <c r="D31" s="96" t="s">
        <v>483</v>
      </c>
      <c r="E31" s="106"/>
      <c r="G31" s="90">
        <v>2</v>
      </c>
      <c r="H31" s="98" t="str">
        <f t="shared" si="0"/>
        <v>TM00</v>
      </c>
      <c r="I31" s="93" t="str">
        <f t="shared" si="1"/>
        <v>TM00B</v>
      </c>
    </row>
    <row r="32" spans="2:9">
      <c r="B32" s="181"/>
      <c r="C32" s="110" t="s">
        <v>1636</v>
      </c>
      <c r="D32" s="96" t="s">
        <v>487</v>
      </c>
      <c r="E32" s="103"/>
      <c r="G32" s="90">
        <v>2</v>
      </c>
      <c r="H32" s="98" t="str">
        <f t="shared" si="0"/>
        <v>TM01</v>
      </c>
      <c r="I32" s="93" t="str">
        <f t="shared" si="1"/>
        <v>TM01A</v>
      </c>
    </row>
    <row r="33" spans="2:9">
      <c r="B33" s="181"/>
      <c r="C33" s="110" t="s">
        <v>1636</v>
      </c>
      <c r="D33" s="96" t="s">
        <v>491</v>
      </c>
      <c r="E33" s="103"/>
      <c r="G33" s="90">
        <v>2</v>
      </c>
      <c r="H33" s="98" t="str">
        <f t="shared" si="0"/>
        <v>TM01</v>
      </c>
      <c r="I33" s="93" t="str">
        <f t="shared" si="1"/>
        <v>TM01B</v>
      </c>
    </row>
    <row r="34" spans="2:9">
      <c r="B34" s="181"/>
      <c r="C34" s="110" t="s">
        <v>1642</v>
      </c>
      <c r="D34" s="96" t="s">
        <v>495</v>
      </c>
      <c r="E34" s="103"/>
      <c r="G34" s="90">
        <v>2</v>
      </c>
      <c r="H34" s="111" t="str">
        <f t="shared" si="0"/>
        <v>TM02</v>
      </c>
      <c r="I34" s="93" t="str">
        <f t="shared" si="1"/>
        <v>TM02A</v>
      </c>
    </row>
    <row r="35" spans="2:9">
      <c r="B35" s="181"/>
      <c r="C35" s="110" t="s">
        <v>1642</v>
      </c>
      <c r="D35" s="96" t="s">
        <v>499</v>
      </c>
      <c r="E35" s="103"/>
      <c r="G35" s="90">
        <v>2</v>
      </c>
      <c r="H35" s="111" t="str">
        <f t="shared" si="0"/>
        <v>TM02</v>
      </c>
      <c r="I35" s="93" t="str">
        <f t="shared" si="1"/>
        <v>TM02B</v>
      </c>
    </row>
    <row r="36" spans="2:9">
      <c r="B36" s="181"/>
      <c r="C36" s="110" t="s">
        <v>1643</v>
      </c>
      <c r="D36" s="96" t="s">
        <v>503</v>
      </c>
      <c r="E36" s="103"/>
      <c r="G36" s="90">
        <v>2</v>
      </c>
      <c r="H36" s="111" t="str">
        <f t="shared" si="0"/>
        <v>TM03</v>
      </c>
      <c r="I36" s="93" t="str">
        <f t="shared" si="1"/>
        <v>TM03A</v>
      </c>
    </row>
    <row r="37" spans="2:9">
      <c r="B37" s="181"/>
      <c r="C37" s="110" t="s">
        <v>1643</v>
      </c>
      <c r="D37" s="96" t="s">
        <v>506</v>
      </c>
      <c r="E37" s="103"/>
      <c r="G37" s="90">
        <v>2</v>
      </c>
      <c r="H37" s="111" t="str">
        <f t="shared" si="0"/>
        <v>TM03</v>
      </c>
      <c r="I37" s="93" t="str">
        <f t="shared" si="1"/>
        <v>TM03B</v>
      </c>
    </row>
    <row r="38" spans="2:9">
      <c r="B38" s="181"/>
      <c r="C38" s="110" t="s">
        <v>1644</v>
      </c>
      <c r="D38" s="96" t="s">
        <v>510</v>
      </c>
      <c r="E38" s="103"/>
      <c r="G38" s="90">
        <v>2</v>
      </c>
      <c r="H38" s="111" t="str">
        <f t="shared" si="0"/>
        <v>TM04</v>
      </c>
      <c r="I38" s="93" t="str">
        <f t="shared" si="1"/>
        <v>TM04A</v>
      </c>
    </row>
    <row r="39" spans="2:9">
      <c r="B39" s="181"/>
      <c r="C39" s="110" t="s">
        <v>1644</v>
      </c>
      <c r="D39" s="96" t="s">
        <v>514</v>
      </c>
      <c r="E39" s="103"/>
      <c r="G39" s="90">
        <v>2</v>
      </c>
      <c r="H39" s="111" t="str">
        <f t="shared" si="0"/>
        <v>TM04</v>
      </c>
      <c r="I39" s="93" t="str">
        <f t="shared" si="1"/>
        <v>TM04B</v>
      </c>
    </row>
    <row r="40" spans="2:9">
      <c r="B40" s="181"/>
      <c r="C40" s="110" t="s">
        <v>1645</v>
      </c>
      <c r="D40" s="96" t="s">
        <v>520</v>
      </c>
      <c r="E40" s="103"/>
      <c r="G40" s="90">
        <v>2</v>
      </c>
      <c r="H40" s="111" t="str">
        <f t="shared" si="0"/>
        <v>TM05</v>
      </c>
      <c r="I40" s="93" t="str">
        <f t="shared" si="1"/>
        <v>TM05A</v>
      </c>
    </row>
    <row r="41" spans="2:9">
      <c r="B41" s="181"/>
      <c r="C41" s="110" t="s">
        <v>1645</v>
      </c>
      <c r="D41" s="96" t="s">
        <v>1040</v>
      </c>
      <c r="E41" s="103"/>
      <c r="G41" s="90">
        <v>2</v>
      </c>
      <c r="H41" s="111" t="str">
        <f t="shared" si="0"/>
        <v>TM05</v>
      </c>
      <c r="I41" s="93" t="str">
        <f t="shared" si="1"/>
        <v>TM05B</v>
      </c>
    </row>
    <row r="42" spans="2:9">
      <c r="B42" s="181"/>
      <c r="C42" s="110" t="s">
        <v>1646</v>
      </c>
      <c r="D42" s="96" t="s">
        <v>1041</v>
      </c>
      <c r="E42" s="103"/>
      <c r="G42" s="90">
        <v>2</v>
      </c>
      <c r="H42" s="111" t="str">
        <f t="shared" si="0"/>
        <v>TM06</v>
      </c>
      <c r="I42" s="93" t="str">
        <f t="shared" si="1"/>
        <v>TM06A</v>
      </c>
    </row>
    <row r="43" spans="2:9">
      <c r="B43" s="181"/>
      <c r="C43" s="110" t="s">
        <v>1646</v>
      </c>
      <c r="D43" s="96" t="s">
        <v>552</v>
      </c>
      <c r="E43" s="103"/>
      <c r="G43" s="90">
        <v>2</v>
      </c>
      <c r="H43" s="111" t="str">
        <f t="shared" si="0"/>
        <v>TM06</v>
      </c>
      <c r="I43" s="93" t="str">
        <f t="shared" si="1"/>
        <v>TM06B</v>
      </c>
    </row>
    <row r="44" spans="2:9">
      <c r="B44" s="181"/>
      <c r="C44" s="110" t="s">
        <v>1647</v>
      </c>
      <c r="D44" s="96" t="s">
        <v>577</v>
      </c>
      <c r="E44" s="103"/>
      <c r="G44" s="90">
        <v>2</v>
      </c>
      <c r="H44" s="111" t="str">
        <f t="shared" si="0"/>
        <v>TM07</v>
      </c>
      <c r="I44" s="93" t="str">
        <f t="shared" si="1"/>
        <v>TM07A</v>
      </c>
    </row>
    <row r="45" spans="2:9">
      <c r="B45" s="181"/>
      <c r="C45" s="110" t="s">
        <v>1647</v>
      </c>
      <c r="D45" s="96" t="s">
        <v>580</v>
      </c>
      <c r="E45" s="103"/>
      <c r="G45" s="90">
        <v>2</v>
      </c>
      <c r="H45" s="111" t="str">
        <f t="shared" si="0"/>
        <v>TM07</v>
      </c>
      <c r="I45" s="93" t="str">
        <f t="shared" si="1"/>
        <v>TM07B</v>
      </c>
    </row>
    <row r="46" spans="2:9">
      <c r="B46" s="181"/>
      <c r="C46" s="110" t="s">
        <v>1648</v>
      </c>
      <c r="D46" s="96" t="s">
        <v>584</v>
      </c>
      <c r="E46" s="103"/>
      <c r="G46" s="90">
        <v>2</v>
      </c>
      <c r="H46" s="111" t="str">
        <f t="shared" si="0"/>
        <v>TM08</v>
      </c>
      <c r="I46" s="93" t="str">
        <f t="shared" si="1"/>
        <v>TM08A</v>
      </c>
    </row>
    <row r="47" spans="2:9">
      <c r="B47" s="181"/>
      <c r="C47" s="110" t="s">
        <v>1648</v>
      </c>
      <c r="D47" s="96" t="s">
        <v>589</v>
      </c>
      <c r="E47" s="103"/>
      <c r="G47" s="90">
        <v>2</v>
      </c>
      <c r="H47" s="111" t="str">
        <f t="shared" si="0"/>
        <v>TM08</v>
      </c>
      <c r="I47" s="93" t="str">
        <f t="shared" si="1"/>
        <v>TM08B</v>
      </c>
    </row>
    <row r="48" spans="2:9">
      <c r="B48" s="181"/>
      <c r="C48" s="110" t="s">
        <v>1649</v>
      </c>
      <c r="D48" s="96" t="s">
        <v>595</v>
      </c>
      <c r="E48" s="103"/>
      <c r="G48" s="90">
        <v>2</v>
      </c>
      <c r="H48" s="111" t="str">
        <f t="shared" si="0"/>
        <v>TM09</v>
      </c>
      <c r="I48" s="93" t="str">
        <f t="shared" si="1"/>
        <v>TM09A</v>
      </c>
    </row>
    <row r="49" spans="2:9">
      <c r="B49" s="181"/>
      <c r="C49" s="110" t="s">
        <v>1649</v>
      </c>
      <c r="D49" s="96" t="s">
        <v>598</v>
      </c>
      <c r="E49" s="103"/>
      <c r="G49" s="90">
        <v>2</v>
      </c>
      <c r="H49" s="111" t="str">
        <f t="shared" si="0"/>
        <v>TM09</v>
      </c>
      <c r="I49" s="93" t="str">
        <f t="shared" si="1"/>
        <v>TM09B</v>
      </c>
    </row>
    <row r="50" spans="2:9">
      <c r="B50" s="181"/>
      <c r="C50" s="110" t="s">
        <v>1650</v>
      </c>
      <c r="D50" s="96" t="s">
        <v>601</v>
      </c>
      <c r="E50" s="103"/>
      <c r="G50" s="90">
        <v>2</v>
      </c>
      <c r="H50" s="111" t="str">
        <f t="shared" si="0"/>
        <v>TM10</v>
      </c>
      <c r="I50" s="93" t="str">
        <f t="shared" si="1"/>
        <v>TM10A</v>
      </c>
    </row>
    <row r="51" spans="2:9">
      <c r="B51" s="181"/>
      <c r="C51" s="110" t="s">
        <v>1650</v>
      </c>
      <c r="D51" s="96" t="s">
        <v>604</v>
      </c>
      <c r="E51" s="103"/>
      <c r="G51" s="90">
        <v>2</v>
      </c>
      <c r="H51" s="111" t="str">
        <f t="shared" si="0"/>
        <v>TM10</v>
      </c>
      <c r="I51" s="93" t="str">
        <f t="shared" si="1"/>
        <v>TM10B</v>
      </c>
    </row>
    <row r="52" spans="2:9">
      <c r="B52" s="181"/>
      <c r="C52" s="110" t="s">
        <v>1651</v>
      </c>
      <c r="D52" s="96" t="s">
        <v>669</v>
      </c>
      <c r="E52" s="103"/>
      <c r="G52" s="90">
        <v>2</v>
      </c>
      <c r="H52" s="111" t="str">
        <f t="shared" si="0"/>
        <v>TM11</v>
      </c>
      <c r="I52" s="93" t="str">
        <f t="shared" si="1"/>
        <v>TM11A</v>
      </c>
    </row>
    <row r="53" spans="2:9">
      <c r="B53" s="181"/>
      <c r="C53" s="110" t="s">
        <v>1651</v>
      </c>
      <c r="D53" s="96" t="s">
        <v>672</v>
      </c>
      <c r="E53" s="103"/>
      <c r="G53" s="90">
        <v>2</v>
      </c>
      <c r="H53" s="111" t="str">
        <f t="shared" si="0"/>
        <v>TM11</v>
      </c>
      <c r="I53" s="93" t="str">
        <f t="shared" si="1"/>
        <v>TM11B</v>
      </c>
    </row>
    <row r="54" spans="2:9">
      <c r="B54" s="181"/>
      <c r="C54" s="110" t="s">
        <v>1652</v>
      </c>
      <c r="D54" s="96" t="s">
        <v>684</v>
      </c>
      <c r="E54" s="107"/>
      <c r="G54" s="90">
        <v>2</v>
      </c>
      <c r="H54" s="111" t="str">
        <f t="shared" si="0"/>
        <v>TM12</v>
      </c>
      <c r="I54" s="93" t="str">
        <f t="shared" si="1"/>
        <v>TM12A</v>
      </c>
    </row>
    <row r="55" spans="2:9">
      <c r="B55" s="181"/>
      <c r="C55" s="110" t="s">
        <v>1652</v>
      </c>
      <c r="D55" s="96" t="s">
        <v>687</v>
      </c>
      <c r="E55" s="107"/>
      <c r="G55" s="90">
        <v>2</v>
      </c>
      <c r="H55" s="111" t="str">
        <f t="shared" si="0"/>
        <v>TM12</v>
      </c>
      <c r="I55" s="93" t="str">
        <f t="shared" si="1"/>
        <v>TM12B</v>
      </c>
    </row>
    <row r="56" spans="2:9">
      <c r="B56" s="181"/>
      <c r="C56" s="110" t="s">
        <v>1653</v>
      </c>
      <c r="D56" s="96" t="s">
        <v>707</v>
      </c>
      <c r="E56" s="107"/>
      <c r="G56" s="90">
        <v>2</v>
      </c>
      <c r="H56" s="111" t="str">
        <f t="shared" si="0"/>
        <v>TM13</v>
      </c>
      <c r="I56" s="93" t="str">
        <f t="shared" si="1"/>
        <v>TM13A</v>
      </c>
    </row>
    <row r="57" spans="2:9">
      <c r="B57" s="181"/>
      <c r="C57" s="110" t="s">
        <v>1653</v>
      </c>
      <c r="D57" s="96" t="s">
        <v>711</v>
      </c>
      <c r="E57" s="107"/>
      <c r="G57" s="90">
        <v>2</v>
      </c>
      <c r="H57" s="111" t="str">
        <f t="shared" si="0"/>
        <v>TM13</v>
      </c>
      <c r="I57" s="93" t="str">
        <f t="shared" si="1"/>
        <v>TM13B</v>
      </c>
    </row>
    <row r="58" spans="2:9">
      <c r="B58" s="181"/>
      <c r="C58" s="110" t="s">
        <v>1654</v>
      </c>
      <c r="D58" s="96" t="s">
        <v>471</v>
      </c>
      <c r="E58" s="107"/>
      <c r="G58" s="90">
        <v>2</v>
      </c>
      <c r="H58" s="111" t="str">
        <f t="shared" si="0"/>
        <v>TM20</v>
      </c>
      <c r="I58" s="93" t="str">
        <f t="shared" si="1"/>
        <v>TM20A</v>
      </c>
    </row>
    <row r="59" spans="2:9">
      <c r="B59" s="181"/>
      <c r="C59" s="110" t="s">
        <v>1654</v>
      </c>
      <c r="D59" s="96" t="s">
        <v>475</v>
      </c>
      <c r="E59" s="107"/>
      <c r="G59" s="90">
        <v>2</v>
      </c>
      <c r="H59" s="111" t="str">
        <f t="shared" si="0"/>
        <v>TM20</v>
      </c>
      <c r="I59" s="93" t="str">
        <f t="shared" si="1"/>
        <v>TM20B</v>
      </c>
    </row>
    <row r="60" spans="2:9">
      <c r="B60" s="181"/>
      <c r="C60" s="110" t="s">
        <v>1655</v>
      </c>
      <c r="D60" s="96" t="s">
        <v>567</v>
      </c>
      <c r="E60" s="107"/>
      <c r="G60" s="90">
        <v>2</v>
      </c>
      <c r="H60" s="111" t="str">
        <f t="shared" si="0"/>
        <v>TM21</v>
      </c>
      <c r="I60" s="93" t="str">
        <f t="shared" si="1"/>
        <v>TM21A</v>
      </c>
    </row>
    <row r="61" spans="2:9">
      <c r="B61" s="181"/>
      <c r="C61" s="110" t="s">
        <v>1655</v>
      </c>
      <c r="D61" s="96" t="s">
        <v>572</v>
      </c>
      <c r="E61" s="107"/>
      <c r="G61" s="90">
        <v>2</v>
      </c>
      <c r="H61" s="111" t="str">
        <f t="shared" si="0"/>
        <v>TM21</v>
      </c>
      <c r="I61" s="93" t="str">
        <f t="shared" si="1"/>
        <v>TM21B</v>
      </c>
    </row>
    <row r="62" spans="2:9">
      <c r="B62" s="181"/>
      <c r="C62" s="110" t="s">
        <v>1656</v>
      </c>
      <c r="D62" s="96" t="s">
        <v>691</v>
      </c>
      <c r="E62" s="107"/>
      <c r="G62" s="90">
        <v>2</v>
      </c>
      <c r="H62" s="111" t="str">
        <f t="shared" si="0"/>
        <v>TM22</v>
      </c>
      <c r="I62" s="93" t="str">
        <f t="shared" si="1"/>
        <v>TM22A</v>
      </c>
    </row>
    <row r="63" spans="2:9">
      <c r="B63" s="181"/>
      <c r="C63" s="110" t="s">
        <v>1656</v>
      </c>
      <c r="D63" s="96" t="s">
        <v>694</v>
      </c>
      <c r="E63" s="107"/>
      <c r="G63" s="90">
        <v>2</v>
      </c>
      <c r="H63" s="111" t="str">
        <f t="shared" si="0"/>
        <v>TM22</v>
      </c>
      <c r="I63" s="93" t="str">
        <f t="shared" si="1"/>
        <v>TM22B</v>
      </c>
    </row>
    <row r="64" spans="2:9">
      <c r="B64" s="181"/>
      <c r="C64" s="110" t="s">
        <v>1657</v>
      </c>
      <c r="D64" s="96" t="s">
        <v>1042</v>
      </c>
      <c r="E64" s="107"/>
      <c r="G64" s="90">
        <v>2</v>
      </c>
      <c r="H64" s="111" t="str">
        <f t="shared" si="0"/>
        <v>TM23</v>
      </c>
      <c r="I64" s="93" t="str">
        <f t="shared" si="1"/>
        <v>TM23A</v>
      </c>
    </row>
    <row r="65" spans="2:9">
      <c r="B65" s="181"/>
      <c r="C65" s="110" t="s">
        <v>1657</v>
      </c>
      <c r="D65" s="96" t="s">
        <v>652</v>
      </c>
      <c r="E65" s="107"/>
      <c r="G65" s="90">
        <v>2</v>
      </c>
      <c r="H65" s="111" t="str">
        <f t="shared" si="0"/>
        <v>TM23</v>
      </c>
      <c r="I65" s="93" t="str">
        <f t="shared" si="1"/>
        <v>TM23B</v>
      </c>
    </row>
    <row r="66" spans="2:9">
      <c r="B66" s="181"/>
      <c r="C66" s="110" t="s">
        <v>1658</v>
      </c>
      <c r="D66" s="96" t="s">
        <v>656</v>
      </c>
      <c r="E66" s="107"/>
      <c r="G66" s="90">
        <v>2</v>
      </c>
      <c r="H66" s="111" t="str">
        <f t="shared" si="0"/>
        <v>TM24</v>
      </c>
      <c r="I66" s="93" t="str">
        <f t="shared" si="1"/>
        <v>TM24A</v>
      </c>
    </row>
    <row r="67" spans="2:9">
      <c r="B67" s="181"/>
      <c r="C67" s="110" t="s">
        <v>1658</v>
      </c>
      <c r="D67" s="96" t="s">
        <v>659</v>
      </c>
      <c r="E67" s="107"/>
      <c r="G67" s="90">
        <v>2</v>
      </c>
      <c r="H67" s="111" t="str">
        <f t="shared" si="0"/>
        <v>TM24</v>
      </c>
      <c r="I67" s="93" t="str">
        <f t="shared" si="1"/>
        <v>TM24B</v>
      </c>
    </row>
    <row r="68" spans="2:9">
      <c r="B68" s="181"/>
      <c r="C68" s="110" t="s">
        <v>1659</v>
      </c>
      <c r="D68" s="96" t="s">
        <v>1043</v>
      </c>
      <c r="E68" s="107"/>
      <c r="G68" s="90">
        <v>2</v>
      </c>
      <c r="H68" s="111" t="str">
        <f t="shared" si="0"/>
        <v>TM25</v>
      </c>
      <c r="I68" s="93" t="str">
        <f t="shared" si="1"/>
        <v>TM25A</v>
      </c>
    </row>
    <row r="69" spans="2:9">
      <c r="B69" s="183"/>
      <c r="C69" s="110" t="s">
        <v>1659</v>
      </c>
      <c r="D69" s="96" t="s">
        <v>667</v>
      </c>
      <c r="E69" s="107"/>
      <c r="G69" s="90">
        <v>2</v>
      </c>
      <c r="H69" s="111" t="str">
        <f t="shared" ref="H69:H150" si="2">C69</f>
        <v>TM25</v>
      </c>
      <c r="I69" s="93" t="str">
        <f t="shared" ref="I69:I150" si="3">IF(G69=1,C69&amp;"_"&amp;IF(E69&lt;&gt;"",E69,D69),IF(E69&lt;&gt;"",E69,D69))</f>
        <v>TM25B</v>
      </c>
    </row>
    <row r="70" spans="2:9">
      <c r="B70" s="180" t="s">
        <v>1044</v>
      </c>
      <c r="C70" s="96" t="s">
        <v>1045</v>
      </c>
      <c r="D70" s="96" t="s">
        <v>1046</v>
      </c>
      <c r="E70" s="97"/>
      <c r="G70" s="90">
        <v>1</v>
      </c>
      <c r="H70" s="98" t="str">
        <f t="shared" si="2"/>
        <v>GPWM0</v>
      </c>
      <c r="I70" s="93" t="str">
        <f t="shared" si="3"/>
        <v>GPWM0_GPWM00</v>
      </c>
    </row>
    <row r="71" spans="2:9">
      <c r="B71" s="181"/>
      <c r="C71" s="96" t="s">
        <v>1045</v>
      </c>
      <c r="D71" s="133" t="s">
        <v>1823</v>
      </c>
      <c r="E71" s="109"/>
      <c r="G71" s="90">
        <v>1</v>
      </c>
      <c r="H71" s="98" t="str">
        <f>C71</f>
        <v>GPWM0</v>
      </c>
      <c r="I71" s="93" t="str">
        <f t="shared" ref="I71:I105" si="4">IF(G71=1,C71&amp;"_"&amp;IF(E71&lt;&gt;"",E71,D71),IF(E71&lt;&gt;"",E71,D71))</f>
        <v>GPWM0_GPWMH00</v>
      </c>
    </row>
    <row r="72" spans="2:9">
      <c r="B72" s="181"/>
      <c r="C72" s="96" t="s">
        <v>1045</v>
      </c>
      <c r="D72" s="96" t="s">
        <v>540</v>
      </c>
      <c r="E72" s="97"/>
      <c r="G72" s="90">
        <v>1</v>
      </c>
      <c r="H72" s="98" t="str">
        <f t="shared" ref="H72:H105" si="5">C72</f>
        <v>GPWM0</v>
      </c>
      <c r="I72" s="93" t="str">
        <f t="shared" si="4"/>
        <v>GPWM0_GPWM01</v>
      </c>
    </row>
    <row r="73" spans="2:9">
      <c r="B73" s="181"/>
      <c r="C73" s="96" t="s">
        <v>1045</v>
      </c>
      <c r="D73" s="128" t="s">
        <v>1696</v>
      </c>
      <c r="E73" s="109"/>
      <c r="G73" s="90">
        <v>1</v>
      </c>
      <c r="H73" s="98" t="str">
        <f t="shared" si="5"/>
        <v>GPWM0</v>
      </c>
      <c r="I73" s="93" t="str">
        <f t="shared" si="4"/>
        <v>GPWM0_GPWMH01</v>
      </c>
    </row>
    <row r="74" spans="2:9">
      <c r="B74" s="181"/>
      <c r="C74" s="96" t="s">
        <v>1047</v>
      </c>
      <c r="D74" s="96" t="s">
        <v>542</v>
      </c>
      <c r="E74" s="97"/>
      <c r="G74" s="90">
        <v>1</v>
      </c>
      <c r="H74" s="98" t="str">
        <f t="shared" si="5"/>
        <v>GPWM1</v>
      </c>
      <c r="I74" s="93" t="str">
        <f t="shared" si="4"/>
        <v>GPWM1_GPWM10</v>
      </c>
    </row>
    <row r="75" spans="2:9">
      <c r="B75" s="181"/>
      <c r="C75" s="96" t="s">
        <v>1047</v>
      </c>
      <c r="D75" s="128" t="s">
        <v>1697</v>
      </c>
      <c r="E75" s="109"/>
      <c r="G75" s="90">
        <v>1</v>
      </c>
      <c r="H75" s="98" t="str">
        <f t="shared" si="5"/>
        <v>GPWM1</v>
      </c>
      <c r="I75" s="93" t="str">
        <f t="shared" si="4"/>
        <v>GPWM1_GPWMH10</v>
      </c>
    </row>
    <row r="76" spans="2:9">
      <c r="B76" s="181"/>
      <c r="C76" s="96" t="s">
        <v>1047</v>
      </c>
      <c r="D76" s="96" t="s">
        <v>544</v>
      </c>
      <c r="E76" s="97"/>
      <c r="G76" s="90">
        <v>1</v>
      </c>
      <c r="H76" s="98" t="str">
        <f t="shared" si="5"/>
        <v>GPWM1</v>
      </c>
      <c r="I76" s="93" t="str">
        <f t="shared" si="4"/>
        <v>GPWM1_GPWM11</v>
      </c>
    </row>
    <row r="77" spans="2:9">
      <c r="B77" s="181"/>
      <c r="C77" s="96" t="s">
        <v>1047</v>
      </c>
      <c r="D77" s="128" t="s">
        <v>1698</v>
      </c>
      <c r="E77" s="109"/>
      <c r="G77" s="90">
        <v>1</v>
      </c>
      <c r="H77" s="98" t="str">
        <f t="shared" si="5"/>
        <v>GPWM1</v>
      </c>
      <c r="I77" s="93" t="str">
        <f t="shared" si="4"/>
        <v>GPWM1_GPWMH11</v>
      </c>
    </row>
    <row r="78" spans="2:9">
      <c r="B78" s="181"/>
      <c r="C78" s="96" t="s">
        <v>1048</v>
      </c>
      <c r="D78" s="96" t="s">
        <v>546</v>
      </c>
      <c r="E78" s="97"/>
      <c r="G78" s="90">
        <v>1</v>
      </c>
      <c r="H78" s="98" t="str">
        <f t="shared" si="5"/>
        <v>GPWM2</v>
      </c>
      <c r="I78" s="93" t="str">
        <f t="shared" si="4"/>
        <v>GPWM2_GPWM20</v>
      </c>
    </row>
    <row r="79" spans="2:9">
      <c r="B79" s="181"/>
      <c r="C79" s="96" t="s">
        <v>1048</v>
      </c>
      <c r="D79" s="128" t="s">
        <v>1699</v>
      </c>
      <c r="E79" s="109"/>
      <c r="G79" s="90">
        <v>1</v>
      </c>
      <c r="H79" s="98" t="str">
        <f t="shared" si="5"/>
        <v>GPWM2</v>
      </c>
      <c r="I79" s="93" t="str">
        <f t="shared" si="4"/>
        <v>GPWM2_GPWMH20</v>
      </c>
    </row>
    <row r="80" spans="2:9">
      <c r="B80" s="181"/>
      <c r="C80" s="96" t="s">
        <v>1048</v>
      </c>
      <c r="D80" s="96" t="s">
        <v>548</v>
      </c>
      <c r="E80" s="97"/>
      <c r="G80" s="90">
        <v>1</v>
      </c>
      <c r="H80" s="98" t="str">
        <f t="shared" si="5"/>
        <v>GPWM2</v>
      </c>
      <c r="I80" s="93" t="str">
        <f t="shared" si="4"/>
        <v>GPWM2_GPWM21</v>
      </c>
    </row>
    <row r="81" spans="2:9">
      <c r="B81" s="181"/>
      <c r="C81" s="96" t="s">
        <v>1048</v>
      </c>
      <c r="D81" s="128" t="s">
        <v>1700</v>
      </c>
      <c r="E81" s="109"/>
      <c r="G81" s="90">
        <v>1</v>
      </c>
      <c r="H81" s="98" t="str">
        <f t="shared" si="5"/>
        <v>GPWM2</v>
      </c>
      <c r="I81" s="93" t="str">
        <f t="shared" si="4"/>
        <v>GPWM2_GPWMH21</v>
      </c>
    </row>
    <row r="82" spans="2:9">
      <c r="B82" s="181"/>
      <c r="C82" s="96" t="s">
        <v>1049</v>
      </c>
      <c r="D82" s="96" t="s">
        <v>554</v>
      </c>
      <c r="E82" s="97"/>
      <c r="G82" s="90">
        <v>1</v>
      </c>
      <c r="H82" s="98" t="str">
        <f t="shared" si="5"/>
        <v>GPWM3</v>
      </c>
      <c r="I82" s="93" t="str">
        <f t="shared" si="4"/>
        <v>GPWM3_GPWM30</v>
      </c>
    </row>
    <row r="83" spans="2:9">
      <c r="B83" s="181"/>
      <c r="C83" s="96" t="s">
        <v>1049</v>
      </c>
      <c r="D83" s="128" t="s">
        <v>1701</v>
      </c>
      <c r="E83" s="109"/>
      <c r="G83" s="90">
        <v>1</v>
      </c>
      <c r="H83" s="98" t="str">
        <f t="shared" si="5"/>
        <v>GPWM3</v>
      </c>
      <c r="I83" s="93" t="str">
        <f t="shared" si="4"/>
        <v>GPWM3_GPWMH30</v>
      </c>
    </row>
    <row r="84" spans="2:9">
      <c r="B84" s="181"/>
      <c r="C84" s="96" t="s">
        <v>1049</v>
      </c>
      <c r="D84" s="96" t="s">
        <v>556</v>
      </c>
      <c r="E84" s="97"/>
      <c r="G84" s="90">
        <v>1</v>
      </c>
      <c r="H84" s="98" t="str">
        <f t="shared" si="5"/>
        <v>GPWM3</v>
      </c>
      <c r="I84" s="93" t="str">
        <f t="shared" si="4"/>
        <v>GPWM3_GPWM31</v>
      </c>
    </row>
    <row r="85" spans="2:9">
      <c r="B85" s="181"/>
      <c r="C85" s="96" t="s">
        <v>1049</v>
      </c>
      <c r="D85" s="128" t="s">
        <v>1702</v>
      </c>
      <c r="E85" s="109"/>
      <c r="G85" s="90">
        <v>1</v>
      </c>
      <c r="H85" s="98" t="str">
        <f t="shared" si="5"/>
        <v>GPWM3</v>
      </c>
      <c r="I85" s="93" t="str">
        <f t="shared" si="4"/>
        <v>GPWM3_GPWMH31</v>
      </c>
    </row>
    <row r="86" spans="2:9">
      <c r="B86" s="181"/>
      <c r="C86" s="96" t="s">
        <v>1050</v>
      </c>
      <c r="D86" s="96" t="s">
        <v>558</v>
      </c>
      <c r="E86" s="97"/>
      <c r="G86" s="90">
        <v>1</v>
      </c>
      <c r="H86" s="98" t="str">
        <f t="shared" si="5"/>
        <v>GPWM4</v>
      </c>
      <c r="I86" s="93" t="str">
        <f t="shared" si="4"/>
        <v>GPWM4_GPWM40</v>
      </c>
    </row>
    <row r="87" spans="2:9">
      <c r="B87" s="181"/>
      <c r="C87" s="96" t="s">
        <v>1050</v>
      </c>
      <c r="D87" s="128" t="s">
        <v>1703</v>
      </c>
      <c r="E87" s="109"/>
      <c r="G87" s="90">
        <v>1</v>
      </c>
      <c r="H87" s="98" t="str">
        <f t="shared" si="5"/>
        <v>GPWM4</v>
      </c>
      <c r="I87" s="93" t="str">
        <f t="shared" si="4"/>
        <v>GPWM4_GPWMH40</v>
      </c>
    </row>
    <row r="88" spans="2:9">
      <c r="B88" s="181"/>
      <c r="C88" s="96" t="s">
        <v>1050</v>
      </c>
      <c r="D88" s="96" t="s">
        <v>560</v>
      </c>
      <c r="E88" s="97"/>
      <c r="G88" s="90">
        <v>1</v>
      </c>
      <c r="H88" s="98" t="str">
        <f t="shared" si="5"/>
        <v>GPWM4</v>
      </c>
      <c r="I88" s="93" t="str">
        <f t="shared" si="4"/>
        <v>GPWM4_GPWM41</v>
      </c>
    </row>
    <row r="89" spans="2:9">
      <c r="B89" s="181"/>
      <c r="C89" s="96" t="s">
        <v>1050</v>
      </c>
      <c r="D89" s="128" t="s">
        <v>1704</v>
      </c>
      <c r="E89" s="109"/>
      <c r="G89" s="90">
        <v>1</v>
      </c>
      <c r="H89" s="98" t="str">
        <f t="shared" si="5"/>
        <v>GPWM4</v>
      </c>
      <c r="I89" s="93" t="str">
        <f t="shared" si="4"/>
        <v>GPWM4_GPWMH41</v>
      </c>
    </row>
    <row r="90" spans="2:9">
      <c r="B90" s="181"/>
      <c r="C90" s="96" t="s">
        <v>1051</v>
      </c>
      <c r="D90" s="96" t="s">
        <v>562</v>
      </c>
      <c r="E90" s="97"/>
      <c r="G90" s="90">
        <v>1</v>
      </c>
      <c r="H90" s="98" t="str">
        <f t="shared" si="5"/>
        <v>GPWM5</v>
      </c>
      <c r="I90" s="93" t="str">
        <f t="shared" si="4"/>
        <v>GPWM5_GPWM50</v>
      </c>
    </row>
    <row r="91" spans="2:9">
      <c r="B91" s="181"/>
      <c r="C91" s="96" t="s">
        <v>1051</v>
      </c>
      <c r="D91" s="128" t="s">
        <v>1705</v>
      </c>
      <c r="E91" s="109"/>
      <c r="G91" s="90">
        <v>1</v>
      </c>
      <c r="H91" s="98" t="str">
        <f t="shared" si="5"/>
        <v>GPWM5</v>
      </c>
      <c r="I91" s="93" t="str">
        <f t="shared" si="4"/>
        <v>GPWM5_GPWMH50</v>
      </c>
    </row>
    <row r="92" spans="2:9">
      <c r="B92" s="181"/>
      <c r="C92" s="96" t="s">
        <v>1051</v>
      </c>
      <c r="D92" s="96" t="s">
        <v>564</v>
      </c>
      <c r="E92" s="97"/>
      <c r="G92" s="90">
        <v>1</v>
      </c>
      <c r="H92" s="98" t="str">
        <f t="shared" si="5"/>
        <v>GPWM5</v>
      </c>
      <c r="I92" s="93" t="str">
        <f t="shared" si="4"/>
        <v>GPWM5_GPWM51</v>
      </c>
    </row>
    <row r="93" spans="2:9">
      <c r="B93" s="181"/>
      <c r="C93" s="96" t="s">
        <v>1051</v>
      </c>
      <c r="D93" s="128" t="s">
        <v>1706</v>
      </c>
      <c r="E93" s="109"/>
      <c r="G93" s="90">
        <v>1</v>
      </c>
      <c r="H93" s="98" t="str">
        <f t="shared" si="5"/>
        <v>GPWM5</v>
      </c>
      <c r="I93" s="93" t="str">
        <f t="shared" si="4"/>
        <v>GPWM5_GPWMH51</v>
      </c>
    </row>
    <row r="94" spans="2:9">
      <c r="B94" s="181"/>
      <c r="C94" s="96" t="s">
        <v>1052</v>
      </c>
      <c r="D94" s="96" t="s">
        <v>530</v>
      </c>
      <c r="E94" s="97"/>
      <c r="G94" s="90">
        <v>1</v>
      </c>
      <c r="H94" s="98" t="str">
        <f t="shared" si="5"/>
        <v>GPWM6</v>
      </c>
      <c r="I94" s="93" t="str">
        <f t="shared" si="4"/>
        <v>GPWM6_GPWM60</v>
      </c>
    </row>
    <row r="95" spans="2:9">
      <c r="B95" s="181"/>
      <c r="C95" s="96" t="s">
        <v>1052</v>
      </c>
      <c r="D95" s="128" t="s">
        <v>1707</v>
      </c>
      <c r="E95" s="109"/>
      <c r="G95" s="90">
        <v>1</v>
      </c>
      <c r="H95" s="98" t="str">
        <f t="shared" si="5"/>
        <v>GPWM6</v>
      </c>
      <c r="I95" s="93" t="str">
        <f t="shared" si="4"/>
        <v>GPWM6_GPWMH60</v>
      </c>
    </row>
    <row r="96" spans="2:9">
      <c r="B96" s="181"/>
      <c r="C96" s="96" t="s">
        <v>1052</v>
      </c>
      <c r="D96" s="96" t="s">
        <v>531</v>
      </c>
      <c r="E96" s="97"/>
      <c r="G96" s="90">
        <v>1</v>
      </c>
      <c r="H96" s="98" t="str">
        <f t="shared" si="5"/>
        <v>GPWM6</v>
      </c>
      <c r="I96" s="93" t="str">
        <f t="shared" si="4"/>
        <v>GPWM6_GPWM61</v>
      </c>
    </row>
    <row r="97" spans="2:9">
      <c r="B97" s="181"/>
      <c r="C97" s="96" t="s">
        <v>1052</v>
      </c>
      <c r="D97" s="128" t="s">
        <v>1708</v>
      </c>
      <c r="E97" s="109"/>
      <c r="G97" s="90">
        <v>1</v>
      </c>
      <c r="H97" s="98" t="str">
        <f t="shared" si="5"/>
        <v>GPWM6</v>
      </c>
      <c r="I97" s="93" t="str">
        <f t="shared" si="4"/>
        <v>GPWM6_GPWMH61</v>
      </c>
    </row>
    <row r="98" spans="2:9">
      <c r="B98" s="181"/>
      <c r="C98" s="96" t="s">
        <v>920</v>
      </c>
      <c r="D98" s="96" t="s">
        <v>532</v>
      </c>
      <c r="E98" s="97"/>
      <c r="G98" s="90">
        <v>1</v>
      </c>
      <c r="H98" s="98" t="str">
        <f t="shared" si="5"/>
        <v>GPWM7</v>
      </c>
      <c r="I98" s="93" t="str">
        <f t="shared" si="4"/>
        <v>GPWM7_GPWM70</v>
      </c>
    </row>
    <row r="99" spans="2:9">
      <c r="B99" s="181"/>
      <c r="C99" s="96" t="s">
        <v>920</v>
      </c>
      <c r="D99" s="128" t="s">
        <v>1709</v>
      </c>
      <c r="E99" s="109"/>
      <c r="G99" s="90">
        <v>1</v>
      </c>
      <c r="H99" s="98" t="str">
        <f t="shared" si="5"/>
        <v>GPWM7</v>
      </c>
      <c r="I99" s="93" t="str">
        <f t="shared" si="4"/>
        <v>GPWM7_GPWMH70</v>
      </c>
    </row>
    <row r="100" spans="2:9">
      <c r="B100" s="181"/>
      <c r="C100" s="96" t="s">
        <v>920</v>
      </c>
      <c r="D100" s="96" t="s">
        <v>533</v>
      </c>
      <c r="E100" s="97"/>
      <c r="G100" s="90">
        <v>1</v>
      </c>
      <c r="H100" s="98" t="str">
        <f t="shared" si="5"/>
        <v>GPWM7</v>
      </c>
      <c r="I100" s="93" t="str">
        <f t="shared" si="4"/>
        <v>GPWM7_GPWM71</v>
      </c>
    </row>
    <row r="101" spans="2:9">
      <c r="B101" s="181"/>
      <c r="C101" s="96" t="s">
        <v>920</v>
      </c>
      <c r="D101" s="128" t="s">
        <v>1710</v>
      </c>
      <c r="E101" s="109"/>
      <c r="G101" s="90">
        <v>1</v>
      </c>
      <c r="H101" s="98" t="str">
        <f t="shared" si="5"/>
        <v>GPWM7</v>
      </c>
      <c r="I101" s="93" t="str">
        <f t="shared" si="4"/>
        <v>GPWM7_GPWMH71</v>
      </c>
    </row>
    <row r="102" spans="2:9">
      <c r="B102" s="181"/>
      <c r="C102" s="96" t="s">
        <v>921</v>
      </c>
      <c r="D102" s="96" t="s">
        <v>536</v>
      </c>
      <c r="E102" s="97"/>
      <c r="G102" s="90">
        <v>1</v>
      </c>
      <c r="H102" s="98" t="str">
        <f t="shared" si="5"/>
        <v>GPWM8</v>
      </c>
      <c r="I102" s="93" t="str">
        <f t="shared" si="4"/>
        <v>GPWM8_GPWM80</v>
      </c>
    </row>
    <row r="103" spans="2:9">
      <c r="B103" s="181"/>
      <c r="C103" s="96" t="s">
        <v>921</v>
      </c>
      <c r="D103" s="128" t="s">
        <v>1711</v>
      </c>
      <c r="E103" s="109"/>
      <c r="G103" s="90">
        <v>1</v>
      </c>
      <c r="H103" s="98" t="str">
        <f t="shared" si="5"/>
        <v>GPWM8</v>
      </c>
      <c r="I103" s="93" t="str">
        <f t="shared" si="4"/>
        <v>GPWM8_GPWMH80</v>
      </c>
    </row>
    <row r="104" spans="2:9">
      <c r="B104" s="181"/>
      <c r="C104" s="96" t="s">
        <v>921</v>
      </c>
      <c r="D104" s="96" t="s">
        <v>537</v>
      </c>
      <c r="E104" s="97"/>
      <c r="G104" s="90">
        <v>1</v>
      </c>
      <c r="H104" s="98" t="str">
        <f t="shared" si="5"/>
        <v>GPWM8</v>
      </c>
      <c r="I104" s="93" t="str">
        <f t="shared" si="4"/>
        <v>GPWM8_GPWM81</v>
      </c>
    </row>
    <row r="105" spans="2:9">
      <c r="B105" s="181"/>
      <c r="C105" s="96" t="s">
        <v>921</v>
      </c>
      <c r="D105" s="128" t="s">
        <v>1712</v>
      </c>
      <c r="E105" s="109"/>
      <c r="G105" s="90">
        <v>1</v>
      </c>
      <c r="H105" s="98" t="str">
        <f t="shared" si="5"/>
        <v>GPWM8</v>
      </c>
      <c r="I105" s="93" t="str">
        <f t="shared" si="4"/>
        <v>GPWM8_GPWMH81</v>
      </c>
    </row>
    <row r="106" spans="2:9">
      <c r="B106" s="181"/>
      <c r="C106" s="96" t="s">
        <v>1053</v>
      </c>
      <c r="D106" s="96" t="s">
        <v>594</v>
      </c>
      <c r="E106" s="97"/>
      <c r="G106" s="90">
        <v>1</v>
      </c>
      <c r="H106" s="98" t="str">
        <f t="shared" si="2"/>
        <v>GPWM9</v>
      </c>
      <c r="I106" s="93" t="str">
        <f t="shared" si="3"/>
        <v>GPWM9_GPWM90</v>
      </c>
    </row>
    <row r="107" spans="2:9">
      <c r="B107" s="181"/>
      <c r="C107" s="96" t="s">
        <v>1053</v>
      </c>
      <c r="D107" s="96" t="s">
        <v>597</v>
      </c>
      <c r="E107" s="97"/>
      <c r="G107" s="90">
        <v>1</v>
      </c>
      <c r="H107" s="98" t="str">
        <f t="shared" si="2"/>
        <v>GPWM9</v>
      </c>
      <c r="I107" s="93" t="str">
        <f t="shared" si="3"/>
        <v>GPWM9_GPWM91</v>
      </c>
    </row>
    <row r="108" spans="2:9">
      <c r="B108" s="181"/>
      <c r="C108" s="96" t="s">
        <v>1054</v>
      </c>
      <c r="D108" s="96" t="s">
        <v>600</v>
      </c>
      <c r="E108" s="97"/>
      <c r="G108" s="90">
        <v>1</v>
      </c>
      <c r="H108" s="98" t="str">
        <f t="shared" si="2"/>
        <v>GPWMA</v>
      </c>
      <c r="I108" s="93" t="str">
        <f t="shared" si="3"/>
        <v>GPWMA_GPWMA0</v>
      </c>
    </row>
    <row r="109" spans="2:9">
      <c r="B109" s="181"/>
      <c r="C109" s="96" t="s">
        <v>1054</v>
      </c>
      <c r="D109" s="96" t="s">
        <v>603</v>
      </c>
      <c r="E109" s="97"/>
      <c r="G109" s="90">
        <v>1</v>
      </c>
      <c r="H109" s="98" t="str">
        <f t="shared" si="2"/>
        <v>GPWMA</v>
      </c>
      <c r="I109" s="93" t="str">
        <f t="shared" si="3"/>
        <v>GPWMA_GPWMA1</v>
      </c>
    </row>
    <row r="110" spans="2:9">
      <c r="B110" s="181"/>
      <c r="C110" s="96" t="s">
        <v>1055</v>
      </c>
      <c r="D110" s="96" t="s">
        <v>605</v>
      </c>
      <c r="E110" s="97"/>
      <c r="G110" s="90">
        <v>1</v>
      </c>
      <c r="H110" s="98" t="str">
        <f t="shared" si="2"/>
        <v>GPWMB</v>
      </c>
      <c r="I110" s="93" t="str">
        <f t="shared" si="3"/>
        <v>GPWMB_GPWMB0</v>
      </c>
    </row>
    <row r="111" spans="2:9">
      <c r="B111" s="183"/>
      <c r="C111" s="96" t="s">
        <v>1055</v>
      </c>
      <c r="D111" s="96" t="s">
        <v>606</v>
      </c>
      <c r="E111" s="97"/>
      <c r="G111" s="90">
        <v>1</v>
      </c>
      <c r="H111" s="98" t="str">
        <f t="shared" si="2"/>
        <v>GPWMB</v>
      </c>
      <c r="I111" s="93" t="str">
        <f t="shared" si="3"/>
        <v>GPWMB_GPWMB1</v>
      </c>
    </row>
    <row r="112" spans="2:9">
      <c r="B112" s="180" t="s">
        <v>1056</v>
      </c>
      <c r="C112" s="96" t="s">
        <v>1045</v>
      </c>
      <c r="D112" s="96" t="s">
        <v>1057</v>
      </c>
      <c r="E112" s="97"/>
      <c r="G112" s="90">
        <v>1</v>
      </c>
      <c r="H112" s="98" t="str">
        <f t="shared" si="2"/>
        <v>GPWM0</v>
      </c>
      <c r="I112" s="93" t="str">
        <f t="shared" si="3"/>
        <v>GPWM0_GPWMST0</v>
      </c>
    </row>
    <row r="113" spans="2:10">
      <c r="B113" s="181"/>
      <c r="C113" s="96" t="s">
        <v>1047</v>
      </c>
      <c r="D113" s="96" t="s">
        <v>585</v>
      </c>
      <c r="E113" s="97"/>
      <c r="G113" s="90">
        <v>1</v>
      </c>
      <c r="H113" s="98" t="str">
        <f t="shared" si="2"/>
        <v>GPWM1</v>
      </c>
      <c r="I113" s="93" t="str">
        <f t="shared" si="3"/>
        <v>GPWM1_GPWMST1</v>
      </c>
    </row>
    <row r="114" spans="2:10">
      <c r="B114" s="181"/>
      <c r="C114" s="96" t="s">
        <v>1048</v>
      </c>
      <c r="D114" s="96" t="s">
        <v>590</v>
      </c>
      <c r="E114" s="97"/>
      <c r="G114" s="90">
        <v>1</v>
      </c>
      <c r="H114" s="98" t="str">
        <f t="shared" si="2"/>
        <v>GPWM2</v>
      </c>
      <c r="I114" s="93" t="str">
        <f t="shared" si="3"/>
        <v>GPWM2_GPWMST2</v>
      </c>
    </row>
    <row r="115" spans="2:10">
      <c r="B115" s="181"/>
      <c r="C115" s="96" t="s">
        <v>1049</v>
      </c>
      <c r="D115" s="96" t="s">
        <v>670</v>
      </c>
      <c r="E115" s="97"/>
      <c r="G115" s="90">
        <v>1</v>
      </c>
      <c r="H115" s="98" t="str">
        <f t="shared" si="2"/>
        <v>GPWM3</v>
      </c>
      <c r="I115" s="93" t="str">
        <f t="shared" si="3"/>
        <v>GPWM3_GPWMST3</v>
      </c>
    </row>
    <row r="116" spans="2:10">
      <c r="B116" s="181"/>
      <c r="C116" s="96" t="s">
        <v>1050</v>
      </c>
      <c r="D116" s="96" t="s">
        <v>673</v>
      </c>
      <c r="E116" s="97"/>
      <c r="G116" s="90">
        <v>1</v>
      </c>
      <c r="H116" s="98" t="str">
        <f t="shared" si="2"/>
        <v>GPWM4</v>
      </c>
      <c r="I116" s="93" t="str">
        <f t="shared" si="3"/>
        <v>GPWM4_GPWMST4</v>
      </c>
    </row>
    <row r="117" spans="2:10">
      <c r="B117" s="181"/>
      <c r="C117" s="96" t="s">
        <v>1051</v>
      </c>
      <c r="D117" s="96" t="s">
        <v>504</v>
      </c>
      <c r="E117" s="97"/>
      <c r="G117" s="90">
        <v>1</v>
      </c>
      <c r="H117" s="98" t="str">
        <f t="shared" si="2"/>
        <v>GPWM5</v>
      </c>
      <c r="I117" s="93" t="str">
        <f t="shared" si="3"/>
        <v>GPWM5_GPWMST5</v>
      </c>
    </row>
    <row r="118" spans="2:10">
      <c r="B118" s="181"/>
      <c r="C118" s="96" t="s">
        <v>1052</v>
      </c>
      <c r="D118" s="96" t="s">
        <v>507</v>
      </c>
      <c r="E118" s="97"/>
      <c r="G118" s="90">
        <v>1</v>
      </c>
      <c r="H118" s="98" t="str">
        <f t="shared" si="2"/>
        <v>GPWM6</v>
      </c>
      <c r="I118" s="93" t="str">
        <f t="shared" si="3"/>
        <v>GPWM6_GPWMST6</v>
      </c>
    </row>
    <row r="119" spans="2:10">
      <c r="B119" s="181"/>
      <c r="C119" s="96" t="s">
        <v>920</v>
      </c>
      <c r="D119" s="96" t="s">
        <v>511</v>
      </c>
      <c r="E119" s="97"/>
      <c r="G119" s="90">
        <v>1</v>
      </c>
      <c r="H119" s="98" t="str">
        <f t="shared" si="2"/>
        <v>GPWM7</v>
      </c>
      <c r="I119" s="93" t="str">
        <f t="shared" si="3"/>
        <v>GPWM7_GPWMST7</v>
      </c>
    </row>
    <row r="120" spans="2:10">
      <c r="B120" s="181"/>
      <c r="C120" s="96" t="s">
        <v>921</v>
      </c>
      <c r="D120" s="96" t="s">
        <v>515</v>
      </c>
      <c r="E120" s="97"/>
      <c r="G120" s="90">
        <v>1</v>
      </c>
      <c r="H120" s="98" t="str">
        <f t="shared" si="2"/>
        <v>GPWM8</v>
      </c>
      <c r="I120" s="93" t="str">
        <f t="shared" si="3"/>
        <v>GPWM8_GPWMST8</v>
      </c>
    </row>
    <row r="121" spans="2:10">
      <c r="B121" s="181"/>
      <c r="C121" s="96" t="s">
        <v>1053</v>
      </c>
      <c r="D121" s="96" t="s">
        <v>581</v>
      </c>
      <c r="E121" s="97"/>
      <c r="G121" s="90">
        <v>1</v>
      </c>
      <c r="H121" s="98" t="str">
        <f t="shared" si="2"/>
        <v>GPWM9</v>
      </c>
      <c r="I121" s="93" t="str">
        <f t="shared" si="3"/>
        <v>GPWM9_GPWMST9</v>
      </c>
    </row>
    <row r="122" spans="2:10">
      <c r="B122" s="181"/>
      <c r="C122" s="96" t="s">
        <v>1054</v>
      </c>
      <c r="D122" s="96" t="s">
        <v>586</v>
      </c>
      <c r="E122" s="97"/>
      <c r="G122" s="90">
        <v>1</v>
      </c>
      <c r="H122" s="98" t="str">
        <f t="shared" si="2"/>
        <v>GPWMA</v>
      </c>
      <c r="I122" s="93" t="str">
        <f t="shared" si="3"/>
        <v>GPWMA_GPWMSTA</v>
      </c>
      <c r="J122" s="108" t="s">
        <v>1615</v>
      </c>
    </row>
    <row r="123" spans="2:10">
      <c r="B123" s="183"/>
      <c r="C123" s="96" t="s">
        <v>1055</v>
      </c>
      <c r="D123" s="96" t="s">
        <v>1058</v>
      </c>
      <c r="E123" s="97"/>
      <c r="G123" s="90">
        <v>1</v>
      </c>
      <c r="H123" s="98" t="str">
        <f t="shared" si="2"/>
        <v>GPWMB</v>
      </c>
      <c r="I123" s="93" t="str">
        <f t="shared" si="3"/>
        <v>GPWMB_GPWMSTB</v>
      </c>
      <c r="J123" s="108" t="s">
        <v>1614</v>
      </c>
    </row>
    <row r="124" spans="2:10">
      <c r="B124" s="180" t="s">
        <v>1059</v>
      </c>
      <c r="C124" s="96" t="s">
        <v>1060</v>
      </c>
      <c r="D124" s="158" t="s">
        <v>1061</v>
      </c>
      <c r="E124" s="129" t="s">
        <v>2138</v>
      </c>
      <c r="G124" s="90">
        <v>1</v>
      </c>
      <c r="H124" s="98" t="str">
        <f t="shared" si="2"/>
        <v>SPI0</v>
      </c>
      <c r="I124" s="93" t="str">
        <f t="shared" si="3"/>
        <v>SPI0_SBO</v>
      </c>
    </row>
    <row r="125" spans="2:10">
      <c r="B125" s="181"/>
      <c r="C125" s="96" t="s">
        <v>1060</v>
      </c>
      <c r="D125" s="96" t="s">
        <v>1062</v>
      </c>
      <c r="E125" s="103" t="s">
        <v>2138</v>
      </c>
      <c r="G125" s="90">
        <v>1</v>
      </c>
      <c r="H125" s="98" t="str">
        <f t="shared" si="2"/>
        <v>SPI0</v>
      </c>
      <c r="I125" s="93" t="str">
        <f t="shared" si="3"/>
        <v>SPI0_SBO</v>
      </c>
    </row>
    <row r="126" spans="2:10">
      <c r="B126" s="181"/>
      <c r="C126" s="96" t="s">
        <v>1060</v>
      </c>
      <c r="D126" s="96" t="s">
        <v>1063</v>
      </c>
      <c r="E126" s="103" t="s">
        <v>2139</v>
      </c>
      <c r="G126" s="90">
        <v>1</v>
      </c>
      <c r="H126" s="98" t="str">
        <f t="shared" si="2"/>
        <v>SPI0</v>
      </c>
      <c r="I126" s="93" t="str">
        <f t="shared" si="3"/>
        <v>SPI0_SBT</v>
      </c>
    </row>
    <row r="127" spans="2:10">
      <c r="B127" s="181"/>
      <c r="C127" s="96" t="s">
        <v>1060</v>
      </c>
      <c r="D127" s="96" t="s">
        <v>1064</v>
      </c>
      <c r="E127" s="103" t="s">
        <v>2139</v>
      </c>
      <c r="G127" s="90">
        <v>1</v>
      </c>
      <c r="H127" s="98" t="str">
        <f t="shared" si="2"/>
        <v>SPI0</v>
      </c>
      <c r="I127" s="93" t="str">
        <f t="shared" si="3"/>
        <v>SPI0_SBT</v>
      </c>
    </row>
    <row r="128" spans="2:10">
      <c r="B128" s="181"/>
      <c r="C128" s="96" t="s">
        <v>1060</v>
      </c>
      <c r="D128" s="158" t="s">
        <v>2191</v>
      </c>
      <c r="E128" s="109" t="s">
        <v>2141</v>
      </c>
      <c r="G128" s="90">
        <v>1</v>
      </c>
      <c r="H128" s="98" t="str">
        <f t="shared" si="2"/>
        <v>SPI0</v>
      </c>
      <c r="I128" s="93" t="str">
        <f t="shared" si="3"/>
        <v>SPI0_SBI</v>
      </c>
    </row>
    <row r="129" spans="2:9">
      <c r="B129" s="181"/>
      <c r="C129" s="96" t="s">
        <v>1065</v>
      </c>
      <c r="D129" s="96" t="s">
        <v>954</v>
      </c>
      <c r="E129" s="103" t="s">
        <v>2138</v>
      </c>
      <c r="G129" s="90">
        <v>1</v>
      </c>
      <c r="H129" s="98" t="str">
        <f t="shared" si="2"/>
        <v>SPI1</v>
      </c>
      <c r="I129" s="93" t="str">
        <f t="shared" si="3"/>
        <v>SPI1_SBO</v>
      </c>
    </row>
    <row r="130" spans="2:9">
      <c r="B130" s="181"/>
      <c r="C130" s="96" t="s">
        <v>1065</v>
      </c>
      <c r="D130" s="96" t="s">
        <v>969</v>
      </c>
      <c r="E130" s="103" t="s">
        <v>2138</v>
      </c>
      <c r="G130" s="90">
        <v>1</v>
      </c>
      <c r="H130" s="98" t="str">
        <f t="shared" si="2"/>
        <v>SPI1</v>
      </c>
      <c r="I130" s="93" t="str">
        <f t="shared" si="3"/>
        <v>SPI1_SBO</v>
      </c>
    </row>
    <row r="131" spans="2:9">
      <c r="B131" s="181"/>
      <c r="C131" s="96" t="s">
        <v>1065</v>
      </c>
      <c r="D131" s="96" t="s">
        <v>640</v>
      </c>
      <c r="E131" s="103" t="s">
        <v>2139</v>
      </c>
      <c r="G131" s="90">
        <v>1</v>
      </c>
      <c r="H131" s="98" t="str">
        <f t="shared" si="2"/>
        <v>SPI1</v>
      </c>
      <c r="I131" s="93" t="str">
        <f t="shared" si="3"/>
        <v>SPI1_SBT</v>
      </c>
    </row>
    <row r="132" spans="2:9">
      <c r="B132" s="181"/>
      <c r="C132" s="96" t="s">
        <v>1065</v>
      </c>
      <c r="D132" s="96" t="s">
        <v>638</v>
      </c>
      <c r="E132" s="103" t="s">
        <v>2139</v>
      </c>
      <c r="G132" s="90">
        <v>1</v>
      </c>
      <c r="H132" s="98" t="str">
        <f t="shared" si="2"/>
        <v>SPI1</v>
      </c>
      <c r="I132" s="93" t="str">
        <f t="shared" si="3"/>
        <v>SPI1_SBT</v>
      </c>
    </row>
    <row r="133" spans="2:9">
      <c r="B133" s="181"/>
      <c r="C133" s="96" t="s">
        <v>1065</v>
      </c>
      <c r="D133" s="158" t="s">
        <v>2190</v>
      </c>
      <c r="E133" s="109" t="s">
        <v>2141</v>
      </c>
      <c r="G133" s="90">
        <v>1</v>
      </c>
      <c r="H133" s="98" t="str">
        <f t="shared" si="2"/>
        <v>SPI1</v>
      </c>
      <c r="I133" s="93" t="str">
        <f t="shared" si="3"/>
        <v>SPI1_SBI</v>
      </c>
    </row>
    <row r="134" spans="2:9">
      <c r="B134" s="181"/>
      <c r="C134" s="96" t="s">
        <v>1066</v>
      </c>
      <c r="D134" s="96" t="s">
        <v>958</v>
      </c>
      <c r="E134" s="103" t="s">
        <v>2138</v>
      </c>
      <c r="G134" s="90">
        <v>1</v>
      </c>
      <c r="H134" s="98" t="str">
        <f t="shared" si="2"/>
        <v>SPI2</v>
      </c>
      <c r="I134" s="93" t="str">
        <f t="shared" si="3"/>
        <v>SPI2_SBO</v>
      </c>
    </row>
    <row r="135" spans="2:9">
      <c r="B135" s="181"/>
      <c r="C135" s="96" t="s">
        <v>1066</v>
      </c>
      <c r="D135" s="96" t="s">
        <v>972</v>
      </c>
      <c r="E135" s="103" t="s">
        <v>2138</v>
      </c>
      <c r="G135" s="90">
        <v>1</v>
      </c>
      <c r="H135" s="98" t="str">
        <f t="shared" si="2"/>
        <v>SPI2</v>
      </c>
      <c r="I135" s="93" t="str">
        <f t="shared" si="3"/>
        <v>SPI2_SBO</v>
      </c>
    </row>
    <row r="136" spans="2:9">
      <c r="B136" s="181"/>
      <c r="C136" s="96" t="s">
        <v>1066</v>
      </c>
      <c r="D136" s="96" t="s">
        <v>645</v>
      </c>
      <c r="E136" s="103" t="s">
        <v>2139</v>
      </c>
      <c r="G136" s="90">
        <v>1</v>
      </c>
      <c r="H136" s="98" t="str">
        <f t="shared" si="2"/>
        <v>SPI2</v>
      </c>
      <c r="I136" s="93" t="str">
        <f t="shared" si="3"/>
        <v>SPI2_SBT</v>
      </c>
    </row>
    <row r="137" spans="2:9">
      <c r="B137" s="181"/>
      <c r="C137" s="96" t="s">
        <v>1066</v>
      </c>
      <c r="D137" s="96" t="s">
        <v>643</v>
      </c>
      <c r="E137" s="103" t="s">
        <v>2139</v>
      </c>
      <c r="G137" s="90">
        <v>1</v>
      </c>
      <c r="H137" s="98" t="str">
        <f t="shared" si="2"/>
        <v>SPI2</v>
      </c>
      <c r="I137" s="93" t="str">
        <f t="shared" si="3"/>
        <v>SPI2_SBT</v>
      </c>
    </row>
    <row r="138" spans="2:9">
      <c r="B138" s="181"/>
      <c r="C138" s="96" t="s">
        <v>1066</v>
      </c>
      <c r="D138" s="96" t="s">
        <v>960</v>
      </c>
      <c r="E138" s="109" t="s">
        <v>2141</v>
      </c>
      <c r="G138" s="90">
        <v>1</v>
      </c>
      <c r="H138" s="98" t="str">
        <f t="shared" si="2"/>
        <v>SPI2</v>
      </c>
      <c r="I138" s="93" t="str">
        <f t="shared" si="3"/>
        <v>SPI2_SBI</v>
      </c>
    </row>
    <row r="139" spans="2:9">
      <c r="B139" s="181"/>
      <c r="C139" s="96" t="s">
        <v>1067</v>
      </c>
      <c r="D139" s="158" t="s">
        <v>2189</v>
      </c>
      <c r="E139" s="109" t="s">
        <v>2140</v>
      </c>
      <c r="G139" s="90">
        <v>1</v>
      </c>
      <c r="H139" s="98" t="str">
        <f t="shared" si="2"/>
        <v>SPI3</v>
      </c>
      <c r="I139" s="93" t="str">
        <f t="shared" si="3"/>
        <v>SPI3_SBCS</v>
      </c>
    </row>
    <row r="140" spans="2:9">
      <c r="B140" s="181"/>
      <c r="C140" s="96" t="s">
        <v>1067</v>
      </c>
      <c r="D140" s="96" t="s">
        <v>963</v>
      </c>
      <c r="E140" s="103" t="s">
        <v>2138</v>
      </c>
      <c r="G140" s="90">
        <v>1</v>
      </c>
      <c r="H140" s="98" t="str">
        <f t="shared" si="2"/>
        <v>SPI3</v>
      </c>
      <c r="I140" s="93" t="str">
        <f t="shared" si="3"/>
        <v>SPI3_SBO</v>
      </c>
    </row>
    <row r="141" spans="2:9">
      <c r="B141" s="181"/>
      <c r="C141" s="96" t="s">
        <v>1067</v>
      </c>
      <c r="D141" s="96" t="s">
        <v>981</v>
      </c>
      <c r="E141" s="103" t="s">
        <v>2138</v>
      </c>
      <c r="G141" s="90">
        <v>1</v>
      </c>
      <c r="H141" s="98" t="str">
        <f t="shared" si="2"/>
        <v>SPI3</v>
      </c>
      <c r="I141" s="93" t="str">
        <f t="shared" si="3"/>
        <v>SPI3_SBO</v>
      </c>
    </row>
    <row r="142" spans="2:9">
      <c r="B142" s="181"/>
      <c r="C142" s="96" t="s">
        <v>1067</v>
      </c>
      <c r="D142" s="96" t="s">
        <v>715</v>
      </c>
      <c r="E142" s="103" t="s">
        <v>2139</v>
      </c>
      <c r="G142" s="90">
        <v>1</v>
      </c>
      <c r="H142" s="98" t="str">
        <f t="shared" si="2"/>
        <v>SPI3</v>
      </c>
      <c r="I142" s="93" t="str">
        <f t="shared" si="3"/>
        <v>SPI3_SBT</v>
      </c>
    </row>
    <row r="143" spans="2:9">
      <c r="B143" s="181"/>
      <c r="C143" s="96" t="s">
        <v>1067</v>
      </c>
      <c r="D143" s="96" t="s">
        <v>713</v>
      </c>
      <c r="E143" s="103" t="s">
        <v>2139</v>
      </c>
      <c r="G143" s="90">
        <v>1</v>
      </c>
      <c r="H143" s="98" t="str">
        <f t="shared" si="2"/>
        <v>SPI3</v>
      </c>
      <c r="I143" s="93" t="str">
        <f t="shared" si="3"/>
        <v>SPI3_SBT</v>
      </c>
    </row>
    <row r="144" spans="2:9">
      <c r="B144" s="181"/>
      <c r="C144" s="96" t="s">
        <v>1067</v>
      </c>
      <c r="D144" s="96" t="s">
        <v>965</v>
      </c>
      <c r="E144" s="109" t="s">
        <v>2141</v>
      </c>
      <c r="G144" s="90">
        <v>1</v>
      </c>
      <c r="H144" s="98" t="str">
        <f t="shared" si="2"/>
        <v>SPI3</v>
      </c>
      <c r="I144" s="93" t="str">
        <f t="shared" si="3"/>
        <v>SPI3_SBI</v>
      </c>
    </row>
    <row r="145" spans="2:9">
      <c r="B145" s="181"/>
      <c r="C145" s="96" t="s">
        <v>1068</v>
      </c>
      <c r="D145" s="96" t="s">
        <v>1069</v>
      </c>
      <c r="E145" s="103" t="s">
        <v>2140</v>
      </c>
      <c r="G145" s="90">
        <v>1</v>
      </c>
      <c r="H145" s="98" t="str">
        <f t="shared" si="2"/>
        <v>SPI4</v>
      </c>
      <c r="I145" s="93" t="str">
        <f t="shared" si="3"/>
        <v>SPI4_SBCS</v>
      </c>
    </row>
    <row r="146" spans="2:9">
      <c r="B146" s="181"/>
      <c r="C146" s="96" t="s">
        <v>1068</v>
      </c>
      <c r="D146" s="96" t="s">
        <v>516</v>
      </c>
      <c r="E146" s="103" t="s">
        <v>2140</v>
      </c>
      <c r="G146" s="90">
        <v>1</v>
      </c>
      <c r="H146" s="98" t="str">
        <f t="shared" si="2"/>
        <v>SPI4</v>
      </c>
      <c r="I146" s="93" t="str">
        <f t="shared" si="3"/>
        <v>SPI4_SBCS</v>
      </c>
    </row>
    <row r="147" spans="2:9">
      <c r="B147" s="181"/>
      <c r="C147" s="96" t="s">
        <v>1068</v>
      </c>
      <c r="D147" s="96" t="s">
        <v>979</v>
      </c>
      <c r="E147" s="103" t="s">
        <v>2138</v>
      </c>
      <c r="G147" s="90">
        <v>1</v>
      </c>
      <c r="H147" s="98" t="str">
        <f t="shared" si="2"/>
        <v>SPI4</v>
      </c>
      <c r="I147" s="93" t="str">
        <f t="shared" si="3"/>
        <v>SPI4_SBO</v>
      </c>
    </row>
    <row r="148" spans="2:9">
      <c r="B148" s="181"/>
      <c r="C148" s="96" t="s">
        <v>1068</v>
      </c>
      <c r="D148" s="96" t="s">
        <v>992</v>
      </c>
      <c r="E148" s="103" t="s">
        <v>2138</v>
      </c>
      <c r="G148" s="90">
        <v>1</v>
      </c>
      <c r="H148" s="98" t="str">
        <f t="shared" si="2"/>
        <v>SPI4</v>
      </c>
      <c r="I148" s="93" t="str">
        <f t="shared" si="3"/>
        <v>SPI4_SBO</v>
      </c>
    </row>
    <row r="149" spans="2:9">
      <c r="B149" s="181"/>
      <c r="C149" s="96" t="s">
        <v>1068</v>
      </c>
      <c r="D149" s="96" t="s">
        <v>985</v>
      </c>
      <c r="E149" s="103" t="s">
        <v>2138</v>
      </c>
      <c r="G149" s="90">
        <v>1</v>
      </c>
      <c r="H149" s="98" t="str">
        <f t="shared" si="2"/>
        <v>SPI4</v>
      </c>
      <c r="I149" s="93" t="str">
        <f t="shared" si="3"/>
        <v>SPI4_SBO</v>
      </c>
    </row>
    <row r="150" spans="2:9">
      <c r="B150" s="181"/>
      <c r="C150" s="96" t="s">
        <v>1068</v>
      </c>
      <c r="D150" s="96" t="s">
        <v>995</v>
      </c>
      <c r="E150" s="103" t="s">
        <v>2138</v>
      </c>
      <c r="G150" s="90">
        <v>1</v>
      </c>
      <c r="H150" s="98" t="str">
        <f t="shared" si="2"/>
        <v>SPI4</v>
      </c>
      <c r="I150" s="93" t="str">
        <f t="shared" si="3"/>
        <v>SPI4_SBO</v>
      </c>
    </row>
    <row r="151" spans="2:9">
      <c r="B151" s="181"/>
      <c r="C151" s="96" t="s">
        <v>1068</v>
      </c>
      <c r="D151" s="96" t="s">
        <v>706</v>
      </c>
      <c r="E151" s="103" t="s">
        <v>2139</v>
      </c>
      <c r="G151" s="90">
        <v>1</v>
      </c>
      <c r="H151" s="98" t="str">
        <f t="shared" ref="H151:H214" si="6">C151</f>
        <v>SPI4</v>
      </c>
      <c r="I151" s="93" t="str">
        <f t="shared" ref="I151:I214" si="7">IF(G151=1,C151&amp;"_"&amp;IF(E151&lt;&gt;"",E151,D151),IF(E151&lt;&gt;"",E151,D151))</f>
        <v>SPI4_SBT</v>
      </c>
    </row>
    <row r="152" spans="2:9">
      <c r="B152" s="181"/>
      <c r="C152" s="96" t="s">
        <v>1068</v>
      </c>
      <c r="D152" s="96" t="s">
        <v>702</v>
      </c>
      <c r="E152" s="103" t="s">
        <v>2139</v>
      </c>
      <c r="G152" s="90">
        <v>1</v>
      </c>
      <c r="H152" s="98" t="str">
        <f t="shared" si="6"/>
        <v>SPI4</v>
      </c>
      <c r="I152" s="93" t="str">
        <f t="shared" si="7"/>
        <v>SPI4_SBT</v>
      </c>
    </row>
    <row r="153" spans="2:9">
      <c r="B153" s="181"/>
      <c r="C153" s="96" t="s">
        <v>1068</v>
      </c>
      <c r="D153" s="96" t="s">
        <v>512</v>
      </c>
      <c r="E153" s="103" t="s">
        <v>2139</v>
      </c>
      <c r="G153" s="90">
        <v>1</v>
      </c>
      <c r="H153" s="98" t="str">
        <f t="shared" si="6"/>
        <v>SPI4</v>
      </c>
      <c r="I153" s="93" t="str">
        <f t="shared" si="7"/>
        <v>SPI4_SBT</v>
      </c>
    </row>
    <row r="154" spans="2:9">
      <c r="B154" s="181"/>
      <c r="C154" s="96" t="s">
        <v>1068</v>
      </c>
      <c r="D154" s="96" t="s">
        <v>508</v>
      </c>
      <c r="E154" s="103" t="s">
        <v>2139</v>
      </c>
      <c r="G154" s="90">
        <v>1</v>
      </c>
      <c r="H154" s="98" t="str">
        <f t="shared" si="6"/>
        <v>SPI4</v>
      </c>
      <c r="I154" s="93" t="str">
        <f t="shared" si="7"/>
        <v>SPI4_SBT</v>
      </c>
    </row>
    <row r="155" spans="2:9">
      <c r="B155" s="181"/>
      <c r="C155" s="96" t="s">
        <v>1068</v>
      </c>
      <c r="D155" s="96" t="s">
        <v>977</v>
      </c>
      <c r="E155" s="103" t="s">
        <v>2141</v>
      </c>
      <c r="G155" s="90">
        <v>1</v>
      </c>
      <c r="H155" s="98" t="str">
        <f t="shared" si="6"/>
        <v>SPI4</v>
      </c>
      <c r="I155" s="93" t="str">
        <f t="shared" si="7"/>
        <v>SPI4_SBI</v>
      </c>
    </row>
    <row r="156" spans="2:9">
      <c r="B156" s="181"/>
      <c r="C156" s="96" t="s">
        <v>1068</v>
      </c>
      <c r="D156" s="96" t="s">
        <v>983</v>
      </c>
      <c r="E156" s="103" t="s">
        <v>2141</v>
      </c>
      <c r="G156" s="90">
        <v>1</v>
      </c>
      <c r="H156" s="98" t="str">
        <f t="shared" si="6"/>
        <v>SPI4</v>
      </c>
      <c r="I156" s="93" t="str">
        <f t="shared" si="7"/>
        <v>SPI4_SBI</v>
      </c>
    </row>
    <row r="157" spans="2:9">
      <c r="B157" s="181"/>
      <c r="C157" s="96" t="s">
        <v>1070</v>
      </c>
      <c r="D157" s="96" t="s">
        <v>1071</v>
      </c>
      <c r="E157" s="103" t="s">
        <v>2138</v>
      </c>
      <c r="G157" s="90">
        <v>1</v>
      </c>
      <c r="H157" s="98" t="str">
        <f t="shared" si="6"/>
        <v>SPI5</v>
      </c>
      <c r="I157" s="93" t="str">
        <f t="shared" si="7"/>
        <v>SPI5_SBO</v>
      </c>
    </row>
    <row r="158" spans="2:9">
      <c r="B158" s="181"/>
      <c r="C158" s="96" t="s">
        <v>1070</v>
      </c>
      <c r="D158" s="96" t="s">
        <v>997</v>
      </c>
      <c r="E158" s="103" t="s">
        <v>2138</v>
      </c>
      <c r="G158" s="90">
        <v>1</v>
      </c>
      <c r="H158" s="98" t="str">
        <f t="shared" si="6"/>
        <v>SPI5</v>
      </c>
      <c r="I158" s="93" t="str">
        <f t="shared" si="7"/>
        <v>SPI5_SBO</v>
      </c>
    </row>
    <row r="159" spans="2:9">
      <c r="B159" s="181"/>
      <c r="C159" s="96" t="s">
        <v>1070</v>
      </c>
      <c r="D159" s="96" t="s">
        <v>654</v>
      </c>
      <c r="E159" s="103" t="s">
        <v>2139</v>
      </c>
      <c r="G159" s="90">
        <v>1</v>
      </c>
      <c r="H159" s="98" t="str">
        <f t="shared" si="6"/>
        <v>SPI5</v>
      </c>
      <c r="I159" s="93" t="str">
        <f t="shared" si="7"/>
        <v>SPI5_SBT</v>
      </c>
    </row>
    <row r="160" spans="2:9">
      <c r="B160" s="181"/>
      <c r="C160" s="96" t="s">
        <v>1070</v>
      </c>
      <c r="D160" s="96" t="s">
        <v>650</v>
      </c>
      <c r="E160" s="103" t="s">
        <v>2139</v>
      </c>
      <c r="G160" s="90">
        <v>1</v>
      </c>
      <c r="H160" s="98" t="str">
        <f t="shared" si="6"/>
        <v>SPI5</v>
      </c>
      <c r="I160" s="93" t="str">
        <f t="shared" si="7"/>
        <v>SPI5_SBT</v>
      </c>
    </row>
    <row r="161" spans="2:9">
      <c r="B161" s="181"/>
      <c r="C161" s="96" t="s">
        <v>1070</v>
      </c>
      <c r="D161" s="96" t="s">
        <v>988</v>
      </c>
      <c r="E161" s="109" t="s">
        <v>2141</v>
      </c>
      <c r="G161" s="90">
        <v>1</v>
      </c>
      <c r="H161" s="98" t="str">
        <f t="shared" si="6"/>
        <v>SPI5</v>
      </c>
      <c r="I161" s="93" t="str">
        <f t="shared" si="7"/>
        <v>SPI5_SBI</v>
      </c>
    </row>
    <row r="162" spans="2:9">
      <c r="B162" s="181"/>
      <c r="C162" s="96" t="s">
        <v>1072</v>
      </c>
      <c r="D162" s="96" t="s">
        <v>1073</v>
      </c>
      <c r="E162" s="103" t="s">
        <v>2138</v>
      </c>
      <c r="G162" s="90">
        <v>1</v>
      </c>
      <c r="H162" s="98" t="str">
        <f t="shared" si="6"/>
        <v>SPI6</v>
      </c>
      <c r="I162" s="93" t="str">
        <f t="shared" si="7"/>
        <v>SPI6_SBO</v>
      </c>
    </row>
    <row r="163" spans="2:9">
      <c r="B163" s="181"/>
      <c r="C163" s="96" t="s">
        <v>1072</v>
      </c>
      <c r="D163" s="96" t="s">
        <v>999</v>
      </c>
      <c r="E163" s="103" t="s">
        <v>2138</v>
      </c>
      <c r="G163" s="90">
        <v>1</v>
      </c>
      <c r="H163" s="98" t="str">
        <f t="shared" si="6"/>
        <v>SPI6</v>
      </c>
      <c r="I163" s="93" t="str">
        <f t="shared" si="7"/>
        <v>SPI6_SBO</v>
      </c>
    </row>
    <row r="164" spans="2:9">
      <c r="B164" s="181"/>
      <c r="C164" s="96" t="s">
        <v>1072</v>
      </c>
      <c r="D164" s="96" t="s">
        <v>665</v>
      </c>
      <c r="E164" s="103" t="s">
        <v>2139</v>
      </c>
      <c r="G164" s="90">
        <v>1</v>
      </c>
      <c r="H164" s="98" t="str">
        <f t="shared" si="6"/>
        <v>SPI6</v>
      </c>
      <c r="I164" s="93" t="str">
        <f t="shared" si="7"/>
        <v>SPI6_SBT</v>
      </c>
    </row>
    <row r="165" spans="2:9">
      <c r="B165" s="181"/>
      <c r="C165" s="96" t="s">
        <v>1072</v>
      </c>
      <c r="D165" s="96" t="s">
        <v>661</v>
      </c>
      <c r="E165" s="103" t="s">
        <v>2139</v>
      </c>
      <c r="G165" s="90">
        <v>1</v>
      </c>
      <c r="H165" s="98" t="str">
        <f t="shared" si="6"/>
        <v>SPI6</v>
      </c>
      <c r="I165" s="93" t="str">
        <f t="shared" si="7"/>
        <v>SPI6_SBT</v>
      </c>
    </row>
    <row r="166" spans="2:9">
      <c r="B166" s="181"/>
      <c r="C166" s="96" t="s">
        <v>1072</v>
      </c>
      <c r="D166" s="158" t="s">
        <v>2188</v>
      </c>
      <c r="E166" s="109" t="s">
        <v>2141</v>
      </c>
      <c r="G166" s="90">
        <v>1</v>
      </c>
      <c r="H166" s="98" t="str">
        <f t="shared" si="6"/>
        <v>SPI6</v>
      </c>
      <c r="I166" s="93" t="str">
        <f t="shared" si="7"/>
        <v>SPI6_SBI</v>
      </c>
    </row>
    <row r="167" spans="2:9">
      <c r="B167" s="181"/>
      <c r="C167" s="96" t="s">
        <v>1074</v>
      </c>
      <c r="D167" s="96" t="s">
        <v>710</v>
      </c>
      <c r="E167" s="103" t="s">
        <v>2140</v>
      </c>
      <c r="G167" s="90">
        <v>1</v>
      </c>
      <c r="H167" s="98" t="str">
        <f t="shared" si="6"/>
        <v>SPI7</v>
      </c>
      <c r="I167" s="93" t="str">
        <f t="shared" si="7"/>
        <v>SPI7_SBCS</v>
      </c>
    </row>
    <row r="168" spans="2:9">
      <c r="B168" s="181"/>
      <c r="C168" s="96" t="s">
        <v>1074</v>
      </c>
      <c r="D168" s="96" t="s">
        <v>517</v>
      </c>
      <c r="E168" s="103" t="s">
        <v>2140</v>
      </c>
      <c r="G168" s="90">
        <v>1</v>
      </c>
      <c r="H168" s="98" t="str">
        <f t="shared" si="6"/>
        <v>SPI7</v>
      </c>
      <c r="I168" s="93" t="str">
        <f t="shared" si="7"/>
        <v>SPI7_SBCS</v>
      </c>
    </row>
    <row r="169" spans="2:9">
      <c r="B169" s="181"/>
      <c r="C169" s="96" t="s">
        <v>1074</v>
      </c>
      <c r="D169" s="96" t="s">
        <v>1001</v>
      </c>
      <c r="E169" s="103" t="s">
        <v>2138</v>
      </c>
      <c r="G169" s="90">
        <v>1</v>
      </c>
      <c r="H169" s="98" t="str">
        <f t="shared" si="6"/>
        <v>SPI7</v>
      </c>
      <c r="I169" s="93" t="str">
        <f t="shared" si="7"/>
        <v>SPI7_SBO</v>
      </c>
    </row>
    <row r="170" spans="2:9">
      <c r="B170" s="181"/>
      <c r="C170" s="96" t="s">
        <v>1074</v>
      </c>
      <c r="D170" s="96" t="s">
        <v>1013</v>
      </c>
      <c r="E170" s="103" t="s">
        <v>2138</v>
      </c>
      <c r="G170" s="90">
        <v>1</v>
      </c>
      <c r="H170" s="98" t="str">
        <f t="shared" si="6"/>
        <v>SPI7</v>
      </c>
      <c r="I170" s="93" t="str">
        <f t="shared" si="7"/>
        <v>SPI7_SBO</v>
      </c>
    </row>
    <row r="171" spans="2:9">
      <c r="B171" s="181"/>
      <c r="C171" s="96" t="s">
        <v>1074</v>
      </c>
      <c r="D171" s="96" t="s">
        <v>1006</v>
      </c>
      <c r="E171" s="103" t="s">
        <v>2138</v>
      </c>
      <c r="G171" s="90">
        <v>1</v>
      </c>
      <c r="H171" s="98" t="str">
        <f t="shared" si="6"/>
        <v>SPI7</v>
      </c>
      <c r="I171" s="93" t="str">
        <f t="shared" si="7"/>
        <v>SPI7_SBO</v>
      </c>
    </row>
    <row r="172" spans="2:9">
      <c r="B172" s="181"/>
      <c r="C172" s="96" t="s">
        <v>1074</v>
      </c>
      <c r="D172" s="96" t="s">
        <v>1018</v>
      </c>
      <c r="E172" s="103" t="s">
        <v>2138</v>
      </c>
      <c r="G172" s="90">
        <v>1</v>
      </c>
      <c r="H172" s="98" t="str">
        <f t="shared" si="6"/>
        <v>SPI7</v>
      </c>
      <c r="I172" s="93" t="str">
        <f t="shared" si="7"/>
        <v>SPI7_SBO</v>
      </c>
    </row>
    <row r="173" spans="2:9">
      <c r="B173" s="181"/>
      <c r="C173" s="96" t="s">
        <v>1074</v>
      </c>
      <c r="D173" s="96" t="s">
        <v>1004</v>
      </c>
      <c r="E173" s="103" t="s">
        <v>2139</v>
      </c>
      <c r="G173" s="90">
        <v>1</v>
      </c>
      <c r="H173" s="98" t="str">
        <f t="shared" si="6"/>
        <v>SPI7</v>
      </c>
      <c r="I173" s="93" t="str">
        <f t="shared" si="7"/>
        <v>SPI7_SBT</v>
      </c>
    </row>
    <row r="174" spans="2:9">
      <c r="B174" s="181"/>
      <c r="C174" s="96" t="s">
        <v>1074</v>
      </c>
      <c r="D174" s="96" t="s">
        <v>1011</v>
      </c>
      <c r="E174" s="103" t="s">
        <v>2139</v>
      </c>
      <c r="G174" s="90">
        <v>1</v>
      </c>
      <c r="H174" s="98" t="str">
        <f t="shared" si="6"/>
        <v>SPI7</v>
      </c>
      <c r="I174" s="93" t="str">
        <f t="shared" si="7"/>
        <v>SPI7_SBT</v>
      </c>
    </row>
    <row r="175" spans="2:9">
      <c r="B175" s="181"/>
      <c r="C175" s="96" t="s">
        <v>1074</v>
      </c>
      <c r="D175" s="96" t="s">
        <v>1009</v>
      </c>
      <c r="E175" s="103" t="s">
        <v>2139</v>
      </c>
      <c r="G175" s="90">
        <v>1</v>
      </c>
      <c r="H175" s="98" t="str">
        <f t="shared" si="6"/>
        <v>SPI7</v>
      </c>
      <c r="I175" s="93" t="str">
        <f t="shared" si="7"/>
        <v>SPI7_SBT</v>
      </c>
    </row>
    <row r="176" spans="2:9">
      <c r="B176" s="181"/>
      <c r="C176" s="96" t="s">
        <v>1074</v>
      </c>
      <c r="D176" s="96" t="s">
        <v>1016</v>
      </c>
      <c r="E176" s="103" t="s">
        <v>2139</v>
      </c>
      <c r="G176" s="90">
        <v>1</v>
      </c>
      <c r="H176" s="98" t="str">
        <f t="shared" si="6"/>
        <v>SPI7</v>
      </c>
      <c r="I176" s="93" t="str">
        <f t="shared" si="7"/>
        <v>SPI7_SBT</v>
      </c>
    </row>
    <row r="177" spans="2:9">
      <c r="B177" s="181"/>
      <c r="C177" s="96" t="s">
        <v>1074</v>
      </c>
      <c r="D177" s="130" t="s">
        <v>1783</v>
      </c>
      <c r="E177" s="103" t="s">
        <v>2141</v>
      </c>
      <c r="G177" s="90">
        <v>1</v>
      </c>
      <c r="H177" s="98" t="str">
        <f t="shared" si="6"/>
        <v>SPI7</v>
      </c>
      <c r="I177" s="93" t="str">
        <f t="shared" si="7"/>
        <v>SPI7_SBI</v>
      </c>
    </row>
    <row r="178" spans="2:9">
      <c r="B178" s="183"/>
      <c r="C178" s="96" t="s">
        <v>1074</v>
      </c>
      <c r="D178" s="130" t="s">
        <v>1782</v>
      </c>
      <c r="E178" s="103" t="s">
        <v>2141</v>
      </c>
      <c r="G178" s="90">
        <v>1</v>
      </c>
      <c r="H178" s="98" t="str">
        <f t="shared" si="6"/>
        <v>SPI7</v>
      </c>
      <c r="I178" s="93" t="str">
        <f t="shared" si="7"/>
        <v>SPI7_SBI</v>
      </c>
    </row>
    <row r="179" spans="2:9">
      <c r="B179" s="180" t="s">
        <v>967</v>
      </c>
      <c r="C179" s="96" t="s">
        <v>1075</v>
      </c>
      <c r="D179" s="96" t="s">
        <v>955</v>
      </c>
      <c r="E179" s="103" t="s">
        <v>2142</v>
      </c>
      <c r="G179" s="90">
        <v>1</v>
      </c>
      <c r="H179" s="98" t="str">
        <f t="shared" si="6"/>
        <v>UART1</v>
      </c>
      <c r="I179" s="93" t="str">
        <f t="shared" si="7"/>
        <v>UART1_TX</v>
      </c>
    </row>
    <row r="180" spans="2:9">
      <c r="B180" s="181"/>
      <c r="C180" s="96" t="s">
        <v>1075</v>
      </c>
      <c r="D180" s="96" t="s">
        <v>970</v>
      </c>
      <c r="E180" s="103" t="s">
        <v>2142</v>
      </c>
      <c r="G180" s="90">
        <v>1</v>
      </c>
      <c r="H180" s="98" t="str">
        <f t="shared" si="6"/>
        <v>UART1</v>
      </c>
      <c r="I180" s="93" t="str">
        <f t="shared" si="7"/>
        <v>UART1_TX</v>
      </c>
    </row>
    <row r="181" spans="2:9">
      <c r="B181" s="181"/>
      <c r="C181" s="96" t="s">
        <v>1075</v>
      </c>
      <c r="D181" s="96" t="s">
        <v>956</v>
      </c>
      <c r="E181" s="159" t="s">
        <v>2187</v>
      </c>
      <c r="G181" s="90">
        <v>1</v>
      </c>
      <c r="H181" s="98" t="str">
        <f t="shared" si="6"/>
        <v>UART1</v>
      </c>
      <c r="I181" s="93" t="str">
        <f t="shared" si="7"/>
        <v>UART1_RX</v>
      </c>
    </row>
    <row r="182" spans="2:9">
      <c r="B182" s="181"/>
      <c r="C182" s="96" t="s">
        <v>1076</v>
      </c>
      <c r="D182" s="96" t="s">
        <v>959</v>
      </c>
      <c r="E182" s="103" t="s">
        <v>2142</v>
      </c>
      <c r="G182" s="90">
        <v>1</v>
      </c>
      <c r="H182" s="98" t="str">
        <f t="shared" si="6"/>
        <v>UART2</v>
      </c>
      <c r="I182" s="93" t="str">
        <f t="shared" si="7"/>
        <v>UART2_TX</v>
      </c>
    </row>
    <row r="183" spans="2:9">
      <c r="B183" s="181"/>
      <c r="C183" s="96" t="s">
        <v>1076</v>
      </c>
      <c r="D183" s="96" t="s">
        <v>973</v>
      </c>
      <c r="E183" s="103" t="s">
        <v>2142</v>
      </c>
      <c r="G183" s="90">
        <v>1</v>
      </c>
      <c r="H183" s="98" t="str">
        <f t="shared" si="6"/>
        <v>UART2</v>
      </c>
      <c r="I183" s="93" t="str">
        <f t="shared" si="7"/>
        <v>UART2_TX</v>
      </c>
    </row>
    <row r="184" spans="2:9">
      <c r="B184" s="181"/>
      <c r="C184" s="96" t="s">
        <v>1076</v>
      </c>
      <c r="D184" s="96" t="s">
        <v>961</v>
      </c>
      <c r="E184" s="159" t="s">
        <v>2187</v>
      </c>
      <c r="G184" s="90">
        <v>1</v>
      </c>
      <c r="H184" s="98" t="str">
        <f t="shared" si="6"/>
        <v>UART2</v>
      </c>
      <c r="I184" s="93" t="str">
        <f t="shared" si="7"/>
        <v>UART2_RX</v>
      </c>
    </row>
    <row r="185" spans="2:9">
      <c r="B185" s="181"/>
      <c r="C185" s="96" t="s">
        <v>926</v>
      </c>
      <c r="D185" s="96" t="s">
        <v>964</v>
      </c>
      <c r="E185" s="103" t="s">
        <v>2142</v>
      </c>
      <c r="G185" s="90">
        <v>1</v>
      </c>
      <c r="H185" s="98" t="str">
        <f t="shared" si="6"/>
        <v>UART3</v>
      </c>
      <c r="I185" s="93" t="str">
        <f t="shared" si="7"/>
        <v>UART3_TX</v>
      </c>
    </row>
    <row r="186" spans="2:9">
      <c r="B186" s="181"/>
      <c r="C186" s="96" t="s">
        <v>926</v>
      </c>
      <c r="D186" s="96" t="s">
        <v>982</v>
      </c>
      <c r="E186" s="103" t="s">
        <v>2142</v>
      </c>
      <c r="G186" s="90">
        <v>1</v>
      </c>
      <c r="H186" s="98" t="str">
        <f t="shared" si="6"/>
        <v>UART3</v>
      </c>
      <c r="I186" s="93" t="str">
        <f t="shared" si="7"/>
        <v>UART3_TX</v>
      </c>
    </row>
    <row r="187" spans="2:9">
      <c r="B187" s="181"/>
      <c r="C187" s="96" t="s">
        <v>926</v>
      </c>
      <c r="D187" s="96" t="s">
        <v>966</v>
      </c>
      <c r="E187" s="159" t="s">
        <v>2187</v>
      </c>
      <c r="G187" s="90">
        <v>1</v>
      </c>
      <c r="H187" s="98" t="str">
        <f t="shared" si="6"/>
        <v>UART3</v>
      </c>
      <c r="I187" s="93" t="str">
        <f t="shared" si="7"/>
        <v>UART3_RX</v>
      </c>
    </row>
    <row r="188" spans="2:9">
      <c r="B188" s="181"/>
      <c r="C188" s="96" t="s">
        <v>1077</v>
      </c>
      <c r="D188" s="96" t="s">
        <v>980</v>
      </c>
      <c r="E188" s="103" t="s">
        <v>2142</v>
      </c>
      <c r="G188" s="90">
        <v>1</v>
      </c>
      <c r="H188" s="98" t="str">
        <f t="shared" si="6"/>
        <v>UART4</v>
      </c>
      <c r="I188" s="93" t="str">
        <f t="shared" si="7"/>
        <v>UART4_TX</v>
      </c>
    </row>
    <row r="189" spans="2:9">
      <c r="B189" s="181"/>
      <c r="C189" s="96" t="s">
        <v>1077</v>
      </c>
      <c r="D189" s="96" t="s">
        <v>993</v>
      </c>
      <c r="E189" s="103" t="s">
        <v>2142</v>
      </c>
      <c r="G189" s="90">
        <v>1</v>
      </c>
      <c r="H189" s="98" t="str">
        <f t="shared" si="6"/>
        <v>UART4</v>
      </c>
      <c r="I189" s="93" t="str">
        <f t="shared" si="7"/>
        <v>UART4_TX</v>
      </c>
    </row>
    <row r="190" spans="2:9">
      <c r="B190" s="181"/>
      <c r="C190" s="96" t="s">
        <v>1077</v>
      </c>
      <c r="D190" s="96" t="s">
        <v>986</v>
      </c>
      <c r="E190" s="103" t="s">
        <v>2142</v>
      </c>
      <c r="G190" s="90">
        <v>1</v>
      </c>
      <c r="H190" s="98" t="str">
        <f t="shared" si="6"/>
        <v>UART4</v>
      </c>
      <c r="I190" s="93" t="str">
        <f t="shared" si="7"/>
        <v>UART4_TX</v>
      </c>
    </row>
    <row r="191" spans="2:9">
      <c r="B191" s="181"/>
      <c r="C191" s="96" t="s">
        <v>1077</v>
      </c>
      <c r="D191" s="96" t="s">
        <v>996</v>
      </c>
      <c r="E191" s="103" t="s">
        <v>2142</v>
      </c>
      <c r="G191" s="90">
        <v>1</v>
      </c>
      <c r="H191" s="98" t="str">
        <f t="shared" si="6"/>
        <v>UART4</v>
      </c>
      <c r="I191" s="93" t="str">
        <f t="shared" si="7"/>
        <v>UART4_TX</v>
      </c>
    </row>
    <row r="192" spans="2:9">
      <c r="B192" s="181"/>
      <c r="C192" s="96" t="s">
        <v>1077</v>
      </c>
      <c r="D192" s="96" t="s">
        <v>978</v>
      </c>
      <c r="E192" s="103" t="s">
        <v>2143</v>
      </c>
      <c r="G192" s="90">
        <v>1</v>
      </c>
      <c r="H192" s="98" t="str">
        <f t="shared" si="6"/>
        <v>UART4</v>
      </c>
      <c r="I192" s="93" t="str">
        <f t="shared" si="7"/>
        <v>UART4_RX</v>
      </c>
    </row>
    <row r="193" spans="2:9">
      <c r="B193" s="181"/>
      <c r="C193" s="96" t="s">
        <v>1077</v>
      </c>
      <c r="D193" s="96" t="s">
        <v>984</v>
      </c>
      <c r="E193" s="103" t="s">
        <v>2143</v>
      </c>
      <c r="G193" s="90">
        <v>1</v>
      </c>
      <c r="H193" s="98" t="str">
        <f t="shared" si="6"/>
        <v>UART4</v>
      </c>
      <c r="I193" s="93" t="str">
        <f t="shared" si="7"/>
        <v>UART4_RX</v>
      </c>
    </row>
    <row r="194" spans="2:9">
      <c r="B194" s="181"/>
      <c r="C194" s="96" t="s">
        <v>1078</v>
      </c>
      <c r="D194" s="96" t="s">
        <v>987</v>
      </c>
      <c r="E194" s="103" t="s">
        <v>2142</v>
      </c>
      <c r="G194" s="90">
        <v>1</v>
      </c>
      <c r="H194" s="98" t="str">
        <f t="shared" si="6"/>
        <v>UART5</v>
      </c>
      <c r="I194" s="93" t="str">
        <f t="shared" si="7"/>
        <v>UART5_TX</v>
      </c>
    </row>
    <row r="195" spans="2:9">
      <c r="B195" s="181"/>
      <c r="C195" s="96" t="s">
        <v>1078</v>
      </c>
      <c r="D195" s="96" t="s">
        <v>998</v>
      </c>
      <c r="E195" s="103" t="s">
        <v>2142</v>
      </c>
      <c r="G195" s="90">
        <v>1</v>
      </c>
      <c r="H195" s="98" t="str">
        <f t="shared" si="6"/>
        <v>UART5</v>
      </c>
      <c r="I195" s="93" t="str">
        <f t="shared" si="7"/>
        <v>UART5_TX</v>
      </c>
    </row>
    <row r="196" spans="2:9">
      <c r="B196" s="181"/>
      <c r="C196" s="96" t="s">
        <v>1078</v>
      </c>
      <c r="D196" s="96" t="s">
        <v>989</v>
      </c>
      <c r="E196" s="159" t="s">
        <v>2187</v>
      </c>
      <c r="G196" s="90">
        <v>1</v>
      </c>
      <c r="H196" s="98" t="str">
        <f t="shared" si="6"/>
        <v>UART5</v>
      </c>
      <c r="I196" s="93" t="str">
        <f t="shared" si="7"/>
        <v>UART5_RX</v>
      </c>
    </row>
    <row r="197" spans="2:9">
      <c r="B197" s="181"/>
      <c r="C197" s="96" t="s">
        <v>1079</v>
      </c>
      <c r="D197" s="96" t="s">
        <v>990</v>
      </c>
      <c r="E197" s="103" t="s">
        <v>2142</v>
      </c>
      <c r="G197" s="90">
        <v>1</v>
      </c>
      <c r="H197" s="98" t="str">
        <f t="shared" si="6"/>
        <v>UART6</v>
      </c>
      <c r="I197" s="93" t="str">
        <f t="shared" si="7"/>
        <v>UART6_TX</v>
      </c>
    </row>
    <row r="198" spans="2:9">
      <c r="B198" s="181"/>
      <c r="C198" s="96" t="s">
        <v>1079</v>
      </c>
      <c r="D198" s="96" t="s">
        <v>1000</v>
      </c>
      <c r="E198" s="103" t="s">
        <v>2142</v>
      </c>
      <c r="G198" s="90">
        <v>1</v>
      </c>
      <c r="H198" s="98" t="str">
        <f t="shared" si="6"/>
        <v>UART6</v>
      </c>
      <c r="I198" s="93" t="str">
        <f t="shared" si="7"/>
        <v>UART6_TX</v>
      </c>
    </row>
    <row r="199" spans="2:9">
      <c r="B199" s="181"/>
      <c r="C199" s="96" t="s">
        <v>1079</v>
      </c>
      <c r="D199" s="96" t="s">
        <v>974</v>
      </c>
      <c r="E199" s="159" t="s">
        <v>2187</v>
      </c>
      <c r="G199" s="90">
        <v>1</v>
      </c>
      <c r="H199" s="98" t="str">
        <f t="shared" si="6"/>
        <v>UART6</v>
      </c>
      <c r="I199" s="93" t="str">
        <f t="shared" si="7"/>
        <v>UART6_RX</v>
      </c>
    </row>
    <row r="200" spans="2:9">
      <c r="B200" s="181"/>
      <c r="C200" s="96" t="s">
        <v>1080</v>
      </c>
      <c r="D200" s="96" t="s">
        <v>1002</v>
      </c>
      <c r="E200" s="103" t="s">
        <v>2142</v>
      </c>
      <c r="G200" s="90">
        <v>1</v>
      </c>
      <c r="H200" s="98" t="str">
        <f t="shared" si="6"/>
        <v>UART7</v>
      </c>
      <c r="I200" s="93" t="str">
        <f t="shared" si="7"/>
        <v>UART7_TX</v>
      </c>
    </row>
    <row r="201" spans="2:9">
      <c r="B201" s="181"/>
      <c r="C201" s="96" t="s">
        <v>1080</v>
      </c>
      <c r="D201" s="96" t="s">
        <v>1014</v>
      </c>
      <c r="E201" s="103" t="s">
        <v>2142</v>
      </c>
      <c r="G201" s="90">
        <v>1</v>
      </c>
      <c r="H201" s="98" t="str">
        <f t="shared" si="6"/>
        <v>UART7</v>
      </c>
      <c r="I201" s="93" t="str">
        <f t="shared" si="7"/>
        <v>UART7_TX</v>
      </c>
    </row>
    <row r="202" spans="2:9">
      <c r="B202" s="181"/>
      <c r="C202" s="96" t="s">
        <v>1080</v>
      </c>
      <c r="D202" s="96" t="s">
        <v>1007</v>
      </c>
      <c r="E202" s="103" t="s">
        <v>2142</v>
      </c>
      <c r="G202" s="90">
        <v>1</v>
      </c>
      <c r="H202" s="98" t="str">
        <f t="shared" si="6"/>
        <v>UART7</v>
      </c>
      <c r="I202" s="93" t="str">
        <f t="shared" si="7"/>
        <v>UART7_TX</v>
      </c>
    </row>
    <row r="203" spans="2:9">
      <c r="B203" s="181"/>
      <c r="C203" s="96" t="s">
        <v>1080</v>
      </c>
      <c r="D203" s="96" t="s">
        <v>1019</v>
      </c>
      <c r="E203" s="103" t="s">
        <v>2142</v>
      </c>
      <c r="G203" s="90">
        <v>1</v>
      </c>
      <c r="H203" s="98" t="str">
        <f t="shared" si="6"/>
        <v>UART7</v>
      </c>
      <c r="I203" s="93" t="str">
        <f t="shared" si="7"/>
        <v>UART7_TX</v>
      </c>
    </row>
    <row r="204" spans="2:9">
      <c r="B204" s="181"/>
      <c r="C204" s="96" t="s">
        <v>1080</v>
      </c>
      <c r="D204" s="96" t="s">
        <v>991</v>
      </c>
      <c r="E204" s="103" t="s">
        <v>2143</v>
      </c>
      <c r="G204" s="90">
        <v>1</v>
      </c>
      <c r="H204" s="98" t="str">
        <f t="shared" si="6"/>
        <v>UART7</v>
      </c>
      <c r="I204" s="93" t="str">
        <f t="shared" si="7"/>
        <v>UART7_RX</v>
      </c>
    </row>
    <row r="205" spans="2:9">
      <c r="B205" s="183"/>
      <c r="C205" s="96" t="s">
        <v>1080</v>
      </c>
      <c r="D205" s="96" t="s">
        <v>994</v>
      </c>
      <c r="E205" s="103" t="s">
        <v>2143</v>
      </c>
      <c r="G205" s="90">
        <v>1</v>
      </c>
      <c r="H205" s="98" t="str">
        <f t="shared" si="6"/>
        <v>UART7</v>
      </c>
      <c r="I205" s="93" t="str">
        <f t="shared" si="7"/>
        <v>UART7_RX</v>
      </c>
    </row>
    <row r="206" spans="2:9">
      <c r="B206" s="180" t="s">
        <v>1081</v>
      </c>
      <c r="C206" s="158" t="s">
        <v>1081</v>
      </c>
      <c r="D206" s="96" t="s">
        <v>1082</v>
      </c>
      <c r="E206" s="134" t="s">
        <v>2144</v>
      </c>
      <c r="G206" s="90">
        <v>1</v>
      </c>
      <c r="H206" s="98" t="str">
        <f t="shared" si="6"/>
        <v>LIN</v>
      </c>
      <c r="I206" s="93" t="str">
        <f t="shared" si="7"/>
        <v>LIN_LTX</v>
      </c>
    </row>
    <row r="207" spans="2:9">
      <c r="B207" s="181"/>
      <c r="C207" s="158" t="s">
        <v>1081</v>
      </c>
      <c r="D207" s="96" t="s">
        <v>971</v>
      </c>
      <c r="E207" s="134" t="s">
        <v>2144</v>
      </c>
      <c r="G207" s="90">
        <v>1</v>
      </c>
      <c r="H207" s="98" t="str">
        <f t="shared" si="6"/>
        <v>LIN</v>
      </c>
      <c r="I207" s="93" t="str">
        <f t="shared" si="7"/>
        <v>LIN_LTX</v>
      </c>
    </row>
    <row r="208" spans="2:9">
      <c r="B208" s="183"/>
      <c r="C208" s="158" t="s">
        <v>1081</v>
      </c>
      <c r="D208" s="96" t="s">
        <v>957</v>
      </c>
      <c r="E208" s="159" t="s">
        <v>2186</v>
      </c>
      <c r="G208" s="90">
        <v>1</v>
      </c>
      <c r="H208" s="98" t="str">
        <f t="shared" si="6"/>
        <v>LIN</v>
      </c>
      <c r="I208" s="93" t="str">
        <f t="shared" si="7"/>
        <v>LIN_LRX</v>
      </c>
    </row>
    <row r="209" spans="2:9">
      <c r="B209" s="180" t="s">
        <v>968</v>
      </c>
      <c r="C209" s="96" t="s">
        <v>1083</v>
      </c>
      <c r="D209" s="96" t="s">
        <v>962</v>
      </c>
      <c r="E209" s="103" t="s">
        <v>2145</v>
      </c>
      <c r="G209" s="90">
        <v>1</v>
      </c>
      <c r="H209" s="98" t="str">
        <f t="shared" si="6"/>
        <v>IIC0</v>
      </c>
      <c r="I209" s="93" t="str">
        <f t="shared" si="7"/>
        <v>IIC0_SDA</v>
      </c>
    </row>
    <row r="210" spans="2:9">
      <c r="B210" s="181"/>
      <c r="C210" s="96" t="s">
        <v>1083</v>
      </c>
      <c r="D210" s="96" t="s">
        <v>976</v>
      </c>
      <c r="E210" s="103" t="s">
        <v>2145</v>
      </c>
      <c r="G210" s="90">
        <v>1</v>
      </c>
      <c r="H210" s="98" t="str">
        <f t="shared" si="6"/>
        <v>IIC0</v>
      </c>
      <c r="I210" s="93" t="str">
        <f t="shared" si="7"/>
        <v>IIC0_SDA</v>
      </c>
    </row>
    <row r="211" spans="2:9">
      <c r="B211" s="181"/>
      <c r="C211" s="96" t="s">
        <v>1083</v>
      </c>
      <c r="D211" s="96" t="s">
        <v>1084</v>
      </c>
      <c r="E211" s="103" t="s">
        <v>2146</v>
      </c>
      <c r="G211" s="90">
        <v>1</v>
      </c>
      <c r="H211" s="98" t="str">
        <f t="shared" si="6"/>
        <v>IIC0</v>
      </c>
      <c r="I211" s="93" t="str">
        <f t="shared" si="7"/>
        <v>IIC0_SCL</v>
      </c>
    </row>
    <row r="212" spans="2:9">
      <c r="B212" s="181"/>
      <c r="C212" s="96" t="s">
        <v>1083</v>
      </c>
      <c r="D212" s="96" t="s">
        <v>975</v>
      </c>
      <c r="E212" s="103" t="s">
        <v>2146</v>
      </c>
      <c r="G212" s="90">
        <v>1</v>
      </c>
      <c r="H212" s="98" t="str">
        <f t="shared" si="6"/>
        <v>IIC0</v>
      </c>
      <c r="I212" s="93" t="str">
        <f t="shared" si="7"/>
        <v>IIC0_SCL</v>
      </c>
    </row>
    <row r="213" spans="2:9">
      <c r="B213" s="181"/>
      <c r="C213" s="96" t="s">
        <v>1085</v>
      </c>
      <c r="D213" s="96" t="s">
        <v>1003</v>
      </c>
      <c r="E213" s="103" t="s">
        <v>2145</v>
      </c>
      <c r="G213" s="90">
        <v>1</v>
      </c>
      <c r="H213" s="98" t="str">
        <f t="shared" si="6"/>
        <v>IIC7</v>
      </c>
      <c r="I213" s="93" t="str">
        <f t="shared" si="7"/>
        <v>IIC7_SDA</v>
      </c>
    </row>
    <row r="214" spans="2:9">
      <c r="B214" s="181"/>
      <c r="C214" s="96" t="s">
        <v>1085</v>
      </c>
      <c r="D214" s="96" t="s">
        <v>1015</v>
      </c>
      <c r="E214" s="103" t="s">
        <v>2145</v>
      </c>
      <c r="G214" s="90">
        <v>1</v>
      </c>
      <c r="H214" s="98" t="str">
        <f t="shared" si="6"/>
        <v>IIC7</v>
      </c>
      <c r="I214" s="93" t="str">
        <f t="shared" si="7"/>
        <v>IIC7_SDA</v>
      </c>
    </row>
    <row r="215" spans="2:9">
      <c r="B215" s="181"/>
      <c r="C215" s="96" t="s">
        <v>1085</v>
      </c>
      <c r="D215" s="96" t="s">
        <v>1008</v>
      </c>
      <c r="E215" s="103" t="s">
        <v>2145</v>
      </c>
      <c r="G215" s="90">
        <v>1</v>
      </c>
      <c r="H215" s="98" t="str">
        <f t="shared" ref="H215:H262" si="8">C215</f>
        <v>IIC7</v>
      </c>
      <c r="I215" s="93" t="str">
        <f t="shared" ref="I215:I262" si="9">IF(G215=1,C215&amp;"_"&amp;IF(E215&lt;&gt;"",E215,D215),IF(E215&lt;&gt;"",E215,D215))</f>
        <v>IIC7_SDA</v>
      </c>
    </row>
    <row r="216" spans="2:9">
      <c r="B216" s="181"/>
      <c r="C216" s="96" t="s">
        <v>1085</v>
      </c>
      <c r="D216" s="96" t="s">
        <v>1020</v>
      </c>
      <c r="E216" s="103" t="s">
        <v>2145</v>
      </c>
      <c r="G216" s="90">
        <v>1</v>
      </c>
      <c r="H216" s="98" t="str">
        <f t="shared" si="8"/>
        <v>IIC7</v>
      </c>
      <c r="I216" s="93" t="str">
        <f t="shared" si="9"/>
        <v>IIC7_SDA</v>
      </c>
    </row>
    <row r="217" spans="2:9">
      <c r="B217" s="181"/>
      <c r="C217" s="96" t="s">
        <v>1085</v>
      </c>
      <c r="D217" s="96" t="s">
        <v>1005</v>
      </c>
      <c r="E217" s="103" t="s">
        <v>2146</v>
      </c>
      <c r="G217" s="90">
        <v>1</v>
      </c>
      <c r="H217" s="98" t="str">
        <f t="shared" si="8"/>
        <v>IIC7</v>
      </c>
      <c r="I217" s="93" t="str">
        <f t="shared" si="9"/>
        <v>IIC7_SCL</v>
      </c>
    </row>
    <row r="218" spans="2:9">
      <c r="B218" s="181"/>
      <c r="C218" s="96" t="s">
        <v>1085</v>
      </c>
      <c r="D218" s="96" t="s">
        <v>1012</v>
      </c>
      <c r="E218" s="103" t="s">
        <v>2146</v>
      </c>
      <c r="G218" s="90">
        <v>1</v>
      </c>
      <c r="H218" s="98" t="str">
        <f t="shared" si="8"/>
        <v>IIC7</v>
      </c>
      <c r="I218" s="93" t="str">
        <f t="shared" si="9"/>
        <v>IIC7_SCL</v>
      </c>
    </row>
    <row r="219" spans="2:9">
      <c r="B219" s="181"/>
      <c r="C219" s="96" t="s">
        <v>1085</v>
      </c>
      <c r="D219" s="96" t="s">
        <v>1010</v>
      </c>
      <c r="E219" s="103" t="s">
        <v>2146</v>
      </c>
      <c r="G219" s="90">
        <v>1</v>
      </c>
      <c r="H219" s="98" t="str">
        <f t="shared" si="8"/>
        <v>IIC7</v>
      </c>
      <c r="I219" s="93" t="str">
        <f t="shared" si="9"/>
        <v>IIC7_SCL</v>
      </c>
    </row>
    <row r="220" spans="2:9">
      <c r="B220" s="183"/>
      <c r="C220" s="96" t="s">
        <v>1085</v>
      </c>
      <c r="D220" s="96" t="s">
        <v>1017</v>
      </c>
      <c r="E220" s="103" t="s">
        <v>2146</v>
      </c>
      <c r="G220" s="90">
        <v>1</v>
      </c>
      <c r="H220" s="98" t="str">
        <f t="shared" si="8"/>
        <v>IIC7</v>
      </c>
      <c r="I220" s="93" t="str">
        <f t="shared" si="9"/>
        <v>IIC7_SCL</v>
      </c>
    </row>
    <row r="221" spans="2:9">
      <c r="B221" s="180" t="s">
        <v>1086</v>
      </c>
      <c r="C221" s="96" t="s">
        <v>1087</v>
      </c>
      <c r="D221" s="96" t="s">
        <v>1088</v>
      </c>
      <c r="E221" s="103" t="s">
        <v>2147</v>
      </c>
      <c r="G221" s="90">
        <v>1</v>
      </c>
      <c r="H221" s="98" t="str">
        <f t="shared" si="8"/>
        <v>CAN0</v>
      </c>
      <c r="I221" s="93" t="str">
        <f t="shared" si="9"/>
        <v>CAN0_CTX</v>
      </c>
    </row>
    <row r="222" spans="2:9">
      <c r="B222" s="181"/>
      <c r="C222" s="96" t="s">
        <v>1087</v>
      </c>
      <c r="D222" s="96" t="s">
        <v>692</v>
      </c>
      <c r="E222" s="103" t="s">
        <v>2147</v>
      </c>
      <c r="G222" s="90">
        <v>1</v>
      </c>
      <c r="H222" s="98" t="str">
        <f t="shared" si="8"/>
        <v>CAN0</v>
      </c>
      <c r="I222" s="93" t="str">
        <f t="shared" si="9"/>
        <v>CAN0_CTX</v>
      </c>
    </row>
    <row r="223" spans="2:9">
      <c r="B223" s="181"/>
      <c r="C223" s="96" t="s">
        <v>1087</v>
      </c>
      <c r="D223" s="96" t="s">
        <v>698</v>
      </c>
      <c r="E223" s="107" t="s">
        <v>2148</v>
      </c>
      <c r="G223" s="90">
        <v>1</v>
      </c>
      <c r="H223" s="98" t="str">
        <f t="shared" si="8"/>
        <v>CAN0</v>
      </c>
      <c r="I223" s="93" t="str">
        <f t="shared" si="9"/>
        <v>CAN0_CRX</v>
      </c>
    </row>
    <row r="224" spans="2:9">
      <c r="B224" s="181"/>
      <c r="C224" s="96" t="s">
        <v>1087</v>
      </c>
      <c r="D224" s="96" t="s">
        <v>695</v>
      </c>
      <c r="E224" s="107" t="s">
        <v>2148</v>
      </c>
      <c r="G224" s="90">
        <v>1</v>
      </c>
      <c r="H224" s="98" t="str">
        <f t="shared" si="8"/>
        <v>CAN0</v>
      </c>
      <c r="I224" s="93" t="str">
        <f t="shared" si="9"/>
        <v>CAN0_CRX</v>
      </c>
    </row>
    <row r="225" spans="2:9">
      <c r="B225" s="181"/>
      <c r="C225" s="128" t="s">
        <v>1089</v>
      </c>
      <c r="D225" s="96" t="s">
        <v>574</v>
      </c>
      <c r="E225" s="103" t="s">
        <v>2147</v>
      </c>
      <c r="G225" s="90">
        <v>1</v>
      </c>
      <c r="H225" s="98" t="str">
        <f t="shared" si="8"/>
        <v>CAN1</v>
      </c>
      <c r="I225" s="93" t="str">
        <f t="shared" si="9"/>
        <v>CAN1_CTX</v>
      </c>
    </row>
    <row r="226" spans="2:9">
      <c r="B226" s="181"/>
      <c r="C226" s="128" t="s">
        <v>1089</v>
      </c>
      <c r="D226" s="96" t="s">
        <v>569</v>
      </c>
      <c r="E226" s="103" t="s">
        <v>2147</v>
      </c>
      <c r="G226" s="90">
        <v>1</v>
      </c>
      <c r="H226" s="98" t="str">
        <f t="shared" si="8"/>
        <v>CAN1</v>
      </c>
      <c r="I226" s="93" t="str">
        <f t="shared" si="9"/>
        <v>CAN1_CTX</v>
      </c>
    </row>
    <row r="227" spans="2:9">
      <c r="B227" s="181"/>
      <c r="C227" s="96" t="s">
        <v>1089</v>
      </c>
      <c r="D227" s="96" t="s">
        <v>500</v>
      </c>
      <c r="E227" s="103" t="s">
        <v>2148</v>
      </c>
      <c r="G227" s="90">
        <v>1</v>
      </c>
      <c r="H227" s="98" t="str">
        <f t="shared" si="8"/>
        <v>CAN1</v>
      </c>
      <c r="I227" s="93" t="str">
        <f t="shared" si="9"/>
        <v>CAN1_CRX</v>
      </c>
    </row>
    <row r="228" spans="2:9">
      <c r="B228" s="183"/>
      <c r="C228" s="96" t="s">
        <v>1089</v>
      </c>
      <c r="D228" s="96" t="s">
        <v>496</v>
      </c>
      <c r="E228" s="103" t="s">
        <v>2148</v>
      </c>
      <c r="G228" s="90">
        <v>1</v>
      </c>
      <c r="H228" s="98" t="str">
        <f t="shared" si="8"/>
        <v>CAN1</v>
      </c>
      <c r="I228" s="93" t="str">
        <f t="shared" si="9"/>
        <v>CAN1_CRX</v>
      </c>
    </row>
    <row r="229" spans="2:9">
      <c r="B229" s="180" t="s">
        <v>1090</v>
      </c>
      <c r="C229" s="128" t="s">
        <v>1091</v>
      </c>
      <c r="D229" s="158" t="s">
        <v>2192</v>
      </c>
      <c r="E229" s="159" t="s">
        <v>2167</v>
      </c>
      <c r="G229" s="90">
        <v>1</v>
      </c>
      <c r="H229" s="98" t="str">
        <f t="shared" si="8"/>
        <v>SMBUS</v>
      </c>
      <c r="I229" s="93" t="str">
        <f t="shared" si="9"/>
        <v>SMBUS_SMDA</v>
      </c>
    </row>
    <row r="230" spans="2:9">
      <c r="B230" s="183"/>
      <c r="C230" s="96" t="s">
        <v>1091</v>
      </c>
      <c r="D230" s="158" t="s">
        <v>2193</v>
      </c>
      <c r="E230" s="159" t="s">
        <v>2170</v>
      </c>
      <c r="G230" s="90">
        <v>1</v>
      </c>
      <c r="H230" s="98" t="str">
        <f t="shared" si="8"/>
        <v>SMBUS</v>
      </c>
      <c r="I230" s="93" t="str">
        <f t="shared" si="9"/>
        <v>SMBUS_SMCL</v>
      </c>
    </row>
    <row r="231" spans="2:9">
      <c r="B231" s="180" t="s">
        <v>1092</v>
      </c>
      <c r="C231" s="104" t="s">
        <v>1619</v>
      </c>
      <c r="D231" s="96" t="s">
        <v>948</v>
      </c>
      <c r="E231" s="97"/>
      <c r="G231" s="90">
        <v>2</v>
      </c>
      <c r="H231" s="98" t="str">
        <f t="shared" si="8"/>
        <v>AD</v>
      </c>
      <c r="I231" s="93" t="str">
        <f t="shared" si="9"/>
        <v>ADIN00</v>
      </c>
    </row>
    <row r="232" spans="2:9">
      <c r="B232" s="181"/>
      <c r="C232" s="104" t="s">
        <v>1619</v>
      </c>
      <c r="D232" s="96" t="s">
        <v>949</v>
      </c>
      <c r="E232" s="97"/>
      <c r="G232" s="90">
        <v>2</v>
      </c>
      <c r="H232" s="98" t="str">
        <f t="shared" si="8"/>
        <v>AD</v>
      </c>
      <c r="I232" s="93" t="str">
        <f t="shared" si="9"/>
        <v>ADIN01</v>
      </c>
    </row>
    <row r="233" spans="2:9">
      <c r="B233" s="181"/>
      <c r="C233" s="104" t="s">
        <v>1619</v>
      </c>
      <c r="D233" s="96" t="s">
        <v>950</v>
      </c>
      <c r="E233" s="97"/>
      <c r="G233" s="90">
        <v>2</v>
      </c>
      <c r="H233" s="98" t="str">
        <f t="shared" si="8"/>
        <v>AD</v>
      </c>
      <c r="I233" s="93" t="str">
        <f t="shared" si="9"/>
        <v>ADIN02</v>
      </c>
    </row>
    <row r="234" spans="2:9">
      <c r="B234" s="181"/>
      <c r="C234" s="104" t="s">
        <v>1619</v>
      </c>
      <c r="D234" s="96" t="s">
        <v>952</v>
      </c>
      <c r="E234" s="97"/>
      <c r="G234" s="90">
        <v>2</v>
      </c>
      <c r="H234" s="98" t="str">
        <f t="shared" si="8"/>
        <v>AD</v>
      </c>
      <c r="I234" s="93" t="str">
        <f t="shared" si="9"/>
        <v>ADIN03</v>
      </c>
    </row>
    <row r="235" spans="2:9">
      <c r="B235" s="181"/>
      <c r="C235" s="104" t="s">
        <v>1619</v>
      </c>
      <c r="D235" s="96" t="s">
        <v>626</v>
      </c>
      <c r="E235" s="97"/>
      <c r="G235" s="90">
        <v>2</v>
      </c>
      <c r="H235" s="98" t="str">
        <f t="shared" si="8"/>
        <v>AD</v>
      </c>
      <c r="I235" s="93" t="str">
        <f t="shared" si="9"/>
        <v>ADIN04</v>
      </c>
    </row>
    <row r="236" spans="2:9">
      <c r="B236" s="181"/>
      <c r="C236" s="104" t="s">
        <v>1619</v>
      </c>
      <c r="D236" s="96" t="s">
        <v>628</v>
      </c>
      <c r="E236" s="97"/>
      <c r="G236" s="90">
        <v>2</v>
      </c>
      <c r="H236" s="98" t="str">
        <f t="shared" si="8"/>
        <v>AD</v>
      </c>
      <c r="I236" s="93" t="str">
        <f t="shared" si="9"/>
        <v>ADIN05</v>
      </c>
    </row>
    <row r="237" spans="2:9">
      <c r="B237" s="181"/>
      <c r="C237" s="104" t="s">
        <v>1619</v>
      </c>
      <c r="D237" s="96" t="s">
        <v>629</v>
      </c>
      <c r="E237" s="97"/>
      <c r="G237" s="90">
        <v>2</v>
      </c>
      <c r="H237" s="98" t="str">
        <f t="shared" si="8"/>
        <v>AD</v>
      </c>
      <c r="I237" s="93" t="str">
        <f t="shared" si="9"/>
        <v>ADIN06</v>
      </c>
    </row>
    <row r="238" spans="2:9">
      <c r="B238" s="181"/>
      <c r="C238" s="104" t="s">
        <v>1619</v>
      </c>
      <c r="D238" s="96" t="s">
        <v>630</v>
      </c>
      <c r="E238" s="97"/>
      <c r="G238" s="90">
        <v>2</v>
      </c>
      <c r="H238" s="98" t="str">
        <f t="shared" si="8"/>
        <v>AD</v>
      </c>
      <c r="I238" s="93" t="str">
        <f t="shared" si="9"/>
        <v>ADIN07</v>
      </c>
    </row>
    <row r="239" spans="2:9">
      <c r="B239" s="181"/>
      <c r="C239" s="104" t="s">
        <v>1619</v>
      </c>
      <c r="D239" s="96" t="s">
        <v>943</v>
      </c>
      <c r="E239" s="97"/>
      <c r="G239" s="90">
        <v>2</v>
      </c>
      <c r="H239" s="98" t="str">
        <f t="shared" si="8"/>
        <v>AD</v>
      </c>
      <c r="I239" s="93" t="str">
        <f t="shared" si="9"/>
        <v>ADIN08</v>
      </c>
    </row>
    <row r="240" spans="2:9">
      <c r="B240" s="181"/>
      <c r="C240" s="104" t="s">
        <v>1619</v>
      </c>
      <c r="D240" s="96" t="s">
        <v>945</v>
      </c>
      <c r="E240" s="97"/>
      <c r="G240" s="90">
        <v>2</v>
      </c>
      <c r="H240" s="98" t="str">
        <f t="shared" si="8"/>
        <v>AD</v>
      </c>
      <c r="I240" s="93" t="str">
        <f t="shared" si="9"/>
        <v>ADIN09</v>
      </c>
    </row>
    <row r="241" spans="2:9">
      <c r="B241" s="181"/>
      <c r="C241" s="104" t="s">
        <v>1619</v>
      </c>
      <c r="D241" s="96" t="s">
        <v>618</v>
      </c>
      <c r="E241" s="97"/>
      <c r="G241" s="90">
        <v>2</v>
      </c>
      <c r="H241" s="98" t="str">
        <f t="shared" si="8"/>
        <v>AD</v>
      </c>
      <c r="I241" s="93" t="str">
        <f t="shared" si="9"/>
        <v>ADIN10</v>
      </c>
    </row>
    <row r="242" spans="2:9">
      <c r="B242" s="181"/>
      <c r="C242" s="104" t="s">
        <v>1619</v>
      </c>
      <c r="D242" s="96" t="s">
        <v>619</v>
      </c>
      <c r="E242" s="97"/>
      <c r="G242" s="90">
        <v>2</v>
      </c>
      <c r="H242" s="98" t="str">
        <f t="shared" si="8"/>
        <v>AD</v>
      </c>
      <c r="I242" s="93" t="str">
        <f t="shared" si="9"/>
        <v>ADIN11</v>
      </c>
    </row>
    <row r="243" spans="2:9">
      <c r="B243" s="181"/>
      <c r="C243" s="104" t="s">
        <v>1619</v>
      </c>
      <c r="D243" s="96" t="s">
        <v>620</v>
      </c>
      <c r="E243" s="97"/>
      <c r="G243" s="90">
        <v>2</v>
      </c>
      <c r="H243" s="98" t="str">
        <f t="shared" si="8"/>
        <v>AD</v>
      </c>
      <c r="I243" s="93" t="str">
        <f t="shared" si="9"/>
        <v>ADIN12</v>
      </c>
    </row>
    <row r="244" spans="2:9">
      <c r="B244" s="181"/>
      <c r="C244" s="104" t="s">
        <v>1619</v>
      </c>
      <c r="D244" s="96" t="s">
        <v>621</v>
      </c>
      <c r="E244" s="97"/>
      <c r="G244" s="90">
        <v>2</v>
      </c>
      <c r="H244" s="98" t="str">
        <f t="shared" si="8"/>
        <v>AD</v>
      </c>
      <c r="I244" s="93" t="str">
        <f t="shared" si="9"/>
        <v>ADIN13</v>
      </c>
    </row>
    <row r="245" spans="2:9">
      <c r="B245" s="181"/>
      <c r="C245" s="104" t="s">
        <v>1619</v>
      </c>
      <c r="D245" s="96" t="s">
        <v>622</v>
      </c>
      <c r="E245" s="97"/>
      <c r="G245" s="90">
        <v>2</v>
      </c>
      <c r="H245" s="98" t="str">
        <f t="shared" si="8"/>
        <v>AD</v>
      </c>
      <c r="I245" s="93" t="str">
        <f t="shared" si="9"/>
        <v>ADIN14</v>
      </c>
    </row>
    <row r="246" spans="2:9">
      <c r="B246" s="181"/>
      <c r="C246" s="104" t="s">
        <v>1619</v>
      </c>
      <c r="D246" s="96" t="s">
        <v>623</v>
      </c>
      <c r="E246" s="97"/>
      <c r="G246" s="90">
        <v>2</v>
      </c>
      <c r="H246" s="98" t="str">
        <f t="shared" si="8"/>
        <v>AD</v>
      </c>
      <c r="I246" s="93" t="str">
        <f t="shared" si="9"/>
        <v>ADIN15</v>
      </c>
    </row>
    <row r="247" spans="2:9">
      <c r="B247" s="181"/>
      <c r="C247" s="104" t="s">
        <v>1619</v>
      </c>
      <c r="D247" s="96" t="s">
        <v>938</v>
      </c>
      <c r="E247" s="97"/>
      <c r="G247" s="90">
        <v>2</v>
      </c>
      <c r="H247" s="98" t="str">
        <f t="shared" si="8"/>
        <v>AD</v>
      </c>
      <c r="I247" s="93" t="str">
        <f t="shared" si="9"/>
        <v>ADIN16</v>
      </c>
    </row>
    <row r="248" spans="2:9">
      <c r="B248" s="181"/>
      <c r="C248" s="104" t="s">
        <v>1619</v>
      </c>
      <c r="D248" s="96" t="s">
        <v>941</v>
      </c>
      <c r="E248" s="97"/>
      <c r="G248" s="90">
        <v>2</v>
      </c>
      <c r="H248" s="98" t="str">
        <f t="shared" si="8"/>
        <v>AD</v>
      </c>
      <c r="I248" s="93" t="str">
        <f t="shared" si="9"/>
        <v>ADIN17</v>
      </c>
    </row>
    <row r="249" spans="2:9">
      <c r="B249" s="181"/>
      <c r="C249" s="104" t="s">
        <v>1619</v>
      </c>
      <c r="D249" s="96" t="s">
        <v>612</v>
      </c>
      <c r="E249" s="97"/>
      <c r="G249" s="90">
        <v>2</v>
      </c>
      <c r="H249" s="98" t="str">
        <f t="shared" si="8"/>
        <v>AD</v>
      </c>
      <c r="I249" s="93" t="str">
        <f t="shared" si="9"/>
        <v>ADIN18</v>
      </c>
    </row>
    <row r="250" spans="2:9">
      <c r="B250" s="181"/>
      <c r="C250" s="104" t="s">
        <v>1619</v>
      </c>
      <c r="D250" s="96" t="s">
        <v>613</v>
      </c>
      <c r="E250" s="97"/>
      <c r="G250" s="90">
        <v>2</v>
      </c>
      <c r="H250" s="98" t="str">
        <f t="shared" si="8"/>
        <v>AD</v>
      </c>
      <c r="I250" s="93" t="str">
        <f t="shared" si="9"/>
        <v>ADIN19</v>
      </c>
    </row>
    <row r="251" spans="2:9">
      <c r="B251" s="181"/>
      <c r="C251" s="104" t="s">
        <v>1619</v>
      </c>
      <c r="D251" s="96" t="s">
        <v>614</v>
      </c>
      <c r="E251" s="97"/>
      <c r="G251" s="90">
        <v>2</v>
      </c>
      <c r="H251" s="98" t="str">
        <f t="shared" si="8"/>
        <v>AD</v>
      </c>
      <c r="I251" s="93" t="str">
        <f t="shared" si="9"/>
        <v>ADIN20</v>
      </c>
    </row>
    <row r="252" spans="2:9">
      <c r="B252" s="181"/>
      <c r="C252" s="104" t="s">
        <v>1619</v>
      </c>
      <c r="D252" s="96" t="s">
        <v>615</v>
      </c>
      <c r="E252" s="97"/>
      <c r="G252" s="90">
        <v>2</v>
      </c>
      <c r="H252" s="98" t="str">
        <f t="shared" si="8"/>
        <v>AD</v>
      </c>
      <c r="I252" s="93" t="str">
        <f t="shared" si="9"/>
        <v>ADIN21</v>
      </c>
    </row>
    <row r="253" spans="2:9">
      <c r="B253" s="181"/>
      <c r="C253" s="104" t="s">
        <v>1619</v>
      </c>
      <c r="D253" s="96" t="s">
        <v>616</v>
      </c>
      <c r="E253" s="97"/>
      <c r="G253" s="90">
        <v>2</v>
      </c>
      <c r="H253" s="98" t="str">
        <f t="shared" si="8"/>
        <v>AD</v>
      </c>
      <c r="I253" s="93" t="str">
        <f t="shared" si="9"/>
        <v>ADIN22</v>
      </c>
    </row>
    <row r="254" spans="2:9">
      <c r="B254" s="181"/>
      <c r="C254" s="104" t="s">
        <v>1619</v>
      </c>
      <c r="D254" s="96" t="s">
        <v>617</v>
      </c>
      <c r="E254" s="97"/>
      <c r="G254" s="90">
        <v>2</v>
      </c>
      <c r="H254" s="98" t="str">
        <f t="shared" si="8"/>
        <v>AD</v>
      </c>
      <c r="I254" s="93" t="str">
        <f t="shared" si="9"/>
        <v>ADIN23</v>
      </c>
    </row>
    <row r="255" spans="2:9">
      <c r="B255" s="181"/>
      <c r="C255" s="104" t="s">
        <v>1619</v>
      </c>
      <c r="D255" s="96" t="s">
        <v>609</v>
      </c>
      <c r="E255" s="97"/>
      <c r="G255" s="90">
        <v>2</v>
      </c>
      <c r="H255" s="98" t="str">
        <f t="shared" si="8"/>
        <v>AD</v>
      </c>
      <c r="I255" s="93" t="str">
        <f t="shared" si="9"/>
        <v>ADIN24</v>
      </c>
    </row>
    <row r="256" spans="2:9">
      <c r="B256" s="181"/>
      <c r="C256" s="104" t="s">
        <v>1619</v>
      </c>
      <c r="D256" s="96" t="s">
        <v>610</v>
      </c>
      <c r="E256" s="97"/>
      <c r="G256" s="90">
        <v>2</v>
      </c>
      <c r="H256" s="98" t="str">
        <f t="shared" si="8"/>
        <v>AD</v>
      </c>
      <c r="I256" s="93" t="str">
        <f t="shared" si="9"/>
        <v>ADIN25</v>
      </c>
    </row>
    <row r="257" spans="2:9">
      <c r="B257" s="181"/>
      <c r="C257" s="104" t="s">
        <v>1619</v>
      </c>
      <c r="D257" s="96" t="s">
        <v>611</v>
      </c>
      <c r="E257" s="97"/>
      <c r="G257" s="90">
        <v>2</v>
      </c>
      <c r="H257" s="98" t="str">
        <f t="shared" si="8"/>
        <v>AD</v>
      </c>
      <c r="I257" s="93" t="str">
        <f t="shared" si="9"/>
        <v>ADIN26</v>
      </c>
    </row>
    <row r="258" spans="2:9">
      <c r="B258" s="181"/>
      <c r="C258" s="104" t="s">
        <v>1619</v>
      </c>
      <c r="D258" s="96" t="s">
        <v>624</v>
      </c>
      <c r="E258" s="97"/>
      <c r="G258" s="90">
        <v>2</v>
      </c>
      <c r="H258" s="98" t="str">
        <f t="shared" si="8"/>
        <v>AD</v>
      </c>
      <c r="I258" s="93" t="str">
        <f t="shared" si="9"/>
        <v>ADIN27</v>
      </c>
    </row>
    <row r="259" spans="2:9">
      <c r="B259" s="181"/>
      <c r="C259" s="104" t="s">
        <v>1619</v>
      </c>
      <c r="D259" s="96" t="s">
        <v>625</v>
      </c>
      <c r="E259" s="97"/>
      <c r="G259" s="90">
        <v>2</v>
      </c>
      <c r="H259" s="98" t="str">
        <f t="shared" si="8"/>
        <v>AD</v>
      </c>
      <c r="I259" s="93" t="str">
        <f t="shared" si="9"/>
        <v>ADIN28</v>
      </c>
    </row>
    <row r="260" spans="2:9">
      <c r="B260" s="181"/>
      <c r="C260" s="104" t="s">
        <v>1619</v>
      </c>
      <c r="D260" s="96" t="s">
        <v>631</v>
      </c>
      <c r="E260" s="97"/>
      <c r="G260" s="90">
        <v>2</v>
      </c>
      <c r="H260" s="98" t="str">
        <f t="shared" si="8"/>
        <v>AD</v>
      </c>
      <c r="I260" s="93" t="str">
        <f t="shared" si="9"/>
        <v>ADIN29</v>
      </c>
    </row>
    <row r="261" spans="2:9">
      <c r="B261" s="181"/>
      <c r="C261" s="104" t="s">
        <v>1619</v>
      </c>
      <c r="D261" s="96" t="s">
        <v>632</v>
      </c>
      <c r="E261" s="97"/>
      <c r="G261" s="90">
        <v>2</v>
      </c>
      <c r="H261" s="98" t="str">
        <f t="shared" si="8"/>
        <v>AD</v>
      </c>
      <c r="I261" s="93" t="str">
        <f t="shared" si="9"/>
        <v>ADIN30</v>
      </c>
    </row>
    <row r="262" spans="2:9">
      <c r="B262" s="181"/>
      <c r="C262" s="104" t="s">
        <v>1619</v>
      </c>
      <c r="D262" s="96" t="s">
        <v>633</v>
      </c>
      <c r="E262" s="97"/>
      <c r="G262" s="90">
        <v>2</v>
      </c>
      <c r="H262" s="98" t="str">
        <f t="shared" si="8"/>
        <v>AD</v>
      </c>
      <c r="I262" s="93" t="str">
        <f t="shared" si="9"/>
        <v>ADIN31</v>
      </c>
    </row>
    <row r="263" spans="2:9">
      <c r="B263" s="180" t="s">
        <v>1093</v>
      </c>
      <c r="C263" s="104" t="s">
        <v>1619</v>
      </c>
      <c r="D263" s="96" t="s">
        <v>1094</v>
      </c>
      <c r="E263" s="97"/>
      <c r="G263" s="90">
        <v>2</v>
      </c>
      <c r="H263" s="98" t="str">
        <f t="shared" ref="H263:H324" si="10">C263</f>
        <v>AD</v>
      </c>
      <c r="I263" s="93" t="str">
        <f t="shared" ref="I263:I324" si="11">IF(G263=1,C263&amp;"_"&amp;IF(E263&lt;&gt;"",E263,D263),IF(E263&lt;&gt;"",E263,D263))</f>
        <v>ADTRG0</v>
      </c>
    </row>
    <row r="264" spans="2:9">
      <c r="B264" s="181"/>
      <c r="C264" s="104" t="s">
        <v>1619</v>
      </c>
      <c r="D264" s="96" t="s">
        <v>703</v>
      </c>
      <c r="E264" s="97"/>
      <c r="G264" s="90">
        <v>2</v>
      </c>
      <c r="H264" s="98" t="str">
        <f t="shared" si="10"/>
        <v>AD</v>
      </c>
      <c r="I264" s="93" t="str">
        <f t="shared" si="11"/>
        <v>ADTRG1</v>
      </c>
    </row>
    <row r="265" spans="2:9">
      <c r="B265" s="183"/>
      <c r="C265" s="104" t="s">
        <v>1619</v>
      </c>
      <c r="D265" s="96" t="s">
        <v>708</v>
      </c>
      <c r="E265" s="97"/>
      <c r="G265" s="90">
        <v>2</v>
      </c>
      <c r="H265" s="98" t="str">
        <f t="shared" si="10"/>
        <v>AD</v>
      </c>
      <c r="I265" s="93" t="str">
        <f t="shared" si="11"/>
        <v>ADTRG2</v>
      </c>
    </row>
    <row r="266" spans="2:9">
      <c r="B266" s="180" t="s">
        <v>1095</v>
      </c>
      <c r="C266" s="128" t="s">
        <v>1768</v>
      </c>
      <c r="D266" s="96" t="s">
        <v>1096</v>
      </c>
      <c r="E266" s="97"/>
      <c r="G266" s="90">
        <v>1</v>
      </c>
      <c r="H266" s="98" t="str">
        <f t="shared" si="10"/>
        <v>VGA0</v>
      </c>
      <c r="I266" s="93" t="str">
        <f t="shared" si="11"/>
        <v>VGA0_VGAN0</v>
      </c>
    </row>
    <row r="267" spans="2:9">
      <c r="B267" s="181"/>
      <c r="C267" s="128" t="s">
        <v>1768</v>
      </c>
      <c r="D267" s="158" t="s">
        <v>2194</v>
      </c>
      <c r="E267" s="159" t="s">
        <v>2149</v>
      </c>
      <c r="G267" s="90">
        <v>1</v>
      </c>
      <c r="H267" s="98" t="str">
        <f t="shared" si="10"/>
        <v>VGA0</v>
      </c>
      <c r="I267" s="93" t="str">
        <f t="shared" si="11"/>
        <v>VGA0_VGAP0</v>
      </c>
    </row>
    <row r="268" spans="2:9">
      <c r="B268" s="181"/>
      <c r="C268" s="128" t="s">
        <v>1768</v>
      </c>
      <c r="D268" s="158" t="s">
        <v>2195</v>
      </c>
      <c r="E268" s="159" t="s">
        <v>2150</v>
      </c>
      <c r="G268" s="90">
        <v>1</v>
      </c>
      <c r="H268" s="98" t="str">
        <f t="shared" si="10"/>
        <v>VGA0</v>
      </c>
      <c r="I268" s="93" t="str">
        <f t="shared" si="11"/>
        <v>VGA0_VGAP1</v>
      </c>
    </row>
    <row r="269" spans="2:9">
      <c r="B269" s="181"/>
      <c r="C269" s="128" t="s">
        <v>1768</v>
      </c>
      <c r="D269" s="158" t="s">
        <v>2196</v>
      </c>
      <c r="E269" s="159" t="s">
        <v>2151</v>
      </c>
      <c r="G269" s="90">
        <v>1</v>
      </c>
      <c r="H269" s="98" t="str">
        <f t="shared" si="10"/>
        <v>VGA0</v>
      </c>
      <c r="I269" s="93" t="str">
        <f t="shared" si="11"/>
        <v>VGA0_VGAP2</v>
      </c>
    </row>
    <row r="270" spans="2:9">
      <c r="B270" s="181"/>
      <c r="C270" s="96" t="s">
        <v>1097</v>
      </c>
      <c r="D270" s="96" t="s">
        <v>946</v>
      </c>
      <c r="E270" s="97"/>
      <c r="G270" s="90">
        <v>1</v>
      </c>
      <c r="H270" s="98" t="str">
        <f t="shared" si="10"/>
        <v>VGA1</v>
      </c>
      <c r="I270" s="93" t="str">
        <f t="shared" si="11"/>
        <v>VGA1_VGAP1</v>
      </c>
    </row>
    <row r="271" spans="2:9">
      <c r="B271" s="181"/>
      <c r="C271" s="96" t="s">
        <v>1097</v>
      </c>
      <c r="D271" s="96" t="s">
        <v>944</v>
      </c>
      <c r="E271" s="97"/>
      <c r="G271" s="90">
        <v>1</v>
      </c>
      <c r="H271" s="98" t="str">
        <f t="shared" si="10"/>
        <v>VGA1</v>
      </c>
      <c r="I271" s="93" t="str">
        <f t="shared" si="11"/>
        <v>VGA1_VGAN1</v>
      </c>
    </row>
    <row r="272" spans="2:9">
      <c r="B272" s="181"/>
      <c r="C272" s="96" t="s">
        <v>1098</v>
      </c>
      <c r="D272" s="96" t="s">
        <v>939</v>
      </c>
      <c r="E272" s="97"/>
      <c r="G272" s="90">
        <v>1</v>
      </c>
      <c r="H272" s="98" t="str">
        <f t="shared" si="10"/>
        <v>VGA2</v>
      </c>
      <c r="I272" s="93" t="str">
        <f t="shared" si="11"/>
        <v>VGA2_VGAP2</v>
      </c>
    </row>
    <row r="273" spans="2:9">
      <c r="B273" s="183"/>
      <c r="C273" s="96" t="s">
        <v>1098</v>
      </c>
      <c r="D273" s="96" t="s">
        <v>942</v>
      </c>
      <c r="E273" s="97"/>
      <c r="G273" s="90">
        <v>1</v>
      </c>
      <c r="H273" s="98" t="str">
        <f t="shared" si="10"/>
        <v>VGA2</v>
      </c>
      <c r="I273" s="93" t="str">
        <f t="shared" si="11"/>
        <v>VGA2_VGAN2</v>
      </c>
    </row>
    <row r="274" spans="2:9">
      <c r="B274" s="180" t="s">
        <v>1099</v>
      </c>
      <c r="C274" s="128" t="s">
        <v>1637</v>
      </c>
      <c r="D274" s="128" t="s">
        <v>1100</v>
      </c>
      <c r="E274" s="97"/>
      <c r="G274" s="90">
        <v>1</v>
      </c>
      <c r="H274" s="98" t="str">
        <f t="shared" si="10"/>
        <v>CMP0</v>
      </c>
      <c r="I274" s="93" t="str">
        <f t="shared" si="11"/>
        <v>CMP0_CMPIN0</v>
      </c>
    </row>
    <row r="275" spans="2:9">
      <c r="B275" s="181"/>
      <c r="C275" s="110" t="s">
        <v>1638</v>
      </c>
      <c r="D275" s="96" t="s">
        <v>951</v>
      </c>
      <c r="E275" s="97"/>
      <c r="G275" s="90">
        <v>1</v>
      </c>
      <c r="H275" s="98" t="str">
        <f t="shared" si="10"/>
        <v>CMP1</v>
      </c>
      <c r="I275" s="93" t="str">
        <f t="shared" si="11"/>
        <v>CMP1_CMPIN1</v>
      </c>
    </row>
    <row r="276" spans="2:9">
      <c r="B276" s="181"/>
      <c r="C276" s="110" t="s">
        <v>1639</v>
      </c>
      <c r="D276" s="96" t="s">
        <v>953</v>
      </c>
      <c r="E276" s="97"/>
      <c r="G276" s="90">
        <v>1</v>
      </c>
      <c r="H276" s="98" t="str">
        <f t="shared" si="10"/>
        <v>CMP2</v>
      </c>
      <c r="I276" s="93" t="str">
        <f t="shared" si="11"/>
        <v>CMP2_CMPIN2</v>
      </c>
    </row>
    <row r="277" spans="2:9">
      <c r="B277" s="181"/>
      <c r="C277" s="110" t="s">
        <v>1640</v>
      </c>
      <c r="D277" s="96" t="s">
        <v>947</v>
      </c>
      <c r="E277" s="97"/>
      <c r="G277" s="90">
        <v>1</v>
      </c>
      <c r="H277" s="98" t="str">
        <f t="shared" si="10"/>
        <v>CMP3</v>
      </c>
      <c r="I277" s="93" t="str">
        <f t="shared" si="11"/>
        <v>CMP3_CMPIN3</v>
      </c>
    </row>
    <row r="278" spans="2:9">
      <c r="B278" s="183"/>
      <c r="C278" s="110" t="s">
        <v>1641</v>
      </c>
      <c r="D278" s="96" t="s">
        <v>940</v>
      </c>
      <c r="E278" s="97"/>
      <c r="G278" s="90">
        <v>1</v>
      </c>
      <c r="H278" s="98" t="str">
        <f t="shared" si="10"/>
        <v>CMP4</v>
      </c>
      <c r="I278" s="93" t="str">
        <f t="shared" si="11"/>
        <v>CMP4_CMPIN4</v>
      </c>
    </row>
    <row r="279" spans="2:9">
      <c r="B279" s="180" t="s">
        <v>1101</v>
      </c>
      <c r="C279" s="128" t="s">
        <v>1637</v>
      </c>
      <c r="D279" s="96" t="s">
        <v>568</v>
      </c>
      <c r="E279" s="97"/>
      <c r="G279" s="90">
        <v>1</v>
      </c>
      <c r="H279" s="98" t="str">
        <f>C279</f>
        <v>CMP0</v>
      </c>
      <c r="I279" s="93" t="str">
        <f t="shared" si="11"/>
        <v>CMP0_CMPOT00</v>
      </c>
    </row>
    <row r="280" spans="2:9">
      <c r="B280" s="181"/>
      <c r="C280" s="110" t="s">
        <v>1637</v>
      </c>
      <c r="D280" s="96" t="s">
        <v>649</v>
      </c>
      <c r="E280" s="97"/>
      <c r="G280" s="90">
        <v>1</v>
      </c>
      <c r="H280" s="98" t="str">
        <f t="shared" si="10"/>
        <v>CMP0</v>
      </c>
      <c r="I280" s="93" t="str">
        <f t="shared" si="11"/>
        <v>CMP0_CMPOT01</v>
      </c>
    </row>
    <row r="281" spans="2:9">
      <c r="B281" s="181"/>
      <c r="C281" s="110" t="s">
        <v>1638</v>
      </c>
      <c r="D281" s="96" t="s">
        <v>573</v>
      </c>
      <c r="E281" s="97"/>
      <c r="G281" s="90">
        <v>1</v>
      </c>
      <c r="H281" s="98" t="str">
        <f t="shared" si="10"/>
        <v>CMP1</v>
      </c>
      <c r="I281" s="93" t="str">
        <f t="shared" si="11"/>
        <v>CMP1_CMPOT10</v>
      </c>
    </row>
    <row r="282" spans="2:9">
      <c r="B282" s="181"/>
      <c r="C282" s="110" t="s">
        <v>1638</v>
      </c>
      <c r="D282" s="96" t="s">
        <v>653</v>
      </c>
      <c r="E282" s="97"/>
      <c r="G282" s="90">
        <v>1</v>
      </c>
      <c r="H282" s="98" t="str">
        <f t="shared" si="10"/>
        <v>CMP1</v>
      </c>
      <c r="I282" s="93" t="str">
        <f t="shared" si="11"/>
        <v>CMP1_CMPOT11</v>
      </c>
    </row>
    <row r="283" spans="2:9">
      <c r="B283" s="181"/>
      <c r="C283" s="110" t="s">
        <v>1639</v>
      </c>
      <c r="D283" s="96" t="s">
        <v>677</v>
      </c>
      <c r="E283" s="97"/>
      <c r="G283" s="90">
        <v>1</v>
      </c>
      <c r="H283" s="98" t="str">
        <f t="shared" si="10"/>
        <v>CMP2</v>
      </c>
      <c r="I283" s="93" t="str">
        <f t="shared" si="11"/>
        <v>CMP2_CMPOT20</v>
      </c>
    </row>
    <row r="284" spans="2:9">
      <c r="B284" s="181"/>
      <c r="C284" s="110" t="s">
        <v>1639</v>
      </c>
      <c r="D284" s="96" t="s">
        <v>657</v>
      </c>
      <c r="E284" s="97"/>
      <c r="G284" s="90">
        <v>1</v>
      </c>
      <c r="H284" s="98" t="str">
        <f t="shared" si="10"/>
        <v>CMP2</v>
      </c>
      <c r="I284" s="93" t="str">
        <f t="shared" si="11"/>
        <v>CMP2_CMPOT21</v>
      </c>
    </row>
    <row r="285" spans="2:9">
      <c r="B285" s="181"/>
      <c r="C285" s="110" t="s">
        <v>1640</v>
      </c>
      <c r="D285" s="96" t="s">
        <v>679</v>
      </c>
      <c r="E285" s="97"/>
      <c r="G285" s="90">
        <v>1</v>
      </c>
      <c r="H285" s="98" t="str">
        <f t="shared" si="10"/>
        <v>CMP3</v>
      </c>
      <c r="I285" s="93" t="str">
        <f t="shared" si="11"/>
        <v>CMP3_CMPOT30</v>
      </c>
    </row>
    <row r="286" spans="2:9">
      <c r="B286" s="181"/>
      <c r="C286" s="110" t="s">
        <v>1640</v>
      </c>
      <c r="D286" s="96" t="s">
        <v>660</v>
      </c>
      <c r="E286" s="97"/>
      <c r="G286" s="90">
        <v>1</v>
      </c>
      <c r="H286" s="98" t="str">
        <f t="shared" si="10"/>
        <v>CMP3</v>
      </c>
      <c r="I286" s="93" t="str">
        <f t="shared" si="11"/>
        <v>CMP3_CMPOT31</v>
      </c>
    </row>
    <row r="287" spans="2:9">
      <c r="B287" s="181"/>
      <c r="C287" s="110" t="s">
        <v>1641</v>
      </c>
      <c r="D287" s="96" t="s">
        <v>681</v>
      </c>
      <c r="E287" s="97"/>
      <c r="G287" s="90">
        <v>1</v>
      </c>
      <c r="H287" s="98" t="str">
        <f t="shared" si="10"/>
        <v>CMP4</v>
      </c>
      <c r="I287" s="93" t="str">
        <f t="shared" si="11"/>
        <v>CMP4_CMPOT40</v>
      </c>
    </row>
    <row r="288" spans="2:9">
      <c r="B288" s="183"/>
      <c r="C288" s="110" t="s">
        <v>1641</v>
      </c>
      <c r="D288" s="96" t="s">
        <v>664</v>
      </c>
      <c r="E288" s="97"/>
      <c r="G288" s="90">
        <v>1</v>
      </c>
      <c r="H288" s="98" t="str">
        <f t="shared" si="10"/>
        <v>CMP4</v>
      </c>
      <c r="I288" s="93" t="str">
        <f t="shared" si="11"/>
        <v>CMP4_CMPOT41</v>
      </c>
    </row>
    <row r="289" spans="2:9">
      <c r="B289" s="180" t="s">
        <v>1102</v>
      </c>
      <c r="C289" s="96" t="s">
        <v>1103</v>
      </c>
      <c r="D289" s="130" t="s">
        <v>1784</v>
      </c>
      <c r="E289" s="97"/>
      <c r="G289" s="90">
        <v>1</v>
      </c>
      <c r="H289" s="98" t="str">
        <f t="shared" si="10"/>
        <v>DAC</v>
      </c>
      <c r="I289" s="93" t="str">
        <f t="shared" si="11"/>
        <v>DAC_DAOT0</v>
      </c>
    </row>
    <row r="290" spans="2:9">
      <c r="B290" s="183"/>
      <c r="C290" s="96" t="s">
        <v>1103</v>
      </c>
      <c r="D290" s="130" t="s">
        <v>1785</v>
      </c>
      <c r="E290" s="97"/>
      <c r="G290" s="90">
        <v>1</v>
      </c>
      <c r="H290" s="98" t="str">
        <f t="shared" si="10"/>
        <v>DAC</v>
      </c>
      <c r="I290" s="93" t="str">
        <f t="shared" si="11"/>
        <v>DAC_DAOT1</v>
      </c>
    </row>
    <row r="291" spans="2:9">
      <c r="B291" s="180" t="s">
        <v>1104</v>
      </c>
      <c r="C291" s="96" t="s">
        <v>1105</v>
      </c>
      <c r="D291" s="96" t="s">
        <v>720</v>
      </c>
      <c r="E291" s="97"/>
      <c r="G291" s="90">
        <v>2</v>
      </c>
      <c r="H291" s="98" t="str">
        <f t="shared" si="10"/>
        <v>P0</v>
      </c>
      <c r="I291" s="97" t="str">
        <f t="shared" si="11"/>
        <v>P0.0</v>
      </c>
    </row>
    <row r="292" spans="2:9">
      <c r="B292" s="181"/>
      <c r="C292" s="96" t="s">
        <v>1105</v>
      </c>
      <c r="D292" s="96" t="s">
        <v>721</v>
      </c>
      <c r="E292" s="97"/>
      <c r="G292" s="90">
        <v>2</v>
      </c>
      <c r="H292" s="98" t="str">
        <f t="shared" si="10"/>
        <v>P0</v>
      </c>
      <c r="I292" s="97" t="str">
        <f t="shared" si="11"/>
        <v>P0.1</v>
      </c>
    </row>
    <row r="293" spans="2:9">
      <c r="B293" s="181"/>
      <c r="C293" s="96" t="s">
        <v>1105</v>
      </c>
      <c r="D293" s="96" t="s">
        <v>722</v>
      </c>
      <c r="E293" s="97"/>
      <c r="G293" s="90">
        <v>2</v>
      </c>
      <c r="H293" s="98" t="str">
        <f t="shared" si="10"/>
        <v>P0</v>
      </c>
      <c r="I293" s="97" t="str">
        <f t="shared" si="11"/>
        <v>P0.2</v>
      </c>
    </row>
    <row r="294" spans="2:9">
      <c r="B294" s="181"/>
      <c r="C294" s="96" t="s">
        <v>1105</v>
      </c>
      <c r="D294" s="96" t="s">
        <v>723</v>
      </c>
      <c r="E294" s="97"/>
      <c r="G294" s="90">
        <v>2</v>
      </c>
      <c r="H294" s="98" t="str">
        <f t="shared" si="10"/>
        <v>P0</v>
      </c>
      <c r="I294" s="97" t="str">
        <f t="shared" si="11"/>
        <v>P0.3</v>
      </c>
    </row>
    <row r="295" spans="2:9">
      <c r="B295" s="181"/>
      <c r="C295" s="96" t="s">
        <v>1105</v>
      </c>
      <c r="D295" s="96" t="s">
        <v>724</v>
      </c>
      <c r="E295" s="97"/>
      <c r="G295" s="90">
        <v>2</v>
      </c>
      <c r="H295" s="98" t="str">
        <f t="shared" si="10"/>
        <v>P0</v>
      </c>
      <c r="I295" s="97" t="str">
        <f t="shared" si="11"/>
        <v>P0.4</v>
      </c>
    </row>
    <row r="296" spans="2:9">
      <c r="B296" s="181"/>
      <c r="C296" s="96" t="s">
        <v>1105</v>
      </c>
      <c r="D296" s="96" t="s">
        <v>725</v>
      </c>
      <c r="E296" s="97"/>
      <c r="G296" s="90">
        <v>2</v>
      </c>
      <c r="H296" s="98" t="str">
        <f t="shared" si="10"/>
        <v>P0</v>
      </c>
      <c r="I296" s="97" t="str">
        <f t="shared" si="11"/>
        <v>P0.5</v>
      </c>
    </row>
    <row r="297" spans="2:9">
      <c r="B297" s="181"/>
      <c r="C297" s="96" t="s">
        <v>1105</v>
      </c>
      <c r="D297" s="96" t="s">
        <v>726</v>
      </c>
      <c r="E297" s="97"/>
      <c r="G297" s="90">
        <v>2</v>
      </c>
      <c r="H297" s="98" t="str">
        <f t="shared" si="10"/>
        <v>P0</v>
      </c>
      <c r="I297" s="97" t="str">
        <f t="shared" si="11"/>
        <v>P0.6</v>
      </c>
    </row>
    <row r="298" spans="2:9">
      <c r="B298" s="181"/>
      <c r="C298" s="96" t="s">
        <v>1105</v>
      </c>
      <c r="D298" s="96" t="s">
        <v>727</v>
      </c>
      <c r="E298" s="97"/>
      <c r="G298" s="90">
        <v>2</v>
      </c>
      <c r="H298" s="98" t="str">
        <f t="shared" si="10"/>
        <v>P0</v>
      </c>
      <c r="I298" s="97" t="str">
        <f t="shared" si="11"/>
        <v>P0.7</v>
      </c>
    </row>
    <row r="299" spans="2:9">
      <c r="B299" s="181"/>
      <c r="C299" s="96" t="s">
        <v>1106</v>
      </c>
      <c r="D299" s="96" t="s">
        <v>750</v>
      </c>
      <c r="E299" s="97"/>
      <c r="G299" s="90">
        <v>2</v>
      </c>
      <c r="H299" s="98" t="str">
        <f t="shared" si="10"/>
        <v>P1</v>
      </c>
      <c r="I299" s="97" t="str">
        <f t="shared" si="11"/>
        <v>P1.0</v>
      </c>
    </row>
    <row r="300" spans="2:9">
      <c r="B300" s="181"/>
      <c r="C300" s="96" t="s">
        <v>1106</v>
      </c>
      <c r="D300" s="96" t="s">
        <v>751</v>
      </c>
      <c r="E300" s="97"/>
      <c r="G300" s="90">
        <v>2</v>
      </c>
      <c r="H300" s="98" t="str">
        <f t="shared" si="10"/>
        <v>P1</v>
      </c>
      <c r="I300" s="97" t="str">
        <f t="shared" si="11"/>
        <v>P1.1</v>
      </c>
    </row>
    <row r="301" spans="2:9">
      <c r="B301" s="181"/>
      <c r="C301" s="96" t="s">
        <v>1106</v>
      </c>
      <c r="D301" s="96" t="s">
        <v>752</v>
      </c>
      <c r="E301" s="97"/>
      <c r="G301" s="90">
        <v>2</v>
      </c>
      <c r="H301" s="98" t="str">
        <f t="shared" si="10"/>
        <v>P1</v>
      </c>
      <c r="I301" s="97" t="str">
        <f t="shared" si="11"/>
        <v>P1.2</v>
      </c>
    </row>
    <row r="302" spans="2:9">
      <c r="B302" s="181"/>
      <c r="C302" s="96" t="s">
        <v>1106</v>
      </c>
      <c r="D302" s="96" t="s">
        <v>753</v>
      </c>
      <c r="E302" s="97"/>
      <c r="G302" s="90">
        <v>2</v>
      </c>
      <c r="H302" s="98" t="str">
        <f t="shared" si="10"/>
        <v>P1</v>
      </c>
      <c r="I302" s="97" t="str">
        <f t="shared" si="11"/>
        <v>P1.3</v>
      </c>
    </row>
    <row r="303" spans="2:9">
      <c r="B303" s="181"/>
      <c r="C303" s="96" t="s">
        <v>1106</v>
      </c>
      <c r="D303" s="96" t="s">
        <v>754</v>
      </c>
      <c r="E303" s="97"/>
      <c r="G303" s="90">
        <v>2</v>
      </c>
      <c r="H303" s="98" t="str">
        <f t="shared" si="10"/>
        <v>P1</v>
      </c>
      <c r="I303" s="97" t="str">
        <f t="shared" si="11"/>
        <v>P1.4</v>
      </c>
    </row>
    <row r="304" spans="2:9">
      <c r="B304" s="181"/>
      <c r="C304" s="96" t="s">
        <v>1106</v>
      </c>
      <c r="D304" s="96" t="s">
        <v>755</v>
      </c>
      <c r="E304" s="97"/>
      <c r="G304" s="90">
        <v>2</v>
      </c>
      <c r="H304" s="98" t="str">
        <f t="shared" si="10"/>
        <v>P1</v>
      </c>
      <c r="I304" s="97" t="str">
        <f t="shared" si="11"/>
        <v>P1.5</v>
      </c>
    </row>
    <row r="305" spans="2:9">
      <c r="B305" s="181"/>
      <c r="C305" s="96" t="s">
        <v>1106</v>
      </c>
      <c r="D305" s="96" t="s">
        <v>756</v>
      </c>
      <c r="E305" s="97"/>
      <c r="G305" s="90">
        <v>2</v>
      </c>
      <c r="H305" s="98" t="str">
        <f t="shared" si="10"/>
        <v>P1</v>
      </c>
      <c r="I305" s="97" t="str">
        <f t="shared" si="11"/>
        <v>P1.6</v>
      </c>
    </row>
    <row r="306" spans="2:9">
      <c r="B306" s="181"/>
      <c r="C306" s="96" t="s">
        <v>1106</v>
      </c>
      <c r="D306" s="96" t="s">
        <v>757</v>
      </c>
      <c r="E306" s="97"/>
      <c r="G306" s="90">
        <v>2</v>
      </c>
      <c r="H306" s="98" t="str">
        <f t="shared" si="10"/>
        <v>P1</v>
      </c>
      <c r="I306" s="97" t="str">
        <f t="shared" si="11"/>
        <v>P1.7</v>
      </c>
    </row>
    <row r="307" spans="2:9">
      <c r="B307" s="181"/>
      <c r="C307" s="96" t="s">
        <v>1107</v>
      </c>
      <c r="D307" s="96" t="s">
        <v>785</v>
      </c>
      <c r="E307" s="97"/>
      <c r="G307" s="90">
        <v>2</v>
      </c>
      <c r="H307" s="98" t="str">
        <f t="shared" si="10"/>
        <v>P2</v>
      </c>
      <c r="I307" s="97" t="str">
        <f t="shared" si="11"/>
        <v>P2.0</v>
      </c>
    </row>
    <row r="308" spans="2:9">
      <c r="B308" s="181"/>
      <c r="C308" s="96" t="s">
        <v>1107</v>
      </c>
      <c r="D308" s="96" t="s">
        <v>786</v>
      </c>
      <c r="E308" s="97"/>
      <c r="G308" s="90">
        <v>2</v>
      </c>
      <c r="H308" s="98" t="str">
        <f t="shared" si="10"/>
        <v>P2</v>
      </c>
      <c r="I308" s="97" t="str">
        <f t="shared" si="11"/>
        <v>P2.1</v>
      </c>
    </row>
    <row r="309" spans="2:9">
      <c r="B309" s="181"/>
      <c r="C309" s="96" t="s">
        <v>1107</v>
      </c>
      <c r="D309" s="96" t="s">
        <v>787</v>
      </c>
      <c r="E309" s="97"/>
      <c r="G309" s="90">
        <v>2</v>
      </c>
      <c r="H309" s="98" t="str">
        <f t="shared" si="10"/>
        <v>P2</v>
      </c>
      <c r="I309" s="97" t="str">
        <f t="shared" si="11"/>
        <v>P2.2</v>
      </c>
    </row>
    <row r="310" spans="2:9">
      <c r="B310" s="181"/>
      <c r="C310" s="96" t="s">
        <v>1107</v>
      </c>
      <c r="D310" s="96" t="s">
        <v>790</v>
      </c>
      <c r="E310" s="97"/>
      <c r="G310" s="90">
        <v>2</v>
      </c>
      <c r="H310" s="98" t="str">
        <f t="shared" si="10"/>
        <v>P2</v>
      </c>
      <c r="I310" s="97" t="str">
        <f t="shared" si="11"/>
        <v>P2.4</v>
      </c>
    </row>
    <row r="311" spans="2:9">
      <c r="B311" s="181"/>
      <c r="C311" s="96" t="s">
        <v>1107</v>
      </c>
      <c r="D311" s="96" t="s">
        <v>791</v>
      </c>
      <c r="E311" s="97"/>
      <c r="G311" s="90">
        <v>2</v>
      </c>
      <c r="H311" s="98" t="str">
        <f t="shared" si="10"/>
        <v>P2</v>
      </c>
      <c r="I311" s="97" t="str">
        <f t="shared" si="11"/>
        <v>P2.5</v>
      </c>
    </row>
    <row r="312" spans="2:9">
      <c r="B312" s="181"/>
      <c r="C312" s="96" t="s">
        <v>1107</v>
      </c>
      <c r="D312" s="96" t="s">
        <v>792</v>
      </c>
      <c r="E312" s="97"/>
      <c r="G312" s="90">
        <v>2</v>
      </c>
      <c r="H312" s="98" t="str">
        <f t="shared" si="10"/>
        <v>P2</v>
      </c>
      <c r="I312" s="97" t="str">
        <f t="shared" si="11"/>
        <v>P2.6</v>
      </c>
    </row>
    <row r="313" spans="2:9">
      <c r="B313" s="181"/>
      <c r="C313" s="96" t="s">
        <v>1107</v>
      </c>
      <c r="D313" s="96" t="s">
        <v>793</v>
      </c>
      <c r="E313" s="97"/>
      <c r="G313" s="90">
        <v>2</v>
      </c>
      <c r="H313" s="98" t="str">
        <f t="shared" si="10"/>
        <v>P2</v>
      </c>
      <c r="I313" s="97" t="str">
        <f t="shared" si="11"/>
        <v>P2.7</v>
      </c>
    </row>
    <row r="314" spans="2:9">
      <c r="B314" s="181"/>
      <c r="C314" s="96" t="s">
        <v>1108</v>
      </c>
      <c r="D314" s="96" t="s">
        <v>782</v>
      </c>
      <c r="E314" s="97"/>
      <c r="G314" s="90">
        <v>2</v>
      </c>
      <c r="H314" s="98" t="str">
        <f t="shared" si="10"/>
        <v>P3</v>
      </c>
      <c r="I314" s="97" t="str">
        <f t="shared" si="11"/>
        <v>P3.0</v>
      </c>
    </row>
    <row r="315" spans="2:9">
      <c r="B315" s="181"/>
      <c r="C315" s="96" t="s">
        <v>1108</v>
      </c>
      <c r="D315" s="96" t="s">
        <v>783</v>
      </c>
      <c r="E315" s="97"/>
      <c r="G315" s="90">
        <v>2</v>
      </c>
      <c r="H315" s="98" t="str">
        <f t="shared" si="10"/>
        <v>P3</v>
      </c>
      <c r="I315" s="97" t="str">
        <f t="shared" si="11"/>
        <v>P3.1</v>
      </c>
    </row>
    <row r="316" spans="2:9">
      <c r="B316" s="181"/>
      <c r="C316" s="96" t="s">
        <v>1108</v>
      </c>
      <c r="D316" s="96" t="s">
        <v>784</v>
      </c>
      <c r="E316" s="97"/>
      <c r="G316" s="90">
        <v>2</v>
      </c>
      <c r="H316" s="98" t="str">
        <f t="shared" si="10"/>
        <v>P3</v>
      </c>
      <c r="I316" s="97" t="str">
        <f t="shared" si="11"/>
        <v>P3.2</v>
      </c>
    </row>
    <row r="317" spans="2:9">
      <c r="B317" s="181"/>
      <c r="C317" s="96" t="s">
        <v>1108</v>
      </c>
      <c r="D317" s="96" t="s">
        <v>766</v>
      </c>
      <c r="E317" s="97"/>
      <c r="G317" s="90">
        <v>2</v>
      </c>
      <c r="H317" s="98" t="str">
        <f t="shared" si="10"/>
        <v>P3</v>
      </c>
      <c r="I317" s="97" t="str">
        <f t="shared" si="11"/>
        <v>P3.4</v>
      </c>
    </row>
    <row r="318" spans="2:9">
      <c r="B318" s="181"/>
      <c r="C318" s="96" t="s">
        <v>1108</v>
      </c>
      <c r="D318" s="96" t="s">
        <v>767</v>
      </c>
      <c r="E318" s="97"/>
      <c r="G318" s="90">
        <v>2</v>
      </c>
      <c r="H318" s="98" t="str">
        <f t="shared" si="10"/>
        <v>P3</v>
      </c>
      <c r="I318" s="97" t="str">
        <f t="shared" si="11"/>
        <v>P3.5</v>
      </c>
    </row>
    <row r="319" spans="2:9">
      <c r="B319" s="181"/>
      <c r="C319" s="96" t="s">
        <v>1108</v>
      </c>
      <c r="D319" s="96" t="s">
        <v>768</v>
      </c>
      <c r="E319" s="97"/>
      <c r="G319" s="90">
        <v>2</v>
      </c>
      <c r="H319" s="98" t="str">
        <f t="shared" si="10"/>
        <v>P3</v>
      </c>
      <c r="I319" s="97" t="str">
        <f t="shared" si="11"/>
        <v>P3.6</v>
      </c>
    </row>
    <row r="320" spans="2:9">
      <c r="B320" s="181"/>
      <c r="C320" s="96" t="s">
        <v>1109</v>
      </c>
      <c r="D320" s="96" t="s">
        <v>769</v>
      </c>
      <c r="E320" s="97"/>
      <c r="G320" s="90">
        <v>2</v>
      </c>
      <c r="H320" s="98" t="str">
        <f t="shared" si="10"/>
        <v>P4</v>
      </c>
      <c r="I320" s="97" t="str">
        <f t="shared" si="11"/>
        <v>P4.0</v>
      </c>
    </row>
    <row r="321" spans="2:9">
      <c r="B321" s="181"/>
      <c r="C321" s="96" t="s">
        <v>1109</v>
      </c>
      <c r="D321" s="96" t="s">
        <v>770</v>
      </c>
      <c r="E321" s="97"/>
      <c r="G321" s="90">
        <v>2</v>
      </c>
      <c r="H321" s="98" t="str">
        <f t="shared" si="10"/>
        <v>P4</v>
      </c>
      <c r="I321" s="97" t="str">
        <f t="shared" si="11"/>
        <v>P4.1</v>
      </c>
    </row>
    <row r="322" spans="2:9">
      <c r="B322" s="181"/>
      <c r="C322" s="96" t="s">
        <v>1109</v>
      </c>
      <c r="D322" s="96" t="s">
        <v>771</v>
      </c>
      <c r="E322" s="97"/>
      <c r="G322" s="90">
        <v>2</v>
      </c>
      <c r="H322" s="98" t="str">
        <f t="shared" si="10"/>
        <v>P4</v>
      </c>
      <c r="I322" s="97" t="str">
        <f t="shared" si="11"/>
        <v>P4.2</v>
      </c>
    </row>
    <row r="323" spans="2:9">
      <c r="B323" s="181"/>
      <c r="C323" s="96" t="s">
        <v>1109</v>
      </c>
      <c r="D323" s="96" t="s">
        <v>794</v>
      </c>
      <c r="E323" s="97"/>
      <c r="G323" s="90">
        <v>2</v>
      </c>
      <c r="H323" s="98" t="str">
        <f t="shared" si="10"/>
        <v>P4</v>
      </c>
      <c r="I323" s="97" t="str">
        <f t="shared" si="11"/>
        <v>P4.4</v>
      </c>
    </row>
    <row r="324" spans="2:9">
      <c r="B324" s="181"/>
      <c r="C324" s="96" t="s">
        <v>1109</v>
      </c>
      <c r="D324" s="96" t="s">
        <v>795</v>
      </c>
      <c r="E324" s="97"/>
      <c r="G324" s="90">
        <v>2</v>
      </c>
      <c r="H324" s="98" t="str">
        <f t="shared" si="10"/>
        <v>P4</v>
      </c>
      <c r="I324" s="97" t="str">
        <f t="shared" si="11"/>
        <v>P4.5</v>
      </c>
    </row>
    <row r="325" spans="2:9">
      <c r="B325" s="181"/>
      <c r="C325" s="96" t="s">
        <v>1109</v>
      </c>
      <c r="D325" s="96" t="s">
        <v>796</v>
      </c>
      <c r="E325" s="97"/>
      <c r="G325" s="90">
        <v>2</v>
      </c>
      <c r="H325" s="98" t="str">
        <f t="shared" ref="H325:H388" si="12">C325</f>
        <v>P4</v>
      </c>
      <c r="I325" s="97" t="str">
        <f t="shared" ref="I325:I388" si="13">IF(G325=1,C325&amp;"_"&amp;IF(E325&lt;&gt;"",E325,D325),IF(E325&lt;&gt;"",E325,D325))</f>
        <v>P4.6</v>
      </c>
    </row>
    <row r="326" spans="2:9">
      <c r="B326" s="181"/>
      <c r="C326" s="96" t="s">
        <v>1109</v>
      </c>
      <c r="D326" s="96" t="s">
        <v>797</v>
      </c>
      <c r="E326" s="97"/>
      <c r="G326" s="90">
        <v>2</v>
      </c>
      <c r="H326" s="98" t="str">
        <f t="shared" si="12"/>
        <v>P4</v>
      </c>
      <c r="I326" s="97" t="str">
        <f t="shared" si="13"/>
        <v>P4.7</v>
      </c>
    </row>
    <row r="327" spans="2:9">
      <c r="B327" s="181"/>
      <c r="C327" s="96" t="s">
        <v>1110</v>
      </c>
      <c r="D327" s="96" t="s">
        <v>788</v>
      </c>
      <c r="E327" s="97"/>
      <c r="G327" s="90">
        <v>2</v>
      </c>
      <c r="H327" s="98" t="str">
        <f t="shared" si="12"/>
        <v>P5</v>
      </c>
      <c r="I327" s="97" t="str">
        <f t="shared" si="13"/>
        <v>P5.0</v>
      </c>
    </row>
    <row r="328" spans="2:9">
      <c r="B328" s="181"/>
      <c r="C328" s="96" t="s">
        <v>1110</v>
      </c>
      <c r="D328" s="96" t="s">
        <v>789</v>
      </c>
      <c r="E328" s="97"/>
      <c r="G328" s="90">
        <v>2</v>
      </c>
      <c r="H328" s="98" t="str">
        <f t="shared" si="12"/>
        <v>P5</v>
      </c>
      <c r="I328" s="97" t="str">
        <f t="shared" si="13"/>
        <v>P5.1</v>
      </c>
    </row>
    <row r="329" spans="2:9">
      <c r="B329" s="181"/>
      <c r="C329" s="96" t="s">
        <v>1110</v>
      </c>
      <c r="D329" s="96" t="s">
        <v>772</v>
      </c>
      <c r="E329" s="97"/>
      <c r="G329" s="90">
        <v>2</v>
      </c>
      <c r="H329" s="98" t="str">
        <f t="shared" si="12"/>
        <v>P5</v>
      </c>
      <c r="I329" s="97" t="str">
        <f t="shared" si="13"/>
        <v>P5.2</v>
      </c>
    </row>
    <row r="330" spans="2:9">
      <c r="B330" s="181"/>
      <c r="C330" s="96" t="s">
        <v>1110</v>
      </c>
      <c r="D330" s="96" t="s">
        <v>773</v>
      </c>
      <c r="E330" s="97"/>
      <c r="G330" s="90">
        <v>2</v>
      </c>
      <c r="H330" s="98" t="str">
        <f t="shared" si="12"/>
        <v>P5</v>
      </c>
      <c r="I330" s="97" t="str">
        <f t="shared" si="13"/>
        <v>P5.3</v>
      </c>
    </row>
    <row r="331" spans="2:9">
      <c r="B331" s="181"/>
      <c r="C331" s="96" t="s">
        <v>1110</v>
      </c>
      <c r="D331" s="96" t="s">
        <v>774</v>
      </c>
      <c r="E331" s="97"/>
      <c r="G331" s="90">
        <v>2</v>
      </c>
      <c r="H331" s="98" t="str">
        <f t="shared" si="12"/>
        <v>P5</v>
      </c>
      <c r="I331" s="97" t="str">
        <f t="shared" si="13"/>
        <v>P5.4</v>
      </c>
    </row>
    <row r="332" spans="2:9">
      <c r="B332" s="181"/>
      <c r="C332" s="96" t="s">
        <v>1110</v>
      </c>
      <c r="D332" s="96" t="s">
        <v>775</v>
      </c>
      <c r="E332" s="97"/>
      <c r="G332" s="90">
        <v>2</v>
      </c>
      <c r="H332" s="98" t="str">
        <f t="shared" si="12"/>
        <v>P5</v>
      </c>
      <c r="I332" s="97" t="str">
        <f t="shared" si="13"/>
        <v>P5.5</v>
      </c>
    </row>
    <row r="333" spans="2:9">
      <c r="B333" s="181"/>
      <c r="C333" s="96" t="s">
        <v>1110</v>
      </c>
      <c r="D333" s="96" t="s">
        <v>776</v>
      </c>
      <c r="E333" s="97"/>
      <c r="G333" s="90">
        <v>2</v>
      </c>
      <c r="H333" s="98" t="str">
        <f t="shared" si="12"/>
        <v>P5</v>
      </c>
      <c r="I333" s="97" t="str">
        <f t="shared" si="13"/>
        <v>P5.6</v>
      </c>
    </row>
    <row r="334" spans="2:9">
      <c r="B334" s="181"/>
      <c r="C334" s="96" t="s">
        <v>1110</v>
      </c>
      <c r="D334" s="96" t="s">
        <v>777</v>
      </c>
      <c r="E334" s="97"/>
      <c r="G334" s="90">
        <v>2</v>
      </c>
      <c r="H334" s="98" t="str">
        <f t="shared" si="12"/>
        <v>P5</v>
      </c>
      <c r="I334" s="97" t="str">
        <f t="shared" si="13"/>
        <v>P5.7</v>
      </c>
    </row>
    <row r="335" spans="2:9">
      <c r="B335" s="181"/>
      <c r="C335" s="96" t="s">
        <v>1111</v>
      </c>
      <c r="D335" s="96" t="s">
        <v>728</v>
      </c>
      <c r="E335" s="97"/>
      <c r="G335" s="90">
        <v>2</v>
      </c>
      <c r="H335" s="98" t="str">
        <f t="shared" si="12"/>
        <v>P6</v>
      </c>
      <c r="I335" s="97" t="str">
        <f t="shared" si="13"/>
        <v>P6.0</v>
      </c>
    </row>
    <row r="336" spans="2:9">
      <c r="B336" s="181"/>
      <c r="C336" s="96" t="s">
        <v>1111</v>
      </c>
      <c r="D336" s="96" t="s">
        <v>729</v>
      </c>
      <c r="E336" s="97"/>
      <c r="G336" s="90">
        <v>2</v>
      </c>
      <c r="H336" s="98" t="str">
        <f t="shared" si="12"/>
        <v>P6</v>
      </c>
      <c r="I336" s="97" t="str">
        <f t="shared" si="13"/>
        <v>P6.1</v>
      </c>
    </row>
    <row r="337" spans="2:9">
      <c r="B337" s="181"/>
      <c r="C337" s="96" t="s">
        <v>1111</v>
      </c>
      <c r="D337" s="96" t="s">
        <v>730</v>
      </c>
      <c r="E337" s="97"/>
      <c r="G337" s="90">
        <v>2</v>
      </c>
      <c r="H337" s="98" t="str">
        <f t="shared" si="12"/>
        <v>P6</v>
      </c>
      <c r="I337" s="97" t="str">
        <f t="shared" si="13"/>
        <v>P6.2</v>
      </c>
    </row>
    <row r="338" spans="2:9">
      <c r="B338" s="181"/>
      <c r="C338" s="96" t="s">
        <v>1111</v>
      </c>
      <c r="D338" s="96" t="s">
        <v>731</v>
      </c>
      <c r="E338" s="97"/>
      <c r="G338" s="90">
        <v>2</v>
      </c>
      <c r="H338" s="98" t="str">
        <f t="shared" si="12"/>
        <v>P6</v>
      </c>
      <c r="I338" s="97" t="str">
        <f t="shared" si="13"/>
        <v>P6.3</v>
      </c>
    </row>
    <row r="339" spans="2:9">
      <c r="B339" s="181"/>
      <c r="C339" s="96" t="s">
        <v>1111</v>
      </c>
      <c r="D339" s="96" t="s">
        <v>732</v>
      </c>
      <c r="E339" s="97"/>
      <c r="G339" s="90">
        <v>2</v>
      </c>
      <c r="H339" s="98" t="str">
        <f t="shared" si="12"/>
        <v>P6</v>
      </c>
      <c r="I339" s="97" t="str">
        <f t="shared" si="13"/>
        <v>P6.4</v>
      </c>
    </row>
    <row r="340" spans="2:9">
      <c r="B340" s="181"/>
      <c r="C340" s="96" t="s">
        <v>1111</v>
      </c>
      <c r="D340" s="96" t="s">
        <v>733</v>
      </c>
      <c r="E340" s="97"/>
      <c r="G340" s="90">
        <v>2</v>
      </c>
      <c r="H340" s="98" t="str">
        <f t="shared" si="12"/>
        <v>P6</v>
      </c>
      <c r="I340" s="97" t="str">
        <f t="shared" si="13"/>
        <v>P6.5</v>
      </c>
    </row>
    <row r="341" spans="2:9">
      <c r="B341" s="181"/>
      <c r="C341" s="96" t="s">
        <v>1111</v>
      </c>
      <c r="D341" s="96" t="s">
        <v>734</v>
      </c>
      <c r="E341" s="97"/>
      <c r="G341" s="90">
        <v>2</v>
      </c>
      <c r="H341" s="98" t="str">
        <f t="shared" si="12"/>
        <v>P6</v>
      </c>
      <c r="I341" s="97" t="str">
        <f t="shared" si="13"/>
        <v>P6.6</v>
      </c>
    </row>
    <row r="342" spans="2:9">
      <c r="B342" s="181"/>
      <c r="C342" s="96" t="s">
        <v>1111</v>
      </c>
      <c r="D342" s="96" t="s">
        <v>735</v>
      </c>
      <c r="E342" s="97"/>
      <c r="G342" s="90">
        <v>2</v>
      </c>
      <c r="H342" s="98" t="str">
        <f t="shared" si="12"/>
        <v>P6</v>
      </c>
      <c r="I342" s="97" t="str">
        <f t="shared" si="13"/>
        <v>P6.7</v>
      </c>
    </row>
    <row r="343" spans="2:9">
      <c r="B343" s="181"/>
      <c r="C343" s="96" t="s">
        <v>1112</v>
      </c>
      <c r="D343" s="96" t="s">
        <v>758</v>
      </c>
      <c r="E343" s="97"/>
      <c r="G343" s="90">
        <v>2</v>
      </c>
      <c r="H343" s="98" t="str">
        <f t="shared" si="12"/>
        <v>P7</v>
      </c>
      <c r="I343" s="97" t="str">
        <f t="shared" si="13"/>
        <v>P7.0</v>
      </c>
    </row>
    <row r="344" spans="2:9">
      <c r="B344" s="181"/>
      <c r="C344" s="96" t="s">
        <v>1112</v>
      </c>
      <c r="D344" s="96" t="s">
        <v>759</v>
      </c>
      <c r="E344" s="97"/>
      <c r="G344" s="90">
        <v>2</v>
      </c>
      <c r="H344" s="98" t="str">
        <f t="shared" si="12"/>
        <v>P7</v>
      </c>
      <c r="I344" s="97" t="str">
        <f t="shared" si="13"/>
        <v>P7.1</v>
      </c>
    </row>
    <row r="345" spans="2:9">
      <c r="B345" s="181"/>
      <c r="C345" s="96" t="s">
        <v>1112</v>
      </c>
      <c r="D345" s="96" t="s">
        <v>760</v>
      </c>
      <c r="E345" s="97"/>
      <c r="G345" s="90">
        <v>2</v>
      </c>
      <c r="H345" s="98" t="str">
        <f t="shared" si="12"/>
        <v>P7</v>
      </c>
      <c r="I345" s="97" t="str">
        <f t="shared" si="13"/>
        <v>P7.2</v>
      </c>
    </row>
    <row r="346" spans="2:9">
      <c r="B346" s="181"/>
      <c r="C346" s="96" t="s">
        <v>1112</v>
      </c>
      <c r="D346" s="96" t="s">
        <v>761</v>
      </c>
      <c r="E346" s="97"/>
      <c r="G346" s="90">
        <v>2</v>
      </c>
      <c r="H346" s="98" t="str">
        <f t="shared" si="12"/>
        <v>P7</v>
      </c>
      <c r="I346" s="97" t="str">
        <f t="shared" si="13"/>
        <v>P7.3</v>
      </c>
    </row>
    <row r="347" spans="2:9">
      <c r="B347" s="181"/>
      <c r="C347" s="96" t="s">
        <v>1112</v>
      </c>
      <c r="D347" s="96" t="s">
        <v>778</v>
      </c>
      <c r="E347" s="97"/>
      <c r="G347" s="90">
        <v>2</v>
      </c>
      <c r="H347" s="98" t="str">
        <f t="shared" si="12"/>
        <v>P7</v>
      </c>
      <c r="I347" s="97" t="str">
        <f t="shared" si="13"/>
        <v>P7.4</v>
      </c>
    </row>
    <row r="348" spans="2:9">
      <c r="B348" s="181"/>
      <c r="C348" s="96" t="s">
        <v>1112</v>
      </c>
      <c r="D348" s="96" t="s">
        <v>779</v>
      </c>
      <c r="E348" s="97"/>
      <c r="G348" s="90">
        <v>2</v>
      </c>
      <c r="H348" s="98" t="str">
        <f t="shared" si="12"/>
        <v>P7</v>
      </c>
      <c r="I348" s="97" t="str">
        <f t="shared" si="13"/>
        <v>P7.5</v>
      </c>
    </row>
    <row r="349" spans="2:9">
      <c r="B349" s="181"/>
      <c r="C349" s="96" t="s">
        <v>1112</v>
      </c>
      <c r="D349" s="96" t="s">
        <v>780</v>
      </c>
      <c r="E349" s="97"/>
      <c r="G349" s="90">
        <v>2</v>
      </c>
      <c r="H349" s="98" t="str">
        <f t="shared" si="12"/>
        <v>P7</v>
      </c>
      <c r="I349" s="97" t="str">
        <f t="shared" si="13"/>
        <v>P7.6</v>
      </c>
    </row>
    <row r="350" spans="2:9">
      <c r="B350" s="181"/>
      <c r="C350" s="96" t="s">
        <v>1112</v>
      </c>
      <c r="D350" s="96" t="s">
        <v>781</v>
      </c>
      <c r="E350" s="97"/>
      <c r="G350" s="90">
        <v>2</v>
      </c>
      <c r="H350" s="98" t="str">
        <f t="shared" si="12"/>
        <v>P7</v>
      </c>
      <c r="I350" s="97" t="str">
        <f t="shared" si="13"/>
        <v>P7.7</v>
      </c>
    </row>
    <row r="351" spans="2:9">
      <c r="B351" s="181"/>
      <c r="C351" s="96" t="s">
        <v>1113</v>
      </c>
      <c r="D351" s="96" t="s">
        <v>736</v>
      </c>
      <c r="E351" s="97"/>
      <c r="G351" s="90">
        <v>2</v>
      </c>
      <c r="H351" s="98" t="str">
        <f t="shared" si="12"/>
        <v>P8</v>
      </c>
      <c r="I351" s="97" t="str">
        <f t="shared" si="13"/>
        <v>P8.0</v>
      </c>
    </row>
    <row r="352" spans="2:9">
      <c r="B352" s="181"/>
      <c r="C352" s="96" t="s">
        <v>1113</v>
      </c>
      <c r="D352" s="96" t="s">
        <v>737</v>
      </c>
      <c r="E352" s="97"/>
      <c r="G352" s="90">
        <v>2</v>
      </c>
      <c r="H352" s="98" t="str">
        <f t="shared" si="12"/>
        <v>P8</v>
      </c>
      <c r="I352" s="97" t="str">
        <f t="shared" si="13"/>
        <v>P8.1</v>
      </c>
    </row>
    <row r="353" spans="2:9">
      <c r="B353" s="181"/>
      <c r="C353" s="96" t="s">
        <v>1113</v>
      </c>
      <c r="D353" s="96" t="s">
        <v>738</v>
      </c>
      <c r="E353" s="97"/>
      <c r="G353" s="90">
        <v>2</v>
      </c>
      <c r="H353" s="98" t="str">
        <f t="shared" si="12"/>
        <v>P8</v>
      </c>
      <c r="I353" s="97" t="str">
        <f t="shared" si="13"/>
        <v>P8.2</v>
      </c>
    </row>
    <row r="354" spans="2:9">
      <c r="B354" s="181"/>
      <c r="C354" s="96" t="s">
        <v>1113</v>
      </c>
      <c r="D354" s="96" t="s">
        <v>739</v>
      </c>
      <c r="E354" s="97"/>
      <c r="G354" s="90">
        <v>2</v>
      </c>
      <c r="H354" s="98" t="str">
        <f t="shared" si="12"/>
        <v>P8</v>
      </c>
      <c r="I354" s="97" t="str">
        <f t="shared" si="13"/>
        <v>P8.3</v>
      </c>
    </row>
    <row r="355" spans="2:9">
      <c r="B355" s="181"/>
      <c r="C355" s="96" t="s">
        <v>1113</v>
      </c>
      <c r="D355" s="96" t="s">
        <v>740</v>
      </c>
      <c r="E355" s="97"/>
      <c r="G355" s="90">
        <v>2</v>
      </c>
      <c r="H355" s="98" t="str">
        <f t="shared" si="12"/>
        <v>P8</v>
      </c>
      <c r="I355" s="97" t="str">
        <f t="shared" si="13"/>
        <v>P8.4</v>
      </c>
    </row>
    <row r="356" spans="2:9">
      <c r="B356" s="181"/>
      <c r="C356" s="96" t="s">
        <v>1113</v>
      </c>
      <c r="D356" s="96" t="s">
        <v>741</v>
      </c>
      <c r="E356" s="97"/>
      <c r="G356" s="90">
        <v>2</v>
      </c>
      <c r="H356" s="98" t="str">
        <f t="shared" si="12"/>
        <v>P8</v>
      </c>
      <c r="I356" s="97" t="str">
        <f t="shared" si="13"/>
        <v>P8.5</v>
      </c>
    </row>
    <row r="357" spans="2:9">
      <c r="B357" s="181"/>
      <c r="C357" s="96" t="s">
        <v>1113</v>
      </c>
      <c r="D357" s="96" t="s">
        <v>742</v>
      </c>
      <c r="E357" s="97"/>
      <c r="G357" s="90">
        <v>2</v>
      </c>
      <c r="H357" s="98" t="str">
        <f t="shared" si="12"/>
        <v>P8</v>
      </c>
      <c r="I357" s="97" t="str">
        <f t="shared" si="13"/>
        <v>P8.6</v>
      </c>
    </row>
    <row r="358" spans="2:9">
      <c r="B358" s="181"/>
      <c r="C358" s="96" t="s">
        <v>1113</v>
      </c>
      <c r="D358" s="96" t="s">
        <v>743</v>
      </c>
      <c r="E358" s="97"/>
      <c r="G358" s="90">
        <v>2</v>
      </c>
      <c r="H358" s="98" t="str">
        <f t="shared" si="12"/>
        <v>P8</v>
      </c>
      <c r="I358" s="97" t="str">
        <f t="shared" si="13"/>
        <v>P8.7</v>
      </c>
    </row>
    <row r="359" spans="2:9">
      <c r="B359" s="181"/>
      <c r="C359" s="96" t="s">
        <v>1114</v>
      </c>
      <c r="D359" s="96" t="s">
        <v>744</v>
      </c>
      <c r="E359" s="97"/>
      <c r="G359" s="90">
        <v>2</v>
      </c>
      <c r="H359" s="98" t="str">
        <f t="shared" si="12"/>
        <v>P9</v>
      </c>
      <c r="I359" s="97" t="str">
        <f t="shared" si="13"/>
        <v>P9.0</v>
      </c>
    </row>
    <row r="360" spans="2:9">
      <c r="B360" s="181"/>
      <c r="C360" s="96" t="s">
        <v>1114</v>
      </c>
      <c r="D360" s="96" t="s">
        <v>745</v>
      </c>
      <c r="E360" s="97"/>
      <c r="G360" s="90">
        <v>2</v>
      </c>
      <c r="H360" s="98" t="str">
        <f t="shared" si="12"/>
        <v>P9</v>
      </c>
      <c r="I360" s="97" t="str">
        <f t="shared" si="13"/>
        <v>P9.1</v>
      </c>
    </row>
    <row r="361" spans="2:9">
      <c r="B361" s="181"/>
      <c r="C361" s="96" t="s">
        <v>1114</v>
      </c>
      <c r="D361" s="96" t="s">
        <v>746</v>
      </c>
      <c r="E361" s="97"/>
      <c r="G361" s="90">
        <v>2</v>
      </c>
      <c r="H361" s="98" t="str">
        <f t="shared" si="12"/>
        <v>P9</v>
      </c>
      <c r="I361" s="97" t="str">
        <f t="shared" si="13"/>
        <v>P9.2</v>
      </c>
    </row>
    <row r="362" spans="2:9">
      <c r="B362" s="181"/>
      <c r="C362" s="96" t="s">
        <v>1114</v>
      </c>
      <c r="D362" s="96" t="s">
        <v>747</v>
      </c>
      <c r="E362" s="97"/>
      <c r="G362" s="90">
        <v>2</v>
      </c>
      <c r="H362" s="98" t="str">
        <f t="shared" si="12"/>
        <v>P9</v>
      </c>
      <c r="I362" s="97" t="str">
        <f t="shared" si="13"/>
        <v>P9.3</v>
      </c>
    </row>
    <row r="363" spans="2:9">
      <c r="B363" s="181"/>
      <c r="C363" s="96" t="s">
        <v>1114</v>
      </c>
      <c r="D363" s="96" t="s">
        <v>748</v>
      </c>
      <c r="E363" s="97"/>
      <c r="G363" s="90">
        <v>2</v>
      </c>
      <c r="H363" s="98" t="str">
        <f t="shared" si="12"/>
        <v>P9</v>
      </c>
      <c r="I363" s="97" t="str">
        <f t="shared" si="13"/>
        <v>P9.4</v>
      </c>
    </row>
    <row r="364" spans="2:9">
      <c r="B364" s="181"/>
      <c r="C364" s="96" t="s">
        <v>1114</v>
      </c>
      <c r="D364" s="96" t="s">
        <v>749</v>
      </c>
      <c r="E364" s="97"/>
      <c r="G364" s="90">
        <v>2</v>
      </c>
      <c r="H364" s="98" t="str">
        <f t="shared" si="12"/>
        <v>P9</v>
      </c>
      <c r="I364" s="97" t="str">
        <f t="shared" si="13"/>
        <v>P9.5</v>
      </c>
    </row>
    <row r="365" spans="2:9">
      <c r="B365" s="181"/>
      <c r="C365" s="96" t="s">
        <v>1114</v>
      </c>
      <c r="D365" s="96" t="s">
        <v>718</v>
      </c>
      <c r="E365" s="97"/>
      <c r="G365" s="90">
        <v>2</v>
      </c>
      <c r="H365" s="98" t="str">
        <f t="shared" si="12"/>
        <v>P9</v>
      </c>
      <c r="I365" s="97" t="str">
        <f t="shared" si="13"/>
        <v>P9.6</v>
      </c>
    </row>
    <row r="366" spans="2:9">
      <c r="B366" s="181"/>
      <c r="C366" s="96" t="s">
        <v>1114</v>
      </c>
      <c r="D366" s="96" t="s">
        <v>719</v>
      </c>
      <c r="E366" s="97"/>
      <c r="G366" s="90">
        <v>2</v>
      </c>
      <c r="H366" s="98" t="str">
        <f t="shared" si="12"/>
        <v>P9</v>
      </c>
      <c r="I366" s="97" t="str">
        <f t="shared" si="13"/>
        <v>P9.7</v>
      </c>
    </row>
    <row r="367" spans="2:9">
      <c r="B367" s="181"/>
      <c r="C367" s="96" t="s">
        <v>1115</v>
      </c>
      <c r="D367" s="96" t="s">
        <v>171</v>
      </c>
      <c r="E367" s="97"/>
      <c r="G367" s="90">
        <v>2</v>
      </c>
      <c r="H367" s="98" t="str">
        <f t="shared" si="12"/>
        <v>PA</v>
      </c>
      <c r="I367" s="97" t="str">
        <f t="shared" si="13"/>
        <v>PA.0</v>
      </c>
    </row>
    <row r="368" spans="2:9">
      <c r="B368" s="181"/>
      <c r="C368" s="96" t="s">
        <v>1115</v>
      </c>
      <c r="D368" s="96" t="s">
        <v>169</v>
      </c>
      <c r="E368" s="97"/>
      <c r="G368" s="90">
        <v>2</v>
      </c>
      <c r="H368" s="98" t="str">
        <f t="shared" si="12"/>
        <v>PA</v>
      </c>
      <c r="I368" s="97" t="str">
        <f t="shared" si="13"/>
        <v>PA.1</v>
      </c>
    </row>
    <row r="369" spans="2:9">
      <c r="B369" s="181"/>
      <c r="C369" s="96" t="s">
        <v>1115</v>
      </c>
      <c r="D369" s="96" t="s">
        <v>167</v>
      </c>
      <c r="E369" s="97"/>
      <c r="G369" s="90">
        <v>2</v>
      </c>
      <c r="H369" s="98" t="str">
        <f t="shared" si="12"/>
        <v>PA</v>
      </c>
      <c r="I369" s="97" t="str">
        <f t="shared" si="13"/>
        <v>PA.2</v>
      </c>
    </row>
    <row r="370" spans="2:9">
      <c r="B370" s="181"/>
      <c r="C370" s="96" t="s">
        <v>1115</v>
      </c>
      <c r="D370" s="96" t="s">
        <v>165</v>
      </c>
      <c r="E370" s="97"/>
      <c r="G370" s="90">
        <v>2</v>
      </c>
      <c r="H370" s="98" t="str">
        <f t="shared" si="12"/>
        <v>PA</v>
      </c>
      <c r="I370" s="97" t="str">
        <f t="shared" si="13"/>
        <v>PA.3</v>
      </c>
    </row>
    <row r="371" spans="2:9">
      <c r="B371" s="181"/>
      <c r="C371" s="96" t="s">
        <v>1115</v>
      </c>
      <c r="D371" s="96" t="s">
        <v>163</v>
      </c>
      <c r="E371" s="97"/>
      <c r="G371" s="90">
        <v>2</v>
      </c>
      <c r="H371" s="98" t="str">
        <f t="shared" si="12"/>
        <v>PA</v>
      </c>
      <c r="I371" s="97" t="str">
        <f t="shared" si="13"/>
        <v>PA.4</v>
      </c>
    </row>
    <row r="372" spans="2:9">
      <c r="B372" s="181"/>
      <c r="C372" s="96" t="s">
        <v>1115</v>
      </c>
      <c r="D372" s="96" t="s">
        <v>161</v>
      </c>
      <c r="E372" s="97"/>
      <c r="G372" s="90">
        <v>2</v>
      </c>
      <c r="H372" s="98" t="str">
        <f t="shared" si="12"/>
        <v>PA</v>
      </c>
      <c r="I372" s="97" t="str">
        <f t="shared" si="13"/>
        <v>PA.5</v>
      </c>
    </row>
    <row r="373" spans="2:9">
      <c r="B373" s="181"/>
      <c r="C373" s="96" t="s">
        <v>1115</v>
      </c>
      <c r="D373" s="96" t="s">
        <v>158</v>
      </c>
      <c r="E373" s="97"/>
      <c r="G373" s="90">
        <v>2</v>
      </c>
      <c r="H373" s="98" t="str">
        <f t="shared" si="12"/>
        <v>PA</v>
      </c>
      <c r="I373" s="97" t="str">
        <f t="shared" si="13"/>
        <v>PA.6</v>
      </c>
    </row>
    <row r="374" spans="2:9">
      <c r="B374" s="181"/>
      <c r="C374" s="96" t="s">
        <v>1115</v>
      </c>
      <c r="D374" s="96" t="s">
        <v>156</v>
      </c>
      <c r="E374" s="97"/>
      <c r="G374" s="90">
        <v>2</v>
      </c>
      <c r="H374" s="98" t="str">
        <f t="shared" si="12"/>
        <v>PA</v>
      </c>
      <c r="I374" s="97" t="str">
        <f t="shared" si="13"/>
        <v>PA.7</v>
      </c>
    </row>
    <row r="375" spans="2:9">
      <c r="B375" s="181"/>
      <c r="C375" s="96" t="s">
        <v>1116</v>
      </c>
      <c r="D375" s="96" t="s">
        <v>81</v>
      </c>
      <c r="E375" s="97"/>
      <c r="G375" s="90">
        <v>2</v>
      </c>
      <c r="H375" s="98" t="str">
        <f t="shared" si="12"/>
        <v>PB</v>
      </c>
      <c r="I375" s="97" t="str">
        <f t="shared" si="13"/>
        <v>PB.0</v>
      </c>
    </row>
    <row r="376" spans="2:9">
      <c r="B376" s="181"/>
      <c r="C376" s="96" t="s">
        <v>1116</v>
      </c>
      <c r="D376" s="96" t="s">
        <v>61</v>
      </c>
      <c r="E376" s="97"/>
      <c r="G376" s="90">
        <v>2</v>
      </c>
      <c r="H376" s="98" t="str">
        <f t="shared" si="12"/>
        <v>PB</v>
      </c>
      <c r="I376" s="97" t="str">
        <f t="shared" si="13"/>
        <v>PB.1</v>
      </c>
    </row>
    <row r="377" spans="2:9">
      <c r="B377" s="181"/>
      <c r="C377" s="96" t="s">
        <v>1116</v>
      </c>
      <c r="D377" s="96" t="s">
        <v>62</v>
      </c>
      <c r="E377" s="97"/>
      <c r="G377" s="90">
        <v>2</v>
      </c>
      <c r="H377" s="98" t="str">
        <f t="shared" si="12"/>
        <v>PB</v>
      </c>
      <c r="I377" s="97" t="str">
        <f t="shared" si="13"/>
        <v>PB.2</v>
      </c>
    </row>
    <row r="378" spans="2:9">
      <c r="B378" s="181"/>
      <c r="C378" s="96" t="s">
        <v>1116</v>
      </c>
      <c r="D378" s="96" t="s">
        <v>63</v>
      </c>
      <c r="E378" s="97"/>
      <c r="G378" s="90">
        <v>2</v>
      </c>
      <c r="H378" s="98" t="str">
        <f t="shared" si="12"/>
        <v>PB</v>
      </c>
      <c r="I378" s="97" t="str">
        <f t="shared" si="13"/>
        <v>PB.3</v>
      </c>
    </row>
    <row r="379" spans="2:9">
      <c r="B379" s="181"/>
      <c r="C379" s="96" t="s">
        <v>1116</v>
      </c>
      <c r="D379" s="96" t="s">
        <v>71</v>
      </c>
      <c r="E379" s="97"/>
      <c r="G379" s="90">
        <v>2</v>
      </c>
      <c r="H379" s="98" t="str">
        <f t="shared" si="12"/>
        <v>PB</v>
      </c>
      <c r="I379" s="97" t="str">
        <f t="shared" si="13"/>
        <v>PB.4</v>
      </c>
    </row>
    <row r="380" spans="2:9">
      <c r="B380" s="181"/>
      <c r="C380" s="96" t="s">
        <v>1116</v>
      </c>
      <c r="D380" s="96" t="s">
        <v>764</v>
      </c>
      <c r="E380" s="97"/>
      <c r="G380" s="90">
        <v>2</v>
      </c>
      <c r="H380" s="98" t="str">
        <f t="shared" si="12"/>
        <v>PB</v>
      </c>
      <c r="I380" s="97" t="str">
        <f t="shared" si="13"/>
        <v>PB.6</v>
      </c>
    </row>
    <row r="381" spans="2:9">
      <c r="B381" s="181"/>
      <c r="C381" s="96" t="s">
        <v>1116</v>
      </c>
      <c r="D381" s="96" t="s">
        <v>765</v>
      </c>
      <c r="E381" s="97"/>
      <c r="G381" s="90">
        <v>2</v>
      </c>
      <c r="H381" s="98" t="str">
        <f t="shared" si="12"/>
        <v>PB</v>
      </c>
      <c r="I381" s="97" t="str">
        <f t="shared" si="13"/>
        <v>PB.7</v>
      </c>
    </row>
    <row r="382" spans="2:9">
      <c r="B382" s="181"/>
      <c r="C382" s="96" t="s">
        <v>1117</v>
      </c>
      <c r="D382" s="96" t="s">
        <v>188</v>
      </c>
      <c r="E382" s="97"/>
      <c r="G382" s="90">
        <v>2</v>
      </c>
      <c r="H382" s="98" t="str">
        <f t="shared" si="12"/>
        <v>PC</v>
      </c>
      <c r="I382" s="97" t="str">
        <f t="shared" si="13"/>
        <v>PC.0</v>
      </c>
    </row>
    <row r="383" spans="2:9">
      <c r="B383" s="181"/>
      <c r="C383" s="96" t="s">
        <v>1117</v>
      </c>
      <c r="D383" s="96" t="s">
        <v>21</v>
      </c>
      <c r="E383" s="97"/>
      <c r="G383" s="90">
        <v>2</v>
      </c>
      <c r="H383" s="98" t="str">
        <f t="shared" si="12"/>
        <v>PC</v>
      </c>
      <c r="I383" s="97" t="str">
        <f t="shared" si="13"/>
        <v>PC.1</v>
      </c>
    </row>
    <row r="384" spans="2:9">
      <c r="B384" s="181"/>
      <c r="C384" s="96" t="s">
        <v>1117</v>
      </c>
      <c r="D384" s="96" t="s">
        <v>23</v>
      </c>
      <c r="E384" s="97"/>
      <c r="G384" s="90">
        <v>2</v>
      </c>
      <c r="H384" s="98" t="str">
        <f t="shared" si="12"/>
        <v>PC</v>
      </c>
      <c r="I384" s="97" t="str">
        <f t="shared" si="13"/>
        <v>PC.2</v>
      </c>
    </row>
    <row r="385" spans="2:9">
      <c r="B385" s="181"/>
      <c r="C385" s="96" t="s">
        <v>1117</v>
      </c>
      <c r="D385" s="96" t="s">
        <v>24</v>
      </c>
      <c r="E385" s="97"/>
      <c r="G385" s="90">
        <v>2</v>
      </c>
      <c r="H385" s="98" t="str">
        <f t="shared" si="12"/>
        <v>PC</v>
      </c>
      <c r="I385" s="97" t="str">
        <f t="shared" si="13"/>
        <v>PC.3</v>
      </c>
    </row>
    <row r="386" spans="2:9">
      <c r="B386" s="181"/>
      <c r="C386" s="96" t="s">
        <v>1117</v>
      </c>
      <c r="D386" s="96" t="s">
        <v>25</v>
      </c>
      <c r="E386" s="97"/>
      <c r="G386" s="90">
        <v>2</v>
      </c>
      <c r="H386" s="98" t="str">
        <f t="shared" si="12"/>
        <v>PC</v>
      </c>
      <c r="I386" s="97" t="str">
        <f t="shared" si="13"/>
        <v>PC.4</v>
      </c>
    </row>
    <row r="387" spans="2:9">
      <c r="B387" s="181"/>
      <c r="C387" s="96" t="s">
        <v>1117</v>
      </c>
      <c r="D387" s="96" t="s">
        <v>763</v>
      </c>
      <c r="E387" s="97"/>
      <c r="G387" s="90">
        <v>2</v>
      </c>
      <c r="H387" s="98" t="str">
        <f t="shared" si="12"/>
        <v>PC</v>
      </c>
      <c r="I387" s="97" t="str">
        <f t="shared" si="13"/>
        <v>PC.5</v>
      </c>
    </row>
    <row r="388" spans="2:9">
      <c r="B388" s="181"/>
      <c r="C388" s="96" t="s">
        <v>1117</v>
      </c>
      <c r="D388" s="96" t="s">
        <v>26</v>
      </c>
      <c r="E388" s="97"/>
      <c r="G388" s="90">
        <v>2</v>
      </c>
      <c r="H388" s="98" t="str">
        <f t="shared" si="12"/>
        <v>PC</v>
      </c>
      <c r="I388" s="97" t="str">
        <f t="shared" si="13"/>
        <v>PC.6</v>
      </c>
    </row>
    <row r="389" spans="2:9">
      <c r="B389" s="181"/>
      <c r="C389" s="96" t="s">
        <v>1117</v>
      </c>
      <c r="D389" s="96" t="s">
        <v>27</v>
      </c>
      <c r="E389" s="97"/>
      <c r="G389" s="90">
        <v>2</v>
      </c>
      <c r="H389" s="98" t="str">
        <f t="shared" ref="H389:H413" si="14">C389</f>
        <v>PC</v>
      </c>
      <c r="I389" s="97" t="str">
        <f t="shared" ref="I389:I413" si="15">IF(G389=1,C389&amp;"_"&amp;IF(E389&lt;&gt;"",E389,D389),IF(E389&lt;&gt;"",E389,D389))</f>
        <v>PC.7</v>
      </c>
    </row>
    <row r="390" spans="2:9">
      <c r="B390" s="181"/>
      <c r="C390" s="96" t="s">
        <v>1118</v>
      </c>
      <c r="D390" s="96" t="s">
        <v>211</v>
      </c>
      <c r="E390" s="97"/>
      <c r="G390" s="90">
        <v>2</v>
      </c>
      <c r="H390" s="98" t="str">
        <f t="shared" si="14"/>
        <v>PD</v>
      </c>
      <c r="I390" s="97" t="str">
        <f t="shared" si="15"/>
        <v>PD.0</v>
      </c>
    </row>
    <row r="391" spans="2:9">
      <c r="B391" s="181"/>
      <c r="C391" s="96" t="s">
        <v>1118</v>
      </c>
      <c r="D391" s="96" t="s">
        <v>33</v>
      </c>
      <c r="E391" s="97"/>
      <c r="G391" s="90">
        <v>2</v>
      </c>
      <c r="H391" s="98" t="str">
        <f t="shared" si="14"/>
        <v>PD</v>
      </c>
      <c r="I391" s="97" t="str">
        <f t="shared" si="15"/>
        <v>PD.1</v>
      </c>
    </row>
    <row r="392" spans="2:9">
      <c r="B392" s="181"/>
      <c r="C392" s="96" t="s">
        <v>1118</v>
      </c>
      <c r="D392" s="96" t="s">
        <v>34</v>
      </c>
      <c r="E392" s="97"/>
      <c r="G392" s="90">
        <v>2</v>
      </c>
      <c r="H392" s="98" t="str">
        <f t="shared" si="14"/>
        <v>PD</v>
      </c>
      <c r="I392" s="97" t="str">
        <f t="shared" si="15"/>
        <v>PD.2</v>
      </c>
    </row>
    <row r="393" spans="2:9">
      <c r="B393" s="181"/>
      <c r="C393" s="96" t="s">
        <v>1118</v>
      </c>
      <c r="D393" s="96" t="s">
        <v>35</v>
      </c>
      <c r="E393" s="97"/>
      <c r="G393" s="90">
        <v>2</v>
      </c>
      <c r="H393" s="98" t="str">
        <f t="shared" si="14"/>
        <v>PD</v>
      </c>
      <c r="I393" s="97" t="str">
        <f t="shared" si="15"/>
        <v>PD.3</v>
      </c>
    </row>
    <row r="394" spans="2:9">
      <c r="B394" s="181"/>
      <c r="C394" s="96" t="s">
        <v>1118</v>
      </c>
      <c r="D394" s="96" t="s">
        <v>36</v>
      </c>
      <c r="E394" s="97"/>
      <c r="G394" s="90">
        <v>2</v>
      </c>
      <c r="H394" s="98" t="str">
        <f t="shared" si="14"/>
        <v>PD</v>
      </c>
      <c r="I394" s="97" t="str">
        <f t="shared" si="15"/>
        <v>PD.4</v>
      </c>
    </row>
    <row r="395" spans="2:9">
      <c r="B395" s="181"/>
      <c r="C395" s="96" t="s">
        <v>1118</v>
      </c>
      <c r="D395" s="96" t="s">
        <v>37</v>
      </c>
      <c r="E395" s="97"/>
      <c r="G395" s="90">
        <v>2</v>
      </c>
      <c r="H395" s="98" t="str">
        <f t="shared" si="14"/>
        <v>PD</v>
      </c>
      <c r="I395" s="97" t="str">
        <f t="shared" si="15"/>
        <v>PD.5</v>
      </c>
    </row>
    <row r="396" spans="2:9">
      <c r="B396" s="181"/>
      <c r="C396" s="96" t="s">
        <v>1118</v>
      </c>
      <c r="D396" s="96" t="s">
        <v>38</v>
      </c>
      <c r="E396" s="97"/>
      <c r="G396" s="90">
        <v>2</v>
      </c>
      <c r="H396" s="98" t="str">
        <f t="shared" si="14"/>
        <v>PD</v>
      </c>
      <c r="I396" s="97" t="str">
        <f t="shared" si="15"/>
        <v>PD.6</v>
      </c>
    </row>
    <row r="397" spans="2:9">
      <c r="B397" s="181"/>
      <c r="C397" s="96" t="s">
        <v>1118</v>
      </c>
      <c r="D397" s="96" t="s">
        <v>39</v>
      </c>
      <c r="E397" s="97"/>
      <c r="G397" s="90">
        <v>2</v>
      </c>
      <c r="H397" s="98" t="str">
        <f t="shared" si="14"/>
        <v>PD</v>
      </c>
      <c r="I397" s="97" t="str">
        <f t="shared" si="15"/>
        <v>PD.7</v>
      </c>
    </row>
    <row r="398" spans="2:9">
      <c r="B398" s="181"/>
      <c r="C398" s="96" t="s">
        <v>1119</v>
      </c>
      <c r="D398" s="96" t="s">
        <v>227</v>
      </c>
      <c r="E398" s="97"/>
      <c r="G398" s="90">
        <v>2</v>
      </c>
      <c r="H398" s="98" t="str">
        <f t="shared" si="14"/>
        <v>PE</v>
      </c>
      <c r="I398" s="97" t="str">
        <f t="shared" si="15"/>
        <v>PE.0</v>
      </c>
    </row>
    <row r="399" spans="2:9">
      <c r="B399" s="181"/>
      <c r="C399" s="96" t="s">
        <v>1119</v>
      </c>
      <c r="D399" s="96" t="s">
        <v>45</v>
      </c>
      <c r="E399" s="97"/>
      <c r="G399" s="90">
        <v>2</v>
      </c>
      <c r="H399" s="98" t="str">
        <f t="shared" si="14"/>
        <v>PE</v>
      </c>
      <c r="I399" s="97" t="str">
        <f t="shared" si="15"/>
        <v>PE.1</v>
      </c>
    </row>
    <row r="400" spans="2:9">
      <c r="B400" s="181"/>
      <c r="C400" s="96" t="s">
        <v>1119</v>
      </c>
      <c r="D400" s="96" t="s">
        <v>46</v>
      </c>
      <c r="E400" s="97"/>
      <c r="G400" s="90">
        <v>2</v>
      </c>
      <c r="H400" s="98" t="str">
        <f t="shared" si="14"/>
        <v>PE</v>
      </c>
      <c r="I400" s="97" t="str">
        <f t="shared" si="15"/>
        <v>PE.2</v>
      </c>
    </row>
    <row r="401" spans="2:9">
      <c r="B401" s="181"/>
      <c r="C401" s="96" t="s">
        <v>1119</v>
      </c>
      <c r="D401" s="96" t="s">
        <v>47</v>
      </c>
      <c r="E401" s="97"/>
      <c r="G401" s="90">
        <v>2</v>
      </c>
      <c r="H401" s="98" t="str">
        <f t="shared" si="14"/>
        <v>PE</v>
      </c>
      <c r="I401" s="97" t="str">
        <f t="shared" si="15"/>
        <v>PE.3</v>
      </c>
    </row>
    <row r="402" spans="2:9">
      <c r="B402" s="181"/>
      <c r="C402" s="96" t="s">
        <v>1119</v>
      </c>
      <c r="D402" s="96" t="s">
        <v>48</v>
      </c>
      <c r="E402" s="97"/>
      <c r="G402" s="90">
        <v>2</v>
      </c>
      <c r="H402" s="98" t="str">
        <f t="shared" si="14"/>
        <v>PE</v>
      </c>
      <c r="I402" s="97" t="str">
        <f t="shared" si="15"/>
        <v>PE.4</v>
      </c>
    </row>
    <row r="403" spans="2:9">
      <c r="B403" s="181"/>
      <c r="C403" s="96" t="s">
        <v>1119</v>
      </c>
      <c r="D403" s="96" t="s">
        <v>49</v>
      </c>
      <c r="E403" s="97"/>
      <c r="G403" s="90">
        <v>2</v>
      </c>
      <c r="H403" s="98" t="str">
        <f t="shared" si="14"/>
        <v>PE</v>
      </c>
      <c r="I403" s="97" t="str">
        <f t="shared" si="15"/>
        <v>PE.5</v>
      </c>
    </row>
    <row r="404" spans="2:9">
      <c r="B404" s="181"/>
      <c r="C404" s="96" t="s">
        <v>1119</v>
      </c>
      <c r="D404" s="96" t="s">
        <v>50</v>
      </c>
      <c r="E404" s="97"/>
      <c r="G404" s="90">
        <v>2</v>
      </c>
      <c r="H404" s="98" t="str">
        <f t="shared" si="14"/>
        <v>PE</v>
      </c>
      <c r="I404" s="97" t="str">
        <f t="shared" si="15"/>
        <v>PE.6</v>
      </c>
    </row>
    <row r="405" spans="2:9">
      <c r="B405" s="181"/>
      <c r="C405" s="96" t="s">
        <v>1119</v>
      </c>
      <c r="D405" s="96" t="s">
        <v>51</v>
      </c>
      <c r="E405" s="97"/>
      <c r="G405" s="90">
        <v>2</v>
      </c>
      <c r="H405" s="98" t="str">
        <f t="shared" si="14"/>
        <v>PE</v>
      </c>
      <c r="I405" s="97" t="str">
        <f t="shared" si="15"/>
        <v>PE.7</v>
      </c>
    </row>
    <row r="406" spans="2:9">
      <c r="B406" s="181"/>
      <c r="C406" s="96" t="s">
        <v>1120</v>
      </c>
      <c r="D406" s="96" t="s">
        <v>179</v>
      </c>
      <c r="E406" s="97"/>
      <c r="G406" s="90">
        <v>2</v>
      </c>
      <c r="H406" s="98" t="str">
        <f t="shared" si="14"/>
        <v>PF</v>
      </c>
      <c r="I406" s="97" t="str">
        <f t="shared" si="15"/>
        <v>PF.0</v>
      </c>
    </row>
    <row r="407" spans="2:9">
      <c r="B407" s="181"/>
      <c r="C407" s="96" t="s">
        <v>1120</v>
      </c>
      <c r="D407" s="96" t="s">
        <v>762</v>
      </c>
      <c r="E407" s="97"/>
      <c r="G407" s="90">
        <v>2</v>
      </c>
      <c r="H407" s="98" t="str">
        <f t="shared" si="14"/>
        <v>PF</v>
      </c>
      <c r="I407" s="97" t="str">
        <f t="shared" si="15"/>
        <v>PF.1</v>
      </c>
    </row>
    <row r="408" spans="2:9">
      <c r="B408" s="181"/>
      <c r="C408" s="96" t="s">
        <v>1120</v>
      </c>
      <c r="D408" s="96" t="s">
        <v>139</v>
      </c>
      <c r="E408" s="97"/>
      <c r="G408" s="90">
        <v>2</v>
      </c>
      <c r="H408" s="98" t="str">
        <f t="shared" si="14"/>
        <v>PF</v>
      </c>
      <c r="I408" s="97" t="str">
        <f t="shared" si="15"/>
        <v>PF.2</v>
      </c>
    </row>
    <row r="409" spans="2:9">
      <c r="B409" s="181"/>
      <c r="C409" s="96" t="s">
        <v>1120</v>
      </c>
      <c r="D409" s="96" t="s">
        <v>137</v>
      </c>
      <c r="E409" s="97"/>
      <c r="G409" s="90">
        <v>2</v>
      </c>
      <c r="H409" s="98" t="str">
        <f t="shared" si="14"/>
        <v>PF</v>
      </c>
      <c r="I409" s="97" t="str">
        <f t="shared" si="15"/>
        <v>PF.3</v>
      </c>
    </row>
    <row r="410" spans="2:9">
      <c r="B410" s="181"/>
      <c r="C410" s="96" t="s">
        <v>1120</v>
      </c>
      <c r="D410" s="96" t="s">
        <v>119</v>
      </c>
      <c r="E410" s="97"/>
      <c r="G410" s="90">
        <v>2</v>
      </c>
      <c r="H410" s="98" t="str">
        <f t="shared" si="14"/>
        <v>PF</v>
      </c>
      <c r="I410" s="97" t="str">
        <f t="shared" si="15"/>
        <v>PF.4</v>
      </c>
    </row>
    <row r="411" spans="2:9">
      <c r="B411" s="181"/>
      <c r="C411" s="96" t="s">
        <v>1120</v>
      </c>
      <c r="D411" s="96" t="s">
        <v>117</v>
      </c>
      <c r="E411" s="97"/>
      <c r="G411" s="90">
        <v>2</v>
      </c>
      <c r="H411" s="98" t="str">
        <f t="shared" si="14"/>
        <v>PF</v>
      </c>
      <c r="I411" s="97" t="str">
        <f t="shared" si="15"/>
        <v>PF.5</v>
      </c>
    </row>
    <row r="412" spans="2:9">
      <c r="B412" s="181"/>
      <c r="C412" s="96" t="s">
        <v>1120</v>
      </c>
      <c r="D412" s="96" t="s">
        <v>114</v>
      </c>
      <c r="E412" s="97"/>
      <c r="G412" s="90">
        <v>2</v>
      </c>
      <c r="H412" s="98" t="str">
        <f t="shared" si="14"/>
        <v>PF</v>
      </c>
      <c r="I412" s="97" t="str">
        <f t="shared" si="15"/>
        <v>PF.6</v>
      </c>
    </row>
    <row r="413" spans="2:9" ht="14.25" thickBot="1">
      <c r="B413" s="182"/>
      <c r="C413" s="99" t="s">
        <v>1120</v>
      </c>
      <c r="D413" s="99" t="s">
        <v>112</v>
      </c>
      <c r="E413" s="100"/>
      <c r="G413" s="90">
        <v>2</v>
      </c>
      <c r="H413" s="101" t="str">
        <f t="shared" si="14"/>
        <v>PF</v>
      </c>
      <c r="I413" s="100" t="str">
        <f t="shared" si="15"/>
        <v>PF.7</v>
      </c>
    </row>
  </sheetData>
  <mergeCells count="22">
    <mergeCell ref="D2:E2"/>
    <mergeCell ref="H2:I2"/>
    <mergeCell ref="B4:B9"/>
    <mergeCell ref="B10:B29"/>
    <mergeCell ref="C2:C3"/>
    <mergeCell ref="B112:B123"/>
    <mergeCell ref="B124:B178"/>
    <mergeCell ref="B70:B111"/>
    <mergeCell ref="B30:B69"/>
    <mergeCell ref="B2:B3"/>
    <mergeCell ref="B229:B230"/>
    <mergeCell ref="B206:B208"/>
    <mergeCell ref="B209:B220"/>
    <mergeCell ref="B221:B228"/>
    <mergeCell ref="B179:B205"/>
    <mergeCell ref="B291:B413"/>
    <mergeCell ref="B231:B262"/>
    <mergeCell ref="B263:B265"/>
    <mergeCell ref="B266:B273"/>
    <mergeCell ref="B274:B278"/>
    <mergeCell ref="B279:B288"/>
    <mergeCell ref="B289:B290"/>
  </mergeCells>
  <phoneticPr fontId="56"/>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B1:J413"/>
  <sheetViews>
    <sheetView zoomScale="70" zoomScaleNormal="70" workbookViewId="0"/>
  </sheetViews>
  <sheetFormatPr defaultRowHeight="15.75"/>
  <cols>
    <col min="1" max="1" width="2.7109375" customWidth="1"/>
    <col min="2" max="2" width="19.140625" style="90" customWidth="1"/>
    <col min="3" max="3" width="25.7109375" style="90" bestFit="1" customWidth="1"/>
    <col min="4" max="4" width="35.5703125" style="90" bestFit="1" customWidth="1"/>
    <col min="5" max="5" width="76.7109375" style="90" bestFit="1" customWidth="1"/>
    <col min="6" max="6" width="8.140625" style="90" bestFit="1" customWidth="1"/>
    <col min="7" max="7" width="61.85546875" style="90" bestFit="1" customWidth="1"/>
    <col min="8" max="8" width="25.7109375" style="90" bestFit="1" customWidth="1"/>
    <col min="9" max="9" width="58.140625" style="90" bestFit="1" customWidth="1"/>
    <col min="10" max="10" width="10" style="90" bestFit="1" customWidth="1"/>
  </cols>
  <sheetData>
    <row r="1" spans="2:10" ht="16.5" thickBot="1"/>
    <row r="2" spans="2:10" ht="16.5" thickBot="1">
      <c r="B2" s="186" t="s">
        <v>1032</v>
      </c>
      <c r="C2" s="186"/>
      <c r="D2" s="189" t="s">
        <v>2121</v>
      </c>
      <c r="E2" s="190"/>
      <c r="F2" s="191"/>
      <c r="G2" s="192"/>
      <c r="H2" s="193" t="s">
        <v>1846</v>
      </c>
      <c r="I2" s="194"/>
      <c r="J2" s="192"/>
    </row>
    <row r="3" spans="2:10" ht="16.5" thickBot="1">
      <c r="B3" s="105" t="s">
        <v>1608</v>
      </c>
      <c r="C3" s="131" t="s">
        <v>1609</v>
      </c>
      <c r="D3" s="135" t="s">
        <v>1844</v>
      </c>
      <c r="E3" s="153" t="s">
        <v>2122</v>
      </c>
      <c r="F3" s="135" t="s">
        <v>1830</v>
      </c>
      <c r="G3" s="136" t="s">
        <v>1845</v>
      </c>
      <c r="H3" s="136" t="s">
        <v>1847</v>
      </c>
      <c r="I3" s="136" t="s">
        <v>1848</v>
      </c>
      <c r="J3" s="136" t="s">
        <v>1849</v>
      </c>
    </row>
    <row r="4" spans="2:10" ht="15.75" customHeight="1">
      <c r="B4" s="94" t="str">
        <f>'＠グループ、表示名'!H4</f>
        <v>DBG</v>
      </c>
      <c r="C4" s="93" t="str">
        <f>'＠グループ、表示名'!I4</f>
        <v>DBG_TRCCLK</v>
      </c>
      <c r="D4" s="150" t="s">
        <v>1836</v>
      </c>
      <c r="E4" s="151" t="s">
        <v>2123</v>
      </c>
      <c r="F4" s="142" t="s">
        <v>1835</v>
      </c>
      <c r="G4" s="139" t="s">
        <v>1838</v>
      </c>
      <c r="H4" s="141" t="s">
        <v>2130</v>
      </c>
      <c r="I4" s="142" t="s">
        <v>1838</v>
      </c>
      <c r="J4" s="139" t="str">
        <f>F4</f>
        <v>O</v>
      </c>
    </row>
    <row r="5" spans="2:10" ht="15.75" customHeight="1">
      <c r="B5" s="98" t="str">
        <f>'＠グループ、表示名'!H5</f>
        <v>DBG</v>
      </c>
      <c r="C5" s="93" t="str">
        <f>'＠グループ、表示名'!I5</f>
        <v>DBG_TRCSWO</v>
      </c>
      <c r="D5" s="94" t="s">
        <v>1831</v>
      </c>
      <c r="E5" s="154" t="s">
        <v>2123</v>
      </c>
      <c r="F5" s="143" t="s">
        <v>1835</v>
      </c>
      <c r="G5" s="93" t="s">
        <v>1831</v>
      </c>
      <c r="H5" s="94" t="s">
        <v>2131</v>
      </c>
      <c r="I5" s="92" t="s">
        <v>1831</v>
      </c>
      <c r="J5" s="137" t="str">
        <f t="shared" ref="J5:J68" si="0">F5</f>
        <v>O</v>
      </c>
    </row>
    <row r="6" spans="2:10" ht="15.75" customHeight="1">
      <c r="B6" s="98" t="str">
        <f>'＠グループ、表示名'!H6</f>
        <v>DBG</v>
      </c>
      <c r="C6" s="93" t="str">
        <f>'＠グループ、表示名'!I6</f>
        <v>DBG_TRCD0</v>
      </c>
      <c r="D6" s="144" t="s">
        <v>1837</v>
      </c>
      <c r="E6" s="154" t="s">
        <v>2123</v>
      </c>
      <c r="F6" s="143" t="s">
        <v>1835</v>
      </c>
      <c r="G6" s="137" t="s">
        <v>1839</v>
      </c>
      <c r="H6" s="144" t="s">
        <v>2137</v>
      </c>
      <c r="I6" s="143" t="s">
        <v>1843</v>
      </c>
      <c r="J6" s="137" t="str">
        <f t="shared" si="0"/>
        <v>O</v>
      </c>
    </row>
    <row r="7" spans="2:10" ht="15.75" customHeight="1">
      <c r="B7" s="98" t="str">
        <f>'＠グループ、表示名'!H7</f>
        <v>DBG</v>
      </c>
      <c r="C7" s="93" t="str">
        <f>'＠グループ、表示名'!I7</f>
        <v>DBG_TRCD1</v>
      </c>
      <c r="D7" s="94" t="s">
        <v>1832</v>
      </c>
      <c r="E7" s="154" t="s">
        <v>2123</v>
      </c>
      <c r="F7" s="143" t="s">
        <v>1835</v>
      </c>
      <c r="G7" s="137" t="s">
        <v>1840</v>
      </c>
      <c r="H7" s="144" t="s">
        <v>2137</v>
      </c>
      <c r="I7" s="143" t="s">
        <v>1843</v>
      </c>
      <c r="J7" s="137" t="str">
        <f t="shared" si="0"/>
        <v>O</v>
      </c>
    </row>
    <row r="8" spans="2:10" ht="15.75" customHeight="1">
      <c r="B8" s="98" t="str">
        <f>'＠グループ、表示名'!H8</f>
        <v>DBG</v>
      </c>
      <c r="C8" s="93" t="str">
        <f>'＠グループ、表示名'!I8</f>
        <v>DBG_TRCD2</v>
      </c>
      <c r="D8" s="94" t="s">
        <v>1833</v>
      </c>
      <c r="E8" s="154" t="s">
        <v>2123</v>
      </c>
      <c r="F8" s="143" t="s">
        <v>1835</v>
      </c>
      <c r="G8" s="137" t="s">
        <v>1841</v>
      </c>
      <c r="H8" s="144" t="s">
        <v>2137</v>
      </c>
      <c r="I8" s="143" t="s">
        <v>1843</v>
      </c>
      <c r="J8" s="137" t="str">
        <f t="shared" si="0"/>
        <v>O</v>
      </c>
    </row>
    <row r="9" spans="2:10" ht="15.75" customHeight="1">
      <c r="B9" s="98" t="str">
        <f>'＠グループ、表示名'!H9</f>
        <v>DBG</v>
      </c>
      <c r="C9" s="93" t="str">
        <f>'＠グループ、表示名'!I9</f>
        <v>DBG_TRCD3</v>
      </c>
      <c r="D9" s="94" t="s">
        <v>1834</v>
      </c>
      <c r="E9" s="154" t="s">
        <v>2123</v>
      </c>
      <c r="F9" s="143" t="s">
        <v>1835</v>
      </c>
      <c r="G9" s="137" t="s">
        <v>1842</v>
      </c>
      <c r="H9" s="144" t="s">
        <v>2137</v>
      </c>
      <c r="I9" s="143" t="s">
        <v>1843</v>
      </c>
      <c r="J9" s="137" t="str">
        <f t="shared" si="0"/>
        <v>O</v>
      </c>
    </row>
    <row r="10" spans="2:10" ht="15.75" customHeight="1">
      <c r="B10" s="98" t="str">
        <f>'＠グループ、表示名'!H10</f>
        <v>IRQ</v>
      </c>
      <c r="C10" s="93" t="str">
        <f>'＠グループ、表示名'!I10</f>
        <v>IRQ00</v>
      </c>
      <c r="D10" s="148" t="s">
        <v>1850</v>
      </c>
      <c r="E10" s="152" t="s">
        <v>2124</v>
      </c>
      <c r="F10" s="143" t="s">
        <v>1870</v>
      </c>
      <c r="G10" s="137" t="s">
        <v>1872</v>
      </c>
      <c r="H10" s="94" t="s">
        <v>470</v>
      </c>
      <c r="I10" s="92" t="s">
        <v>1871</v>
      </c>
      <c r="J10" s="137" t="str">
        <f t="shared" si="0"/>
        <v>I</v>
      </c>
    </row>
    <row r="11" spans="2:10" ht="15.75" customHeight="1">
      <c r="B11" s="98" t="str">
        <f>'＠グループ、表示名'!H11</f>
        <v>IRQ</v>
      </c>
      <c r="C11" s="93" t="str">
        <f>'＠グループ、表示名'!I11</f>
        <v>IRQ01</v>
      </c>
      <c r="D11" s="144" t="s">
        <v>1851</v>
      </c>
      <c r="E11" s="152" t="s">
        <v>2124</v>
      </c>
      <c r="F11" s="143" t="s">
        <v>1870</v>
      </c>
      <c r="G11" s="137" t="s">
        <v>1873</v>
      </c>
      <c r="H11" s="94" t="s">
        <v>474</v>
      </c>
      <c r="I11" s="92" t="s">
        <v>1873</v>
      </c>
      <c r="J11" s="137" t="str">
        <f t="shared" si="0"/>
        <v>I</v>
      </c>
    </row>
    <row r="12" spans="2:10" ht="15.75" customHeight="1">
      <c r="B12" s="98" t="str">
        <f>'＠グループ、表示名'!H12</f>
        <v>IRQ</v>
      </c>
      <c r="C12" s="93" t="str">
        <f>'＠グループ、表示名'!I12</f>
        <v>IRQ02</v>
      </c>
      <c r="D12" s="144" t="s">
        <v>1852</v>
      </c>
      <c r="E12" s="152" t="s">
        <v>2124</v>
      </c>
      <c r="F12" s="143" t="s">
        <v>1870</v>
      </c>
      <c r="G12" s="137" t="s">
        <v>1874</v>
      </c>
      <c r="H12" s="94" t="s">
        <v>478</v>
      </c>
      <c r="I12" s="92" t="s">
        <v>1874</v>
      </c>
      <c r="J12" s="137" t="str">
        <f t="shared" si="0"/>
        <v>I</v>
      </c>
    </row>
    <row r="13" spans="2:10" ht="15.75" customHeight="1">
      <c r="B13" s="98" t="str">
        <f>'＠グループ、表示名'!H13</f>
        <v>IRQ</v>
      </c>
      <c r="C13" s="93" t="str">
        <f>'＠グループ、表示名'!I13</f>
        <v>IRQ03</v>
      </c>
      <c r="D13" s="144" t="s">
        <v>1853</v>
      </c>
      <c r="E13" s="152" t="s">
        <v>2124</v>
      </c>
      <c r="F13" s="143" t="s">
        <v>1870</v>
      </c>
      <c r="G13" s="137" t="s">
        <v>1875</v>
      </c>
      <c r="H13" s="94" t="s">
        <v>482</v>
      </c>
      <c r="I13" s="92" t="s">
        <v>1875</v>
      </c>
      <c r="J13" s="137" t="str">
        <f t="shared" si="0"/>
        <v>I</v>
      </c>
    </row>
    <row r="14" spans="2:10" ht="15.75" customHeight="1">
      <c r="B14" s="98" t="str">
        <f>'＠グループ、表示名'!H14</f>
        <v>IRQ</v>
      </c>
      <c r="C14" s="93" t="str">
        <f>'＠グループ、表示名'!I14</f>
        <v>IRQ04</v>
      </c>
      <c r="D14" s="144" t="s">
        <v>1854</v>
      </c>
      <c r="E14" s="152" t="s">
        <v>2124</v>
      </c>
      <c r="F14" s="143" t="s">
        <v>1870</v>
      </c>
      <c r="G14" s="137" t="s">
        <v>1876</v>
      </c>
      <c r="H14" s="94" t="s">
        <v>486</v>
      </c>
      <c r="I14" s="92" t="s">
        <v>1876</v>
      </c>
      <c r="J14" s="137" t="str">
        <f t="shared" si="0"/>
        <v>I</v>
      </c>
    </row>
    <row r="15" spans="2:10" ht="15.75" customHeight="1">
      <c r="B15" s="98" t="str">
        <f>'＠グループ、表示名'!H15</f>
        <v>IRQ</v>
      </c>
      <c r="C15" s="93" t="str">
        <f>'＠グループ、表示名'!I15</f>
        <v>IRQ05</v>
      </c>
      <c r="D15" s="144" t="s">
        <v>1855</v>
      </c>
      <c r="E15" s="152" t="s">
        <v>2124</v>
      </c>
      <c r="F15" s="143" t="s">
        <v>1870</v>
      </c>
      <c r="G15" s="137" t="s">
        <v>1877</v>
      </c>
      <c r="H15" s="94" t="s">
        <v>490</v>
      </c>
      <c r="I15" s="92" t="s">
        <v>1877</v>
      </c>
      <c r="J15" s="137" t="str">
        <f t="shared" si="0"/>
        <v>I</v>
      </c>
    </row>
    <row r="16" spans="2:10" ht="15.75" customHeight="1">
      <c r="B16" s="98" t="str">
        <f>'＠グループ、表示名'!H16</f>
        <v>IRQ</v>
      </c>
      <c r="C16" s="93" t="str">
        <f>'＠グループ、表示名'!I16</f>
        <v>IRQ06</v>
      </c>
      <c r="D16" s="144" t="s">
        <v>1856</v>
      </c>
      <c r="E16" s="152" t="s">
        <v>2124</v>
      </c>
      <c r="F16" s="143" t="s">
        <v>1870</v>
      </c>
      <c r="G16" s="137" t="s">
        <v>1878</v>
      </c>
      <c r="H16" s="94" t="s">
        <v>494</v>
      </c>
      <c r="I16" s="92" t="s">
        <v>1878</v>
      </c>
      <c r="J16" s="137" t="str">
        <f t="shared" si="0"/>
        <v>I</v>
      </c>
    </row>
    <row r="17" spans="2:10" ht="15.75" customHeight="1">
      <c r="B17" s="98" t="str">
        <f>'＠グループ、表示名'!H17</f>
        <v>IRQ</v>
      </c>
      <c r="C17" s="93" t="str">
        <f>'＠グループ、表示名'!I17</f>
        <v>IRQ07</v>
      </c>
      <c r="D17" s="144" t="s">
        <v>1857</v>
      </c>
      <c r="E17" s="152" t="s">
        <v>2124</v>
      </c>
      <c r="F17" s="143" t="s">
        <v>1870</v>
      </c>
      <c r="G17" s="137" t="s">
        <v>1879</v>
      </c>
      <c r="H17" s="94" t="s">
        <v>498</v>
      </c>
      <c r="I17" s="92" t="s">
        <v>1879</v>
      </c>
      <c r="J17" s="137" t="str">
        <f t="shared" si="0"/>
        <v>I</v>
      </c>
    </row>
    <row r="18" spans="2:10" ht="15.75" customHeight="1">
      <c r="B18" s="98" t="str">
        <f>'＠グループ、表示名'!H18</f>
        <v>IRQ</v>
      </c>
      <c r="C18" s="93" t="str">
        <f>'＠グループ、表示名'!I18</f>
        <v>IRQ08</v>
      </c>
      <c r="D18" s="144" t="s">
        <v>1858</v>
      </c>
      <c r="E18" s="152" t="s">
        <v>2124</v>
      </c>
      <c r="F18" s="143" t="s">
        <v>1870</v>
      </c>
      <c r="G18" s="137" t="s">
        <v>1880</v>
      </c>
      <c r="H18" s="94" t="s">
        <v>566</v>
      </c>
      <c r="I18" s="92" t="s">
        <v>1880</v>
      </c>
      <c r="J18" s="137" t="str">
        <f t="shared" si="0"/>
        <v>I</v>
      </c>
    </row>
    <row r="19" spans="2:10" ht="15.75" customHeight="1">
      <c r="B19" s="98" t="str">
        <f>'＠グループ、表示名'!H19</f>
        <v>IRQ</v>
      </c>
      <c r="C19" s="93" t="str">
        <f>'＠グループ、表示名'!I19</f>
        <v>IRQ09</v>
      </c>
      <c r="D19" s="144" t="s">
        <v>1859</v>
      </c>
      <c r="E19" s="152" t="s">
        <v>2124</v>
      </c>
      <c r="F19" s="143" t="s">
        <v>1870</v>
      </c>
      <c r="G19" s="137" t="s">
        <v>1881</v>
      </c>
      <c r="H19" s="94" t="s">
        <v>571</v>
      </c>
      <c r="I19" s="92" t="s">
        <v>1881</v>
      </c>
      <c r="J19" s="137" t="str">
        <f t="shared" si="0"/>
        <v>I</v>
      </c>
    </row>
    <row r="20" spans="2:10" ht="15.75" customHeight="1">
      <c r="B20" s="98" t="str">
        <f>'＠グループ、表示名'!H20</f>
        <v>IRQ</v>
      </c>
      <c r="C20" s="93" t="str">
        <f>'＠グループ、表示名'!I20</f>
        <v>IRQ10</v>
      </c>
      <c r="D20" s="144" t="s">
        <v>1860</v>
      </c>
      <c r="E20" s="152" t="s">
        <v>2124</v>
      </c>
      <c r="F20" s="143" t="s">
        <v>1870</v>
      </c>
      <c r="G20" s="137" t="s">
        <v>1882</v>
      </c>
      <c r="H20" s="94" t="s">
        <v>576</v>
      </c>
      <c r="I20" s="92" t="s">
        <v>1882</v>
      </c>
      <c r="J20" s="137" t="str">
        <f t="shared" si="0"/>
        <v>I</v>
      </c>
    </row>
    <row r="21" spans="2:10" ht="15.75" customHeight="1">
      <c r="B21" s="98" t="str">
        <f>'＠グループ、表示名'!H21</f>
        <v>IRQ</v>
      </c>
      <c r="C21" s="93" t="str">
        <f>'＠グループ、表示名'!I21</f>
        <v>IRQ11</v>
      </c>
      <c r="D21" s="144" t="s">
        <v>1861</v>
      </c>
      <c r="E21" s="152" t="s">
        <v>2124</v>
      </c>
      <c r="F21" s="143" t="s">
        <v>1870</v>
      </c>
      <c r="G21" s="137" t="s">
        <v>1883</v>
      </c>
      <c r="H21" s="94" t="s">
        <v>579</v>
      </c>
      <c r="I21" s="92" t="s">
        <v>1883</v>
      </c>
      <c r="J21" s="137" t="str">
        <f t="shared" si="0"/>
        <v>I</v>
      </c>
    </row>
    <row r="22" spans="2:10" ht="15.75" customHeight="1">
      <c r="B22" s="98" t="str">
        <f>'＠グループ、表示名'!H22</f>
        <v>IRQ</v>
      </c>
      <c r="C22" s="93" t="str">
        <f>'＠グループ、表示名'!I22</f>
        <v>IRQ12</v>
      </c>
      <c r="D22" s="144" t="s">
        <v>1862</v>
      </c>
      <c r="E22" s="152" t="s">
        <v>2124</v>
      </c>
      <c r="F22" s="143" t="s">
        <v>1870</v>
      </c>
      <c r="G22" s="137" t="s">
        <v>1884</v>
      </c>
      <c r="H22" s="94" t="s">
        <v>583</v>
      </c>
      <c r="I22" s="92" t="s">
        <v>1884</v>
      </c>
      <c r="J22" s="137" t="str">
        <f t="shared" si="0"/>
        <v>I</v>
      </c>
    </row>
    <row r="23" spans="2:10" ht="15.75" customHeight="1">
      <c r="B23" s="98" t="str">
        <f>'＠グループ、表示名'!H23</f>
        <v>IRQ</v>
      </c>
      <c r="C23" s="93" t="str">
        <f>'＠グループ、表示名'!I23</f>
        <v>IRQ13</v>
      </c>
      <c r="D23" s="144" t="s">
        <v>1863</v>
      </c>
      <c r="E23" s="152" t="s">
        <v>2124</v>
      </c>
      <c r="F23" s="143" t="s">
        <v>1870</v>
      </c>
      <c r="G23" s="137" t="s">
        <v>1885</v>
      </c>
      <c r="H23" s="94" t="s">
        <v>588</v>
      </c>
      <c r="I23" s="92" t="s">
        <v>1885</v>
      </c>
      <c r="J23" s="137" t="str">
        <f t="shared" si="0"/>
        <v>I</v>
      </c>
    </row>
    <row r="24" spans="2:10" ht="15.75" customHeight="1">
      <c r="B24" s="98" t="str">
        <f>'＠グループ、表示名'!H24</f>
        <v>IRQ</v>
      </c>
      <c r="C24" s="93" t="str">
        <f>'＠グループ、表示名'!I24</f>
        <v>IRQ14</v>
      </c>
      <c r="D24" s="144" t="s">
        <v>1864</v>
      </c>
      <c r="E24" s="152" t="s">
        <v>2124</v>
      </c>
      <c r="F24" s="143" t="s">
        <v>1870</v>
      </c>
      <c r="G24" s="137" t="s">
        <v>1886</v>
      </c>
      <c r="H24" s="94" t="s">
        <v>683</v>
      </c>
      <c r="I24" s="92" t="s">
        <v>1886</v>
      </c>
      <c r="J24" s="137" t="str">
        <f t="shared" si="0"/>
        <v>I</v>
      </c>
    </row>
    <row r="25" spans="2:10" ht="15.75" customHeight="1">
      <c r="B25" s="98" t="str">
        <f>'＠グループ、表示名'!H25</f>
        <v>IRQ</v>
      </c>
      <c r="C25" s="93" t="str">
        <f>'＠グループ、表示名'!I25</f>
        <v>IRQ15</v>
      </c>
      <c r="D25" s="144" t="s">
        <v>1865</v>
      </c>
      <c r="E25" s="152" t="s">
        <v>2124</v>
      </c>
      <c r="F25" s="143" t="s">
        <v>1870</v>
      </c>
      <c r="G25" s="137" t="s">
        <v>1887</v>
      </c>
      <c r="H25" s="94" t="s">
        <v>686</v>
      </c>
      <c r="I25" s="92" t="s">
        <v>1887</v>
      </c>
      <c r="J25" s="137" t="str">
        <f t="shared" si="0"/>
        <v>I</v>
      </c>
    </row>
    <row r="26" spans="2:10" ht="15.75" customHeight="1">
      <c r="B26" s="98" t="str">
        <f>'＠グループ、表示名'!H26</f>
        <v>IRQ</v>
      </c>
      <c r="C26" s="93" t="str">
        <f>'＠グループ、表示名'!I26</f>
        <v>IRQ16</v>
      </c>
      <c r="D26" s="144" t="s">
        <v>1866</v>
      </c>
      <c r="E26" s="152" t="s">
        <v>2124</v>
      </c>
      <c r="F26" s="143" t="s">
        <v>1870</v>
      </c>
      <c r="G26" s="137" t="s">
        <v>1888</v>
      </c>
      <c r="H26" s="94" t="s">
        <v>689</v>
      </c>
      <c r="I26" s="92" t="s">
        <v>1888</v>
      </c>
      <c r="J26" s="137" t="str">
        <f t="shared" si="0"/>
        <v>I</v>
      </c>
    </row>
    <row r="27" spans="2:10" ht="15.75" customHeight="1">
      <c r="B27" s="98" t="str">
        <f>'＠グループ、表示名'!H27</f>
        <v>IRQ</v>
      </c>
      <c r="C27" s="93" t="str">
        <f>'＠グループ、表示名'!I27</f>
        <v>IRQ17</v>
      </c>
      <c r="D27" s="144" t="s">
        <v>1867</v>
      </c>
      <c r="E27" s="152" t="s">
        <v>2124</v>
      </c>
      <c r="F27" s="143" t="s">
        <v>1870</v>
      </c>
      <c r="G27" s="137" t="s">
        <v>1889</v>
      </c>
      <c r="H27" s="94" t="s">
        <v>697</v>
      </c>
      <c r="I27" s="92" t="s">
        <v>1889</v>
      </c>
      <c r="J27" s="137" t="str">
        <f t="shared" si="0"/>
        <v>I</v>
      </c>
    </row>
    <row r="28" spans="2:10" ht="15.75" customHeight="1">
      <c r="B28" s="98" t="str">
        <f>'＠グループ、表示名'!H28</f>
        <v>IRQ</v>
      </c>
      <c r="C28" s="93" t="str">
        <f>'＠グループ、表示名'!I28</f>
        <v>IRQ18</v>
      </c>
      <c r="D28" s="144" t="s">
        <v>1868</v>
      </c>
      <c r="E28" s="152" t="s">
        <v>2124</v>
      </c>
      <c r="F28" s="143" t="s">
        <v>1870</v>
      </c>
      <c r="G28" s="137" t="s">
        <v>1890</v>
      </c>
      <c r="H28" s="94" t="s">
        <v>701</v>
      </c>
      <c r="I28" s="92" t="s">
        <v>1890</v>
      </c>
      <c r="J28" s="137" t="str">
        <f t="shared" si="0"/>
        <v>I</v>
      </c>
    </row>
    <row r="29" spans="2:10" ht="15.75" customHeight="1">
      <c r="B29" s="98" t="str">
        <f>'＠グループ、表示名'!H29</f>
        <v>IRQ</v>
      </c>
      <c r="C29" s="93" t="str">
        <f>'＠グループ、表示名'!I29</f>
        <v>IRQ19</v>
      </c>
      <c r="D29" s="144" t="s">
        <v>1869</v>
      </c>
      <c r="E29" s="152" t="s">
        <v>2124</v>
      </c>
      <c r="F29" s="143" t="s">
        <v>1870</v>
      </c>
      <c r="G29" s="137" t="s">
        <v>1891</v>
      </c>
      <c r="H29" s="94" t="s">
        <v>705</v>
      </c>
      <c r="I29" s="92" t="s">
        <v>1891</v>
      </c>
      <c r="J29" s="137" t="str">
        <f t="shared" si="0"/>
        <v>I</v>
      </c>
    </row>
    <row r="30" spans="2:10" ht="15.75" customHeight="1">
      <c r="B30" s="98" t="str">
        <f>'＠グループ、表示名'!H30</f>
        <v>TM00</v>
      </c>
      <c r="C30" s="93" t="str">
        <f>'＠グループ、表示名'!I30</f>
        <v>TM00A</v>
      </c>
      <c r="D30" s="148" t="s">
        <v>1893</v>
      </c>
      <c r="E30" s="154" t="s">
        <v>2125</v>
      </c>
      <c r="F30" s="143" t="s">
        <v>1892</v>
      </c>
      <c r="G30" s="137" t="s">
        <v>1895</v>
      </c>
      <c r="H30" s="94" t="s">
        <v>479</v>
      </c>
      <c r="I30" s="92" t="s">
        <v>1938</v>
      </c>
      <c r="J30" s="137" t="str">
        <f t="shared" si="0"/>
        <v>I/O</v>
      </c>
    </row>
    <row r="31" spans="2:10" ht="15.75" customHeight="1">
      <c r="B31" s="98" t="str">
        <f>'＠グループ、表示名'!H31</f>
        <v>TM00</v>
      </c>
      <c r="C31" s="93" t="str">
        <f>'＠グループ、表示名'!I31</f>
        <v>TM00B</v>
      </c>
      <c r="D31" s="144" t="s">
        <v>1894</v>
      </c>
      <c r="E31" s="154" t="s">
        <v>2125</v>
      </c>
      <c r="F31" s="143" t="s">
        <v>1892</v>
      </c>
      <c r="G31" s="137" t="s">
        <v>1897</v>
      </c>
      <c r="H31" s="94" t="s">
        <v>483</v>
      </c>
      <c r="I31" s="92" t="s">
        <v>1896</v>
      </c>
      <c r="J31" s="137" t="str">
        <f t="shared" si="0"/>
        <v>I/O</v>
      </c>
    </row>
    <row r="32" spans="2:10" ht="15.75" customHeight="1">
      <c r="B32" s="98" t="str">
        <f>'＠グループ、表示名'!H32</f>
        <v>TM01</v>
      </c>
      <c r="C32" s="93" t="str">
        <f>'＠グループ、表示名'!I32</f>
        <v>TM01A</v>
      </c>
      <c r="D32" s="144" t="s">
        <v>1893</v>
      </c>
      <c r="E32" s="154" t="s">
        <v>2125</v>
      </c>
      <c r="F32" s="143" t="s">
        <v>1892</v>
      </c>
      <c r="G32" s="137" t="s">
        <v>1898</v>
      </c>
      <c r="H32" s="94" t="s">
        <v>487</v>
      </c>
      <c r="I32" s="92" t="s">
        <v>1898</v>
      </c>
      <c r="J32" s="137" t="str">
        <f t="shared" si="0"/>
        <v>I/O</v>
      </c>
    </row>
    <row r="33" spans="2:10" ht="15.75" customHeight="1">
      <c r="B33" s="98" t="str">
        <f>'＠グループ、表示名'!H33</f>
        <v>TM01</v>
      </c>
      <c r="C33" s="93" t="str">
        <f>'＠グループ、表示名'!I33</f>
        <v>TM01B</v>
      </c>
      <c r="D33" s="144" t="s">
        <v>1894</v>
      </c>
      <c r="E33" s="154" t="s">
        <v>2125</v>
      </c>
      <c r="F33" s="143" t="s">
        <v>1892</v>
      </c>
      <c r="G33" s="137" t="s">
        <v>1899</v>
      </c>
      <c r="H33" s="94" t="s">
        <v>491</v>
      </c>
      <c r="I33" s="92" t="s">
        <v>1899</v>
      </c>
      <c r="J33" s="137" t="str">
        <f t="shared" si="0"/>
        <v>I/O</v>
      </c>
    </row>
    <row r="34" spans="2:10" ht="15.75" customHeight="1">
      <c r="B34" s="111" t="str">
        <f>'＠グループ、表示名'!H34</f>
        <v>TM02</v>
      </c>
      <c r="C34" s="93" t="str">
        <f>'＠グループ、表示名'!I34</f>
        <v>TM02A</v>
      </c>
      <c r="D34" s="144" t="s">
        <v>1893</v>
      </c>
      <c r="E34" s="154" t="s">
        <v>2125</v>
      </c>
      <c r="F34" s="143" t="s">
        <v>1892</v>
      </c>
      <c r="G34" s="137" t="s">
        <v>1900</v>
      </c>
      <c r="H34" s="94" t="s">
        <v>495</v>
      </c>
      <c r="I34" s="92" t="s">
        <v>1900</v>
      </c>
      <c r="J34" s="137" t="str">
        <f t="shared" si="0"/>
        <v>I/O</v>
      </c>
    </row>
    <row r="35" spans="2:10" ht="15.75" customHeight="1">
      <c r="B35" s="111" t="str">
        <f>'＠グループ、表示名'!H35</f>
        <v>TM02</v>
      </c>
      <c r="C35" s="93" t="str">
        <f>'＠グループ、表示名'!I35</f>
        <v>TM02B</v>
      </c>
      <c r="D35" s="144" t="s">
        <v>1894</v>
      </c>
      <c r="E35" s="154" t="s">
        <v>2125</v>
      </c>
      <c r="F35" s="143" t="s">
        <v>1892</v>
      </c>
      <c r="G35" s="137" t="s">
        <v>1901</v>
      </c>
      <c r="H35" s="94" t="s">
        <v>499</v>
      </c>
      <c r="I35" s="92" t="s">
        <v>1901</v>
      </c>
      <c r="J35" s="137" t="str">
        <f t="shared" si="0"/>
        <v>I/O</v>
      </c>
    </row>
    <row r="36" spans="2:10" ht="15.75" customHeight="1">
      <c r="B36" s="111" t="str">
        <f>'＠グループ、表示名'!H36</f>
        <v>TM03</v>
      </c>
      <c r="C36" s="93" t="str">
        <f>'＠グループ、表示名'!I36</f>
        <v>TM03A</v>
      </c>
      <c r="D36" s="144" t="s">
        <v>1893</v>
      </c>
      <c r="E36" s="154" t="s">
        <v>2125</v>
      </c>
      <c r="F36" s="143" t="s">
        <v>1892</v>
      </c>
      <c r="G36" s="137" t="s">
        <v>1902</v>
      </c>
      <c r="H36" s="94" t="s">
        <v>503</v>
      </c>
      <c r="I36" s="92" t="s">
        <v>1902</v>
      </c>
      <c r="J36" s="137" t="str">
        <f t="shared" si="0"/>
        <v>I/O</v>
      </c>
    </row>
    <row r="37" spans="2:10" ht="15.75" customHeight="1">
      <c r="B37" s="111" t="str">
        <f>'＠グループ、表示名'!H37</f>
        <v>TM03</v>
      </c>
      <c r="C37" s="93" t="str">
        <f>'＠グループ、表示名'!I37</f>
        <v>TM03B</v>
      </c>
      <c r="D37" s="144" t="s">
        <v>1894</v>
      </c>
      <c r="E37" s="154" t="s">
        <v>2125</v>
      </c>
      <c r="F37" s="143" t="s">
        <v>1892</v>
      </c>
      <c r="G37" s="137" t="s">
        <v>1903</v>
      </c>
      <c r="H37" s="94" t="s">
        <v>506</v>
      </c>
      <c r="I37" s="92" t="s">
        <v>1903</v>
      </c>
      <c r="J37" s="137" t="str">
        <f t="shared" si="0"/>
        <v>I/O</v>
      </c>
    </row>
    <row r="38" spans="2:10" ht="15.75" customHeight="1">
      <c r="B38" s="111" t="str">
        <f>'＠グループ、表示名'!H38</f>
        <v>TM04</v>
      </c>
      <c r="C38" s="93" t="str">
        <f>'＠グループ、表示名'!I38</f>
        <v>TM04A</v>
      </c>
      <c r="D38" s="144" t="s">
        <v>1893</v>
      </c>
      <c r="E38" s="154" t="s">
        <v>2125</v>
      </c>
      <c r="F38" s="143" t="s">
        <v>1892</v>
      </c>
      <c r="G38" s="137" t="s">
        <v>1904</v>
      </c>
      <c r="H38" s="94" t="s">
        <v>510</v>
      </c>
      <c r="I38" s="92" t="s">
        <v>1904</v>
      </c>
      <c r="J38" s="137" t="str">
        <f t="shared" si="0"/>
        <v>I/O</v>
      </c>
    </row>
    <row r="39" spans="2:10" ht="15.75" customHeight="1">
      <c r="B39" s="111" t="str">
        <f>'＠グループ、表示名'!H39</f>
        <v>TM04</v>
      </c>
      <c r="C39" s="93" t="str">
        <f>'＠グループ、表示名'!I39</f>
        <v>TM04B</v>
      </c>
      <c r="D39" s="144" t="s">
        <v>1894</v>
      </c>
      <c r="E39" s="154" t="s">
        <v>2125</v>
      </c>
      <c r="F39" s="143" t="s">
        <v>1892</v>
      </c>
      <c r="G39" s="137" t="s">
        <v>1905</v>
      </c>
      <c r="H39" s="94" t="s">
        <v>514</v>
      </c>
      <c r="I39" s="92" t="s">
        <v>1905</v>
      </c>
      <c r="J39" s="137" t="str">
        <f t="shared" si="0"/>
        <v>I/O</v>
      </c>
    </row>
    <row r="40" spans="2:10" ht="15.75" customHeight="1">
      <c r="B40" s="111" t="str">
        <f>'＠グループ、表示名'!H40</f>
        <v>TM05</v>
      </c>
      <c r="C40" s="93" t="str">
        <f>'＠グループ、表示名'!I40</f>
        <v>TM05A</v>
      </c>
      <c r="D40" s="144" t="s">
        <v>1893</v>
      </c>
      <c r="E40" s="154" t="s">
        <v>2125</v>
      </c>
      <c r="F40" s="143" t="s">
        <v>1892</v>
      </c>
      <c r="G40" s="137" t="s">
        <v>1906</v>
      </c>
      <c r="H40" s="94" t="s">
        <v>520</v>
      </c>
      <c r="I40" s="155" t="s">
        <v>2326</v>
      </c>
      <c r="J40" s="137" t="str">
        <f t="shared" si="0"/>
        <v>I/O</v>
      </c>
    </row>
    <row r="41" spans="2:10" ht="15.75" customHeight="1">
      <c r="B41" s="111" t="str">
        <f>'＠グループ、表示名'!H41</f>
        <v>TM05</v>
      </c>
      <c r="C41" s="93" t="str">
        <f>'＠グループ、表示名'!I41</f>
        <v>TM05B</v>
      </c>
      <c r="D41" s="144" t="s">
        <v>1894</v>
      </c>
      <c r="E41" s="154" t="s">
        <v>2125</v>
      </c>
      <c r="F41" s="143" t="s">
        <v>1892</v>
      </c>
      <c r="G41" s="137" t="s">
        <v>1907</v>
      </c>
      <c r="H41" s="94" t="s">
        <v>522</v>
      </c>
      <c r="I41" s="92" t="s">
        <v>1907</v>
      </c>
      <c r="J41" s="137" t="str">
        <f t="shared" si="0"/>
        <v>I/O</v>
      </c>
    </row>
    <row r="42" spans="2:10" ht="15.75" customHeight="1">
      <c r="B42" s="111" t="str">
        <f>'＠グループ、表示名'!H42</f>
        <v>TM06</v>
      </c>
      <c r="C42" s="93" t="str">
        <f>'＠グループ、表示名'!I42</f>
        <v>TM06A</v>
      </c>
      <c r="D42" s="144" t="s">
        <v>1893</v>
      </c>
      <c r="E42" s="154" t="s">
        <v>2125</v>
      </c>
      <c r="F42" s="143" t="s">
        <v>1892</v>
      </c>
      <c r="G42" s="137" t="s">
        <v>1908</v>
      </c>
      <c r="H42" s="94" t="s">
        <v>550</v>
      </c>
      <c r="I42" s="92" t="s">
        <v>1908</v>
      </c>
      <c r="J42" s="137" t="str">
        <f t="shared" si="0"/>
        <v>I/O</v>
      </c>
    </row>
    <row r="43" spans="2:10" ht="15.75" customHeight="1">
      <c r="B43" s="111" t="str">
        <f>'＠グループ、表示名'!H43</f>
        <v>TM06</v>
      </c>
      <c r="C43" s="93" t="str">
        <f>'＠グループ、表示名'!I43</f>
        <v>TM06B</v>
      </c>
      <c r="D43" s="144" t="s">
        <v>1894</v>
      </c>
      <c r="E43" s="154" t="s">
        <v>2125</v>
      </c>
      <c r="F43" s="143" t="s">
        <v>1892</v>
      </c>
      <c r="G43" s="137" t="s">
        <v>1909</v>
      </c>
      <c r="H43" s="94" t="s">
        <v>552</v>
      </c>
      <c r="I43" s="92" t="s">
        <v>1909</v>
      </c>
      <c r="J43" s="137" t="str">
        <f t="shared" si="0"/>
        <v>I/O</v>
      </c>
    </row>
    <row r="44" spans="2:10" ht="15.75" customHeight="1">
      <c r="B44" s="111" t="str">
        <f>'＠グループ、表示名'!H44</f>
        <v>TM07</v>
      </c>
      <c r="C44" s="93" t="str">
        <f>'＠グループ、表示名'!I44</f>
        <v>TM07A</v>
      </c>
      <c r="D44" s="144" t="s">
        <v>1893</v>
      </c>
      <c r="E44" s="154" t="s">
        <v>2125</v>
      </c>
      <c r="F44" s="143" t="s">
        <v>1892</v>
      </c>
      <c r="G44" s="137" t="s">
        <v>1910</v>
      </c>
      <c r="H44" s="94" t="s">
        <v>577</v>
      </c>
      <c r="I44" s="92" t="s">
        <v>1910</v>
      </c>
      <c r="J44" s="137" t="str">
        <f t="shared" si="0"/>
        <v>I/O</v>
      </c>
    </row>
    <row r="45" spans="2:10" ht="15.75" customHeight="1">
      <c r="B45" s="111" t="str">
        <f>'＠グループ、表示名'!H45</f>
        <v>TM07</v>
      </c>
      <c r="C45" s="93" t="str">
        <f>'＠グループ、表示名'!I45</f>
        <v>TM07B</v>
      </c>
      <c r="D45" s="144" t="s">
        <v>1894</v>
      </c>
      <c r="E45" s="154" t="s">
        <v>2125</v>
      </c>
      <c r="F45" s="143" t="s">
        <v>1892</v>
      </c>
      <c r="G45" s="137" t="s">
        <v>1911</v>
      </c>
      <c r="H45" s="94" t="s">
        <v>580</v>
      </c>
      <c r="I45" s="92" t="s">
        <v>1911</v>
      </c>
      <c r="J45" s="137" t="str">
        <f t="shared" si="0"/>
        <v>I/O</v>
      </c>
    </row>
    <row r="46" spans="2:10" ht="15.75" customHeight="1">
      <c r="B46" s="111" t="str">
        <f>'＠グループ、表示名'!H46</f>
        <v>TM08</v>
      </c>
      <c r="C46" s="93" t="str">
        <f>'＠グループ、表示名'!I46</f>
        <v>TM08A</v>
      </c>
      <c r="D46" s="144" t="s">
        <v>1893</v>
      </c>
      <c r="E46" s="154" t="s">
        <v>2125</v>
      </c>
      <c r="F46" s="143" t="s">
        <v>1892</v>
      </c>
      <c r="G46" s="137" t="s">
        <v>1912</v>
      </c>
      <c r="H46" s="94" t="s">
        <v>584</v>
      </c>
      <c r="I46" s="92" t="s">
        <v>1912</v>
      </c>
      <c r="J46" s="137" t="str">
        <f t="shared" si="0"/>
        <v>I/O</v>
      </c>
    </row>
    <row r="47" spans="2:10" ht="15.75" customHeight="1">
      <c r="B47" s="111" t="str">
        <f>'＠グループ、表示名'!H47</f>
        <v>TM08</v>
      </c>
      <c r="C47" s="93" t="str">
        <f>'＠グループ、表示名'!I47</f>
        <v>TM08B</v>
      </c>
      <c r="D47" s="144" t="s">
        <v>1894</v>
      </c>
      <c r="E47" s="154" t="s">
        <v>2125</v>
      </c>
      <c r="F47" s="143" t="s">
        <v>1892</v>
      </c>
      <c r="G47" s="137" t="s">
        <v>1913</v>
      </c>
      <c r="H47" s="94" t="s">
        <v>589</v>
      </c>
      <c r="I47" s="92" t="s">
        <v>1913</v>
      </c>
      <c r="J47" s="137" t="str">
        <f t="shared" si="0"/>
        <v>I/O</v>
      </c>
    </row>
    <row r="48" spans="2:10" ht="15.75" customHeight="1">
      <c r="B48" s="111" t="str">
        <f>'＠グループ、表示名'!H48</f>
        <v>TM09</v>
      </c>
      <c r="C48" s="93" t="str">
        <f>'＠グループ、表示名'!I48</f>
        <v>TM09A</v>
      </c>
      <c r="D48" s="144" t="s">
        <v>1893</v>
      </c>
      <c r="E48" s="154" t="s">
        <v>2125</v>
      </c>
      <c r="F48" s="143" t="s">
        <v>1892</v>
      </c>
      <c r="G48" s="137" t="s">
        <v>1914</v>
      </c>
      <c r="H48" s="94" t="s">
        <v>595</v>
      </c>
      <c r="I48" s="92" t="s">
        <v>1914</v>
      </c>
      <c r="J48" s="137" t="str">
        <f t="shared" si="0"/>
        <v>I/O</v>
      </c>
    </row>
    <row r="49" spans="2:10" ht="15.75" customHeight="1">
      <c r="B49" s="111" t="str">
        <f>'＠グループ、表示名'!H49</f>
        <v>TM09</v>
      </c>
      <c r="C49" s="93" t="str">
        <f>'＠グループ、表示名'!I49</f>
        <v>TM09B</v>
      </c>
      <c r="D49" s="144" t="s">
        <v>1894</v>
      </c>
      <c r="E49" s="154" t="s">
        <v>2125</v>
      </c>
      <c r="F49" s="143" t="s">
        <v>1892</v>
      </c>
      <c r="G49" s="137" t="s">
        <v>1915</v>
      </c>
      <c r="H49" s="94" t="s">
        <v>598</v>
      </c>
      <c r="I49" s="92" t="s">
        <v>1915</v>
      </c>
      <c r="J49" s="137" t="str">
        <f t="shared" si="0"/>
        <v>I/O</v>
      </c>
    </row>
    <row r="50" spans="2:10" ht="15.75" customHeight="1">
      <c r="B50" s="111" t="str">
        <f>'＠グループ、表示名'!H50</f>
        <v>TM10</v>
      </c>
      <c r="C50" s="93" t="str">
        <f>'＠グループ、表示名'!I50</f>
        <v>TM10A</v>
      </c>
      <c r="D50" s="144" t="s">
        <v>1893</v>
      </c>
      <c r="E50" s="154" t="s">
        <v>2125</v>
      </c>
      <c r="F50" s="143" t="s">
        <v>1892</v>
      </c>
      <c r="G50" s="137" t="s">
        <v>1916</v>
      </c>
      <c r="H50" s="94" t="s">
        <v>601</v>
      </c>
      <c r="I50" s="92" t="s">
        <v>1916</v>
      </c>
      <c r="J50" s="137" t="str">
        <f t="shared" si="0"/>
        <v>I/O</v>
      </c>
    </row>
    <row r="51" spans="2:10" ht="15.75" customHeight="1">
      <c r="B51" s="111" t="str">
        <f>'＠グループ、表示名'!H51</f>
        <v>TM10</v>
      </c>
      <c r="C51" s="93" t="str">
        <f>'＠グループ、表示名'!I51</f>
        <v>TM10B</v>
      </c>
      <c r="D51" s="144" t="s">
        <v>1894</v>
      </c>
      <c r="E51" s="154" t="s">
        <v>2125</v>
      </c>
      <c r="F51" s="143" t="s">
        <v>1892</v>
      </c>
      <c r="G51" s="137" t="s">
        <v>1917</v>
      </c>
      <c r="H51" s="94" t="s">
        <v>604</v>
      </c>
      <c r="I51" s="92" t="s">
        <v>1917</v>
      </c>
      <c r="J51" s="137" t="str">
        <f t="shared" si="0"/>
        <v>I/O</v>
      </c>
    </row>
    <row r="52" spans="2:10" ht="15.75" customHeight="1">
      <c r="B52" s="111" t="str">
        <f>'＠グループ、表示名'!H52</f>
        <v>TM11</v>
      </c>
      <c r="C52" s="93" t="str">
        <f>'＠グループ、表示名'!I52</f>
        <v>TM11A</v>
      </c>
      <c r="D52" s="144" t="s">
        <v>1893</v>
      </c>
      <c r="E52" s="154" t="s">
        <v>2125</v>
      </c>
      <c r="F52" s="143" t="s">
        <v>1892</v>
      </c>
      <c r="G52" s="137" t="s">
        <v>1918</v>
      </c>
      <c r="H52" s="94" t="s">
        <v>669</v>
      </c>
      <c r="I52" s="92" t="s">
        <v>1918</v>
      </c>
      <c r="J52" s="137" t="str">
        <f t="shared" si="0"/>
        <v>I/O</v>
      </c>
    </row>
    <row r="53" spans="2:10" ht="15.75" customHeight="1">
      <c r="B53" s="111" t="str">
        <f>'＠グループ、表示名'!H53</f>
        <v>TM11</v>
      </c>
      <c r="C53" s="93" t="str">
        <f>'＠グループ、表示名'!I53</f>
        <v>TM11B</v>
      </c>
      <c r="D53" s="144" t="s">
        <v>1894</v>
      </c>
      <c r="E53" s="154" t="s">
        <v>2125</v>
      </c>
      <c r="F53" s="143" t="s">
        <v>1892</v>
      </c>
      <c r="G53" s="137" t="s">
        <v>1919</v>
      </c>
      <c r="H53" s="94" t="s">
        <v>672</v>
      </c>
      <c r="I53" s="92" t="s">
        <v>1919</v>
      </c>
      <c r="J53" s="137" t="str">
        <f t="shared" si="0"/>
        <v>I/O</v>
      </c>
    </row>
    <row r="54" spans="2:10" ht="15.75" customHeight="1">
      <c r="B54" s="111" t="str">
        <f>'＠グループ、表示名'!H54</f>
        <v>TM12</v>
      </c>
      <c r="C54" s="93" t="str">
        <f>'＠グループ、表示名'!I54</f>
        <v>TM12A</v>
      </c>
      <c r="D54" s="144" t="s">
        <v>1893</v>
      </c>
      <c r="E54" s="154" t="s">
        <v>2125</v>
      </c>
      <c r="F54" s="143" t="s">
        <v>1892</v>
      </c>
      <c r="G54" s="137" t="s">
        <v>1920</v>
      </c>
      <c r="H54" s="94" t="s">
        <v>684</v>
      </c>
      <c r="I54" s="92" t="s">
        <v>1920</v>
      </c>
      <c r="J54" s="137" t="str">
        <f t="shared" si="0"/>
        <v>I/O</v>
      </c>
    </row>
    <row r="55" spans="2:10" ht="15.75" customHeight="1">
      <c r="B55" s="111" t="str">
        <f>'＠グループ、表示名'!H55</f>
        <v>TM12</v>
      </c>
      <c r="C55" s="93" t="str">
        <f>'＠グループ、表示名'!I55</f>
        <v>TM12B</v>
      </c>
      <c r="D55" s="144" t="s">
        <v>1894</v>
      </c>
      <c r="E55" s="154" t="s">
        <v>2125</v>
      </c>
      <c r="F55" s="143" t="s">
        <v>1892</v>
      </c>
      <c r="G55" s="137" t="s">
        <v>1921</v>
      </c>
      <c r="H55" s="94" t="s">
        <v>687</v>
      </c>
      <c r="I55" s="92" t="s">
        <v>1921</v>
      </c>
      <c r="J55" s="137" t="str">
        <f t="shared" si="0"/>
        <v>I/O</v>
      </c>
    </row>
    <row r="56" spans="2:10" ht="15.75" customHeight="1">
      <c r="B56" s="111" t="str">
        <f>'＠グループ、表示名'!H56</f>
        <v>TM13</v>
      </c>
      <c r="C56" s="93" t="str">
        <f>'＠グループ、表示名'!I56</f>
        <v>TM13A</v>
      </c>
      <c r="D56" s="144" t="s">
        <v>1893</v>
      </c>
      <c r="E56" s="154" t="s">
        <v>2125</v>
      </c>
      <c r="F56" s="143" t="s">
        <v>1892</v>
      </c>
      <c r="G56" s="137" t="s">
        <v>1922</v>
      </c>
      <c r="H56" s="94" t="s">
        <v>707</v>
      </c>
      <c r="I56" s="92" t="s">
        <v>1922</v>
      </c>
      <c r="J56" s="137" t="str">
        <f t="shared" si="0"/>
        <v>I/O</v>
      </c>
    </row>
    <row r="57" spans="2:10" ht="15.75" customHeight="1">
      <c r="B57" s="111" t="str">
        <f>'＠グループ、表示名'!H57</f>
        <v>TM13</v>
      </c>
      <c r="C57" s="93" t="str">
        <f>'＠グループ、表示名'!I57</f>
        <v>TM13B</v>
      </c>
      <c r="D57" s="144" t="s">
        <v>1894</v>
      </c>
      <c r="E57" s="154" t="s">
        <v>2125</v>
      </c>
      <c r="F57" s="143" t="s">
        <v>1892</v>
      </c>
      <c r="G57" s="137" t="s">
        <v>1923</v>
      </c>
      <c r="H57" s="94" t="s">
        <v>711</v>
      </c>
      <c r="I57" s="92" t="s">
        <v>1923</v>
      </c>
      <c r="J57" s="137" t="str">
        <f t="shared" si="0"/>
        <v>I/O</v>
      </c>
    </row>
    <row r="58" spans="2:10" ht="15.75" customHeight="1">
      <c r="B58" s="111" t="str">
        <f>'＠グループ、表示名'!H58</f>
        <v>TM20</v>
      </c>
      <c r="C58" s="93" t="str">
        <f>'＠グループ、表示名'!I58</f>
        <v>TM20A</v>
      </c>
      <c r="D58" s="144" t="s">
        <v>1893</v>
      </c>
      <c r="E58" s="154" t="s">
        <v>2125</v>
      </c>
      <c r="F58" s="143" t="s">
        <v>1892</v>
      </c>
      <c r="G58" s="137" t="s">
        <v>1925</v>
      </c>
      <c r="H58" s="94" t="s">
        <v>471</v>
      </c>
      <c r="I58" s="92" t="s">
        <v>1924</v>
      </c>
      <c r="J58" s="137" t="str">
        <f t="shared" si="0"/>
        <v>I/O</v>
      </c>
    </row>
    <row r="59" spans="2:10" ht="15.75" customHeight="1">
      <c r="B59" s="111" t="str">
        <f>'＠グループ、表示名'!H59</f>
        <v>TM20</v>
      </c>
      <c r="C59" s="93" t="str">
        <f>'＠グループ、表示名'!I59</f>
        <v>TM20B</v>
      </c>
      <c r="D59" s="144" t="s">
        <v>1894</v>
      </c>
      <c r="E59" s="154" t="s">
        <v>2125</v>
      </c>
      <c r="F59" s="143" t="s">
        <v>1892</v>
      </c>
      <c r="G59" s="137" t="s">
        <v>1927</v>
      </c>
      <c r="H59" s="94" t="s">
        <v>475</v>
      </c>
      <c r="I59" s="92" t="s">
        <v>1926</v>
      </c>
      <c r="J59" s="137" t="str">
        <f t="shared" si="0"/>
        <v>I/O</v>
      </c>
    </row>
    <row r="60" spans="2:10" ht="15.75" customHeight="1">
      <c r="B60" s="111" t="str">
        <f>'＠グループ、表示名'!H60</f>
        <v>TM21</v>
      </c>
      <c r="C60" s="93" t="str">
        <f>'＠グループ、表示名'!I60</f>
        <v>TM21A</v>
      </c>
      <c r="D60" s="144" t="s">
        <v>1893</v>
      </c>
      <c r="E60" s="154" t="s">
        <v>2125</v>
      </c>
      <c r="F60" s="143" t="s">
        <v>1892</v>
      </c>
      <c r="G60" s="137" t="s">
        <v>1928</v>
      </c>
      <c r="H60" s="94" t="s">
        <v>567</v>
      </c>
      <c r="I60" s="92" t="s">
        <v>1928</v>
      </c>
      <c r="J60" s="137" t="str">
        <f t="shared" si="0"/>
        <v>I/O</v>
      </c>
    </row>
    <row r="61" spans="2:10" ht="15.75" customHeight="1">
      <c r="B61" s="111" t="str">
        <f>'＠グループ、表示名'!H61</f>
        <v>TM21</v>
      </c>
      <c r="C61" s="93" t="str">
        <f>'＠グループ、表示名'!I61</f>
        <v>TM21B</v>
      </c>
      <c r="D61" s="144" t="s">
        <v>1894</v>
      </c>
      <c r="E61" s="154" t="s">
        <v>2125</v>
      </c>
      <c r="F61" s="143" t="s">
        <v>1892</v>
      </c>
      <c r="G61" s="137" t="s">
        <v>1929</v>
      </c>
      <c r="H61" s="94" t="s">
        <v>572</v>
      </c>
      <c r="I61" s="92" t="s">
        <v>1929</v>
      </c>
      <c r="J61" s="137" t="str">
        <f t="shared" si="0"/>
        <v>I/O</v>
      </c>
    </row>
    <row r="62" spans="2:10" ht="15.75" customHeight="1">
      <c r="B62" s="111" t="str">
        <f>'＠グループ、表示名'!H62</f>
        <v>TM22</v>
      </c>
      <c r="C62" s="93" t="str">
        <f>'＠グループ、表示名'!I62</f>
        <v>TM22A</v>
      </c>
      <c r="D62" s="144" t="s">
        <v>1893</v>
      </c>
      <c r="E62" s="154" t="s">
        <v>2125</v>
      </c>
      <c r="F62" s="143" t="s">
        <v>1892</v>
      </c>
      <c r="G62" s="137" t="s">
        <v>1930</v>
      </c>
      <c r="H62" s="94" t="s">
        <v>691</v>
      </c>
      <c r="I62" s="92" t="s">
        <v>1930</v>
      </c>
      <c r="J62" s="137" t="str">
        <f t="shared" si="0"/>
        <v>I/O</v>
      </c>
    </row>
    <row r="63" spans="2:10" ht="15.75" customHeight="1">
      <c r="B63" s="111" t="str">
        <f>'＠グループ、表示名'!H63</f>
        <v>TM22</v>
      </c>
      <c r="C63" s="93" t="str">
        <f>'＠グループ、表示名'!I63</f>
        <v>TM22B</v>
      </c>
      <c r="D63" s="144" t="s">
        <v>1894</v>
      </c>
      <c r="E63" s="154" t="s">
        <v>2125</v>
      </c>
      <c r="F63" s="143" t="s">
        <v>1892</v>
      </c>
      <c r="G63" s="137" t="s">
        <v>1931</v>
      </c>
      <c r="H63" s="94" t="s">
        <v>694</v>
      </c>
      <c r="I63" s="92" t="s">
        <v>1931</v>
      </c>
      <c r="J63" s="137" t="str">
        <f t="shared" si="0"/>
        <v>I/O</v>
      </c>
    </row>
    <row r="64" spans="2:10" ht="15.75" customHeight="1">
      <c r="B64" s="111" t="str">
        <f>'＠グループ、表示名'!H64</f>
        <v>TM23</v>
      </c>
      <c r="C64" s="93" t="str">
        <f>'＠グループ、表示名'!I64</f>
        <v>TM23A</v>
      </c>
      <c r="D64" s="144" t="s">
        <v>1893</v>
      </c>
      <c r="E64" s="154" t="s">
        <v>2125</v>
      </c>
      <c r="F64" s="143" t="s">
        <v>1892</v>
      </c>
      <c r="G64" s="137" t="s">
        <v>1932</v>
      </c>
      <c r="H64" s="94" t="s">
        <v>648</v>
      </c>
      <c r="I64" s="92" t="s">
        <v>1932</v>
      </c>
      <c r="J64" s="137" t="str">
        <f t="shared" si="0"/>
        <v>I/O</v>
      </c>
    </row>
    <row r="65" spans="2:10" ht="15.75" customHeight="1">
      <c r="B65" s="111" t="str">
        <f>'＠グループ、表示名'!H65</f>
        <v>TM23</v>
      </c>
      <c r="C65" s="93" t="str">
        <f>'＠グループ、表示名'!I65</f>
        <v>TM23B</v>
      </c>
      <c r="D65" s="144" t="s">
        <v>1894</v>
      </c>
      <c r="E65" s="154" t="s">
        <v>2125</v>
      </c>
      <c r="F65" s="143" t="s">
        <v>1892</v>
      </c>
      <c r="G65" s="137" t="s">
        <v>1933</v>
      </c>
      <c r="H65" s="94" t="s">
        <v>652</v>
      </c>
      <c r="I65" s="92" t="s">
        <v>1933</v>
      </c>
      <c r="J65" s="137" t="str">
        <f t="shared" si="0"/>
        <v>I/O</v>
      </c>
    </row>
    <row r="66" spans="2:10" ht="15.75" customHeight="1">
      <c r="B66" s="111" t="str">
        <f>'＠グループ、表示名'!H66</f>
        <v>TM24</v>
      </c>
      <c r="C66" s="93" t="str">
        <f>'＠グループ、表示名'!I66</f>
        <v>TM24A</v>
      </c>
      <c r="D66" s="144" t="s">
        <v>1893</v>
      </c>
      <c r="E66" s="154" t="s">
        <v>2125</v>
      </c>
      <c r="F66" s="143" t="s">
        <v>1892</v>
      </c>
      <c r="G66" s="137" t="s">
        <v>1934</v>
      </c>
      <c r="H66" s="94" t="s">
        <v>656</v>
      </c>
      <c r="I66" s="92" t="s">
        <v>1934</v>
      </c>
      <c r="J66" s="137" t="str">
        <f t="shared" si="0"/>
        <v>I/O</v>
      </c>
    </row>
    <row r="67" spans="2:10" ht="15.75" customHeight="1">
      <c r="B67" s="111" t="str">
        <f>'＠グループ、表示名'!H67</f>
        <v>TM24</v>
      </c>
      <c r="C67" s="93" t="str">
        <f>'＠グループ、表示名'!I67</f>
        <v>TM24B</v>
      </c>
      <c r="D67" s="144" t="s">
        <v>1894</v>
      </c>
      <c r="E67" s="154" t="s">
        <v>2125</v>
      </c>
      <c r="F67" s="143" t="s">
        <v>1892</v>
      </c>
      <c r="G67" s="137" t="s">
        <v>1935</v>
      </c>
      <c r="H67" s="94" t="s">
        <v>659</v>
      </c>
      <c r="I67" s="92" t="s">
        <v>1935</v>
      </c>
      <c r="J67" s="137" t="str">
        <f t="shared" si="0"/>
        <v>I/O</v>
      </c>
    </row>
    <row r="68" spans="2:10" ht="15.75" customHeight="1">
      <c r="B68" s="111" t="str">
        <f>'＠グループ、表示名'!H68</f>
        <v>TM25</v>
      </c>
      <c r="C68" s="93" t="str">
        <f>'＠グループ、表示名'!I68</f>
        <v>TM25A</v>
      </c>
      <c r="D68" s="144" t="s">
        <v>1893</v>
      </c>
      <c r="E68" s="154" t="s">
        <v>2125</v>
      </c>
      <c r="F68" s="143" t="s">
        <v>1892</v>
      </c>
      <c r="G68" s="137" t="s">
        <v>1936</v>
      </c>
      <c r="H68" s="94" t="s">
        <v>663</v>
      </c>
      <c r="I68" s="92" t="s">
        <v>1936</v>
      </c>
      <c r="J68" s="137" t="str">
        <f t="shared" si="0"/>
        <v>I/O</v>
      </c>
    </row>
    <row r="69" spans="2:10" ht="15.75" customHeight="1">
      <c r="B69" s="111" t="str">
        <f>'＠グループ、表示名'!H69</f>
        <v>TM25</v>
      </c>
      <c r="C69" s="93" t="str">
        <f>'＠グループ、表示名'!I69</f>
        <v>TM25B</v>
      </c>
      <c r="D69" s="144" t="s">
        <v>1894</v>
      </c>
      <c r="E69" s="154" t="s">
        <v>2125</v>
      </c>
      <c r="F69" s="143" t="s">
        <v>1892</v>
      </c>
      <c r="G69" s="137" t="s">
        <v>1937</v>
      </c>
      <c r="H69" s="94" t="s">
        <v>667</v>
      </c>
      <c r="I69" s="92" t="s">
        <v>1937</v>
      </c>
      <c r="J69" s="137" t="str">
        <f t="shared" ref="J69:J132" si="1">F69</f>
        <v>I/O</v>
      </c>
    </row>
    <row r="70" spans="2:10" ht="15.75" customHeight="1">
      <c r="B70" s="98" t="str">
        <f>'＠グループ、表示名'!H70</f>
        <v>GPWM0</v>
      </c>
      <c r="C70" s="93" t="str">
        <f>'＠グループ、表示名'!I70</f>
        <v>GPWM0_GPWM00</v>
      </c>
      <c r="D70" s="148" t="s">
        <v>1939</v>
      </c>
      <c r="E70" s="154" t="s">
        <v>2127</v>
      </c>
      <c r="F70" s="143" t="s">
        <v>1835</v>
      </c>
      <c r="G70" s="140" t="s">
        <v>1940</v>
      </c>
      <c r="H70" s="144" t="s">
        <v>1982</v>
      </c>
      <c r="I70" s="143" t="s">
        <v>1983</v>
      </c>
      <c r="J70" s="137" t="str">
        <f t="shared" si="1"/>
        <v>O</v>
      </c>
    </row>
    <row r="71" spans="2:10" ht="15.75" customHeight="1">
      <c r="B71" s="98" t="str">
        <f>'＠グループ、表示名'!H71</f>
        <v>GPWM0</v>
      </c>
      <c r="C71" s="93" t="str">
        <f>'＠グループ、表示名'!I71</f>
        <v>GPWM0_GPWMH00</v>
      </c>
      <c r="D71" s="148" t="s">
        <v>2126</v>
      </c>
      <c r="E71" s="154" t="s">
        <v>2127</v>
      </c>
      <c r="F71" s="143" t="s">
        <v>1835</v>
      </c>
      <c r="G71" s="137" t="s">
        <v>1952</v>
      </c>
      <c r="H71" s="144" t="s">
        <v>1984</v>
      </c>
      <c r="I71" s="143" t="s">
        <v>1985</v>
      </c>
      <c r="J71" s="137" t="str">
        <f t="shared" si="1"/>
        <v>O</v>
      </c>
    </row>
    <row r="72" spans="2:10" ht="15.75" customHeight="1">
      <c r="B72" s="98" t="str">
        <f>'＠グループ、表示名'!H72</f>
        <v>GPWM0</v>
      </c>
      <c r="C72" s="93" t="str">
        <f>'＠グループ、表示名'!I72</f>
        <v>GPWM0_GPWM01</v>
      </c>
      <c r="D72" s="144" t="s">
        <v>1939</v>
      </c>
      <c r="E72" s="154" t="s">
        <v>2127</v>
      </c>
      <c r="F72" s="143" t="s">
        <v>1835</v>
      </c>
      <c r="G72" s="137" t="s">
        <v>1961</v>
      </c>
      <c r="H72" s="144" t="s">
        <v>1982</v>
      </c>
      <c r="I72" s="143" t="s">
        <v>1983</v>
      </c>
      <c r="J72" s="137" t="str">
        <f t="shared" si="1"/>
        <v>O</v>
      </c>
    </row>
    <row r="73" spans="2:10" ht="15.75" customHeight="1">
      <c r="B73" s="98" t="str">
        <f>'＠グループ、表示名'!H73</f>
        <v>GPWM0</v>
      </c>
      <c r="C73" s="93" t="str">
        <f>'＠グループ、表示名'!I73</f>
        <v>GPWM0_GPWMH01</v>
      </c>
      <c r="D73" s="148" t="s">
        <v>2126</v>
      </c>
      <c r="E73" s="154" t="s">
        <v>2127</v>
      </c>
      <c r="F73" s="143" t="s">
        <v>1835</v>
      </c>
      <c r="G73" s="137" t="s">
        <v>1962</v>
      </c>
      <c r="H73" s="144" t="s">
        <v>1984</v>
      </c>
      <c r="I73" s="143" t="s">
        <v>1985</v>
      </c>
      <c r="J73" s="137" t="str">
        <f t="shared" si="1"/>
        <v>O</v>
      </c>
    </row>
    <row r="74" spans="2:10" ht="15.75" customHeight="1">
      <c r="B74" s="98" t="str">
        <f>'＠グループ、表示名'!H74</f>
        <v>GPWM1</v>
      </c>
      <c r="C74" s="93" t="str">
        <f>'＠グループ、表示名'!I74</f>
        <v>GPWM1_GPWM10</v>
      </c>
      <c r="D74" s="144" t="s">
        <v>1939</v>
      </c>
      <c r="E74" s="154" t="s">
        <v>2127</v>
      </c>
      <c r="F74" s="143" t="s">
        <v>1835</v>
      </c>
      <c r="G74" s="137" t="s">
        <v>1941</v>
      </c>
      <c r="H74" s="144" t="s">
        <v>1982</v>
      </c>
      <c r="I74" s="143" t="s">
        <v>1983</v>
      </c>
      <c r="J74" s="137" t="str">
        <f t="shared" si="1"/>
        <v>O</v>
      </c>
    </row>
    <row r="75" spans="2:10" ht="15.75" customHeight="1">
      <c r="B75" s="98" t="str">
        <f>'＠グループ、表示名'!H75</f>
        <v>GPWM1</v>
      </c>
      <c r="C75" s="93" t="str">
        <f>'＠グループ、表示名'!I75</f>
        <v>GPWM1_GPWMH10</v>
      </c>
      <c r="D75" s="148" t="s">
        <v>2126</v>
      </c>
      <c r="E75" s="154" t="s">
        <v>2127</v>
      </c>
      <c r="F75" s="143" t="s">
        <v>1835</v>
      </c>
      <c r="G75" s="137" t="s">
        <v>1953</v>
      </c>
      <c r="H75" s="144" t="s">
        <v>1984</v>
      </c>
      <c r="I75" s="143" t="s">
        <v>1985</v>
      </c>
      <c r="J75" s="137" t="str">
        <f t="shared" si="1"/>
        <v>O</v>
      </c>
    </row>
    <row r="76" spans="2:10" ht="15.75" customHeight="1">
      <c r="B76" s="98" t="str">
        <f>'＠グループ、表示名'!H76</f>
        <v>GPWM1</v>
      </c>
      <c r="C76" s="93" t="str">
        <f>'＠グループ、表示名'!I76</f>
        <v>GPWM1_GPWM11</v>
      </c>
      <c r="D76" s="144" t="s">
        <v>1939</v>
      </c>
      <c r="E76" s="154" t="s">
        <v>2127</v>
      </c>
      <c r="F76" s="143" t="s">
        <v>1835</v>
      </c>
      <c r="G76" s="137" t="s">
        <v>1963</v>
      </c>
      <c r="H76" s="144" t="s">
        <v>1982</v>
      </c>
      <c r="I76" s="143" t="s">
        <v>1983</v>
      </c>
      <c r="J76" s="137" t="str">
        <f t="shared" si="1"/>
        <v>O</v>
      </c>
    </row>
    <row r="77" spans="2:10" ht="15.75" customHeight="1">
      <c r="B77" s="98" t="str">
        <f>'＠グループ、表示名'!H77</f>
        <v>GPWM1</v>
      </c>
      <c r="C77" s="93" t="str">
        <f>'＠グループ、表示名'!I77</f>
        <v>GPWM1_GPWMH11</v>
      </c>
      <c r="D77" s="148" t="s">
        <v>2126</v>
      </c>
      <c r="E77" s="154" t="s">
        <v>2127</v>
      </c>
      <c r="F77" s="143" t="s">
        <v>1835</v>
      </c>
      <c r="G77" s="137" t="s">
        <v>1964</v>
      </c>
      <c r="H77" s="144" t="s">
        <v>1984</v>
      </c>
      <c r="I77" s="143" t="s">
        <v>1985</v>
      </c>
      <c r="J77" s="137" t="str">
        <f t="shared" si="1"/>
        <v>O</v>
      </c>
    </row>
    <row r="78" spans="2:10" ht="15.75" customHeight="1">
      <c r="B78" s="98" t="str">
        <f>'＠グループ、表示名'!H78</f>
        <v>GPWM2</v>
      </c>
      <c r="C78" s="93" t="str">
        <f>'＠グループ、表示名'!I78</f>
        <v>GPWM2_GPWM20</v>
      </c>
      <c r="D78" s="144" t="s">
        <v>1939</v>
      </c>
      <c r="E78" s="154" t="s">
        <v>2127</v>
      </c>
      <c r="F78" s="143" t="s">
        <v>1835</v>
      </c>
      <c r="G78" s="137" t="s">
        <v>1942</v>
      </c>
      <c r="H78" s="144" t="s">
        <v>1982</v>
      </c>
      <c r="I78" s="143" t="s">
        <v>1983</v>
      </c>
      <c r="J78" s="137" t="str">
        <f t="shared" si="1"/>
        <v>O</v>
      </c>
    </row>
    <row r="79" spans="2:10" ht="15.75" customHeight="1">
      <c r="B79" s="98" t="str">
        <f>'＠グループ、表示名'!H79</f>
        <v>GPWM2</v>
      </c>
      <c r="C79" s="93" t="str">
        <f>'＠グループ、表示名'!I79</f>
        <v>GPWM2_GPWMH20</v>
      </c>
      <c r="D79" s="148" t="s">
        <v>2126</v>
      </c>
      <c r="E79" s="154" t="s">
        <v>2127</v>
      </c>
      <c r="F79" s="143" t="s">
        <v>1835</v>
      </c>
      <c r="G79" s="137" t="s">
        <v>1954</v>
      </c>
      <c r="H79" s="144" t="s">
        <v>1984</v>
      </c>
      <c r="I79" s="143" t="s">
        <v>1985</v>
      </c>
      <c r="J79" s="137" t="str">
        <f t="shared" si="1"/>
        <v>O</v>
      </c>
    </row>
    <row r="80" spans="2:10" ht="15.75" customHeight="1">
      <c r="B80" s="98" t="str">
        <f>'＠グループ、表示名'!H80</f>
        <v>GPWM2</v>
      </c>
      <c r="C80" s="93" t="str">
        <f>'＠グループ、表示名'!I80</f>
        <v>GPWM2_GPWM21</v>
      </c>
      <c r="D80" s="144" t="s">
        <v>1939</v>
      </c>
      <c r="E80" s="154" t="s">
        <v>2127</v>
      </c>
      <c r="F80" s="143" t="s">
        <v>1835</v>
      </c>
      <c r="G80" s="137" t="s">
        <v>1965</v>
      </c>
      <c r="H80" s="144" t="s">
        <v>1982</v>
      </c>
      <c r="I80" s="143" t="s">
        <v>1983</v>
      </c>
      <c r="J80" s="137" t="str">
        <f t="shared" si="1"/>
        <v>O</v>
      </c>
    </row>
    <row r="81" spans="2:10" ht="15.75" customHeight="1">
      <c r="B81" s="98" t="str">
        <f>'＠グループ、表示名'!H81</f>
        <v>GPWM2</v>
      </c>
      <c r="C81" s="93" t="str">
        <f>'＠グループ、表示名'!I81</f>
        <v>GPWM2_GPWMH21</v>
      </c>
      <c r="D81" s="148" t="s">
        <v>2126</v>
      </c>
      <c r="E81" s="154" t="s">
        <v>2127</v>
      </c>
      <c r="F81" s="143" t="s">
        <v>1835</v>
      </c>
      <c r="G81" s="137" t="s">
        <v>1966</v>
      </c>
      <c r="H81" s="144" t="s">
        <v>1984</v>
      </c>
      <c r="I81" s="143" t="s">
        <v>1985</v>
      </c>
      <c r="J81" s="137" t="str">
        <f t="shared" si="1"/>
        <v>O</v>
      </c>
    </row>
    <row r="82" spans="2:10" ht="15.75" customHeight="1">
      <c r="B82" s="98" t="str">
        <f>'＠グループ、表示名'!H82</f>
        <v>GPWM3</v>
      </c>
      <c r="C82" s="93" t="str">
        <f>'＠グループ、表示名'!I82</f>
        <v>GPWM3_GPWM30</v>
      </c>
      <c r="D82" s="144" t="s">
        <v>1939</v>
      </c>
      <c r="E82" s="154" t="s">
        <v>2127</v>
      </c>
      <c r="F82" s="143" t="s">
        <v>1835</v>
      </c>
      <c r="G82" s="137" t="s">
        <v>1943</v>
      </c>
      <c r="H82" s="144" t="s">
        <v>1982</v>
      </c>
      <c r="I82" s="143" t="s">
        <v>1983</v>
      </c>
      <c r="J82" s="137" t="str">
        <f t="shared" si="1"/>
        <v>O</v>
      </c>
    </row>
    <row r="83" spans="2:10" ht="15.75" customHeight="1">
      <c r="B83" s="98" t="str">
        <f>'＠グループ、表示名'!H83</f>
        <v>GPWM3</v>
      </c>
      <c r="C83" s="93" t="str">
        <f>'＠グループ、表示名'!I83</f>
        <v>GPWM3_GPWMH30</v>
      </c>
      <c r="D83" s="148" t="s">
        <v>2126</v>
      </c>
      <c r="E83" s="154" t="s">
        <v>2127</v>
      </c>
      <c r="F83" s="143" t="s">
        <v>1835</v>
      </c>
      <c r="G83" s="137" t="s">
        <v>1955</v>
      </c>
      <c r="H83" s="144" t="s">
        <v>1984</v>
      </c>
      <c r="I83" s="143" t="s">
        <v>1985</v>
      </c>
      <c r="J83" s="137" t="str">
        <f t="shared" si="1"/>
        <v>O</v>
      </c>
    </row>
    <row r="84" spans="2:10" ht="15.75" customHeight="1">
      <c r="B84" s="98" t="str">
        <f>'＠グループ、表示名'!H84</f>
        <v>GPWM3</v>
      </c>
      <c r="C84" s="93" t="str">
        <f>'＠グループ、表示名'!I84</f>
        <v>GPWM3_GPWM31</v>
      </c>
      <c r="D84" s="144" t="s">
        <v>1939</v>
      </c>
      <c r="E84" s="154" t="s">
        <v>2127</v>
      </c>
      <c r="F84" s="143" t="s">
        <v>1835</v>
      </c>
      <c r="G84" s="137" t="s">
        <v>1967</v>
      </c>
      <c r="H84" s="144" t="s">
        <v>1982</v>
      </c>
      <c r="I84" s="143" t="s">
        <v>1983</v>
      </c>
      <c r="J84" s="137" t="str">
        <f t="shared" si="1"/>
        <v>O</v>
      </c>
    </row>
    <row r="85" spans="2:10" ht="15.75" customHeight="1">
      <c r="B85" s="98" t="str">
        <f>'＠グループ、表示名'!H85</f>
        <v>GPWM3</v>
      </c>
      <c r="C85" s="93" t="str">
        <f>'＠グループ、表示名'!I85</f>
        <v>GPWM3_GPWMH31</v>
      </c>
      <c r="D85" s="148" t="s">
        <v>2126</v>
      </c>
      <c r="E85" s="154" t="s">
        <v>2127</v>
      </c>
      <c r="F85" s="143" t="s">
        <v>1835</v>
      </c>
      <c r="G85" s="137" t="s">
        <v>1968</v>
      </c>
      <c r="H85" s="144" t="s">
        <v>1984</v>
      </c>
      <c r="I85" s="143" t="s">
        <v>1985</v>
      </c>
      <c r="J85" s="137" t="str">
        <f t="shared" si="1"/>
        <v>O</v>
      </c>
    </row>
    <row r="86" spans="2:10" ht="15.75" customHeight="1">
      <c r="B86" s="98" t="str">
        <f>'＠グループ、表示名'!H86</f>
        <v>GPWM4</v>
      </c>
      <c r="C86" s="93" t="str">
        <f>'＠グループ、表示名'!I86</f>
        <v>GPWM4_GPWM40</v>
      </c>
      <c r="D86" s="144" t="s">
        <v>1939</v>
      </c>
      <c r="E86" s="154" t="s">
        <v>2127</v>
      </c>
      <c r="F86" s="143" t="s">
        <v>1835</v>
      </c>
      <c r="G86" s="137" t="s">
        <v>1944</v>
      </c>
      <c r="H86" s="144" t="s">
        <v>1982</v>
      </c>
      <c r="I86" s="143" t="s">
        <v>1983</v>
      </c>
      <c r="J86" s="137" t="str">
        <f t="shared" si="1"/>
        <v>O</v>
      </c>
    </row>
    <row r="87" spans="2:10" ht="15.75" customHeight="1">
      <c r="B87" s="98" t="str">
        <f>'＠グループ、表示名'!H87</f>
        <v>GPWM4</v>
      </c>
      <c r="C87" s="93" t="str">
        <f>'＠グループ、表示名'!I87</f>
        <v>GPWM4_GPWMH40</v>
      </c>
      <c r="D87" s="148" t="s">
        <v>2126</v>
      </c>
      <c r="E87" s="154" t="s">
        <v>2127</v>
      </c>
      <c r="F87" s="143" t="s">
        <v>1835</v>
      </c>
      <c r="G87" s="137" t="s">
        <v>1956</v>
      </c>
      <c r="H87" s="144" t="s">
        <v>1984</v>
      </c>
      <c r="I87" s="143" t="s">
        <v>1985</v>
      </c>
      <c r="J87" s="137" t="str">
        <f t="shared" si="1"/>
        <v>O</v>
      </c>
    </row>
    <row r="88" spans="2:10" ht="15.75" customHeight="1">
      <c r="B88" s="98" t="str">
        <f>'＠グループ、表示名'!H88</f>
        <v>GPWM4</v>
      </c>
      <c r="C88" s="93" t="str">
        <f>'＠グループ、表示名'!I88</f>
        <v>GPWM4_GPWM41</v>
      </c>
      <c r="D88" s="144" t="s">
        <v>1939</v>
      </c>
      <c r="E88" s="154" t="s">
        <v>2127</v>
      </c>
      <c r="F88" s="143" t="s">
        <v>1835</v>
      </c>
      <c r="G88" s="137" t="s">
        <v>1969</v>
      </c>
      <c r="H88" s="144" t="s">
        <v>1982</v>
      </c>
      <c r="I88" s="143" t="s">
        <v>1983</v>
      </c>
      <c r="J88" s="137" t="str">
        <f t="shared" si="1"/>
        <v>O</v>
      </c>
    </row>
    <row r="89" spans="2:10" ht="15.75" customHeight="1">
      <c r="B89" s="98" t="str">
        <f>'＠グループ、表示名'!H89</f>
        <v>GPWM4</v>
      </c>
      <c r="C89" s="93" t="str">
        <f>'＠グループ、表示名'!I89</f>
        <v>GPWM4_GPWMH41</v>
      </c>
      <c r="D89" s="148" t="s">
        <v>2126</v>
      </c>
      <c r="E89" s="154" t="s">
        <v>2127</v>
      </c>
      <c r="F89" s="143" t="s">
        <v>1835</v>
      </c>
      <c r="G89" s="137" t="s">
        <v>1970</v>
      </c>
      <c r="H89" s="144" t="s">
        <v>1984</v>
      </c>
      <c r="I89" s="143" t="s">
        <v>1985</v>
      </c>
      <c r="J89" s="137" t="str">
        <f t="shared" si="1"/>
        <v>O</v>
      </c>
    </row>
    <row r="90" spans="2:10" ht="15.75" customHeight="1">
      <c r="B90" s="98" t="str">
        <f>'＠グループ、表示名'!H90</f>
        <v>GPWM5</v>
      </c>
      <c r="C90" s="93" t="str">
        <f>'＠グループ、表示名'!I90</f>
        <v>GPWM5_GPWM50</v>
      </c>
      <c r="D90" s="144" t="s">
        <v>1939</v>
      </c>
      <c r="E90" s="154" t="s">
        <v>2127</v>
      </c>
      <c r="F90" s="143" t="s">
        <v>1835</v>
      </c>
      <c r="G90" s="137" t="s">
        <v>1945</v>
      </c>
      <c r="H90" s="144" t="s">
        <v>1982</v>
      </c>
      <c r="I90" s="143" t="s">
        <v>1983</v>
      </c>
      <c r="J90" s="137" t="str">
        <f t="shared" si="1"/>
        <v>O</v>
      </c>
    </row>
    <row r="91" spans="2:10" ht="15.75" customHeight="1">
      <c r="B91" s="98" t="str">
        <f>'＠グループ、表示名'!H91</f>
        <v>GPWM5</v>
      </c>
      <c r="C91" s="93" t="str">
        <f>'＠グループ、表示名'!I91</f>
        <v>GPWM5_GPWMH50</v>
      </c>
      <c r="D91" s="148" t="s">
        <v>2126</v>
      </c>
      <c r="E91" s="154" t="s">
        <v>2127</v>
      </c>
      <c r="F91" s="143" t="s">
        <v>1835</v>
      </c>
      <c r="G91" s="137" t="s">
        <v>1957</v>
      </c>
      <c r="H91" s="144" t="s">
        <v>1984</v>
      </c>
      <c r="I91" s="143" t="s">
        <v>1985</v>
      </c>
      <c r="J91" s="137" t="str">
        <f t="shared" si="1"/>
        <v>O</v>
      </c>
    </row>
    <row r="92" spans="2:10" ht="15.75" customHeight="1">
      <c r="B92" s="98" t="str">
        <f>'＠グループ、表示名'!H92</f>
        <v>GPWM5</v>
      </c>
      <c r="C92" s="93" t="str">
        <f>'＠グループ、表示名'!I92</f>
        <v>GPWM5_GPWM51</v>
      </c>
      <c r="D92" s="144" t="s">
        <v>1939</v>
      </c>
      <c r="E92" s="154" t="s">
        <v>2127</v>
      </c>
      <c r="F92" s="143" t="s">
        <v>1835</v>
      </c>
      <c r="G92" s="137" t="s">
        <v>1971</v>
      </c>
      <c r="H92" s="144" t="s">
        <v>1982</v>
      </c>
      <c r="I92" s="143" t="s">
        <v>1983</v>
      </c>
      <c r="J92" s="137" t="str">
        <f t="shared" si="1"/>
        <v>O</v>
      </c>
    </row>
    <row r="93" spans="2:10" ht="15.75" customHeight="1">
      <c r="B93" s="98" t="str">
        <f>'＠グループ、表示名'!H93</f>
        <v>GPWM5</v>
      </c>
      <c r="C93" s="93" t="str">
        <f>'＠グループ、表示名'!I93</f>
        <v>GPWM5_GPWMH51</v>
      </c>
      <c r="D93" s="148" t="s">
        <v>2126</v>
      </c>
      <c r="E93" s="154" t="s">
        <v>2127</v>
      </c>
      <c r="F93" s="143" t="s">
        <v>1835</v>
      </c>
      <c r="G93" s="137" t="s">
        <v>1972</v>
      </c>
      <c r="H93" s="144" t="s">
        <v>1984</v>
      </c>
      <c r="I93" s="143" t="s">
        <v>1985</v>
      </c>
      <c r="J93" s="137" t="str">
        <f t="shared" si="1"/>
        <v>O</v>
      </c>
    </row>
    <row r="94" spans="2:10" ht="15.75" customHeight="1">
      <c r="B94" s="98" t="str">
        <f>'＠グループ、表示名'!H94</f>
        <v>GPWM6</v>
      </c>
      <c r="C94" s="93" t="str">
        <f>'＠グループ、表示名'!I94</f>
        <v>GPWM6_GPWM60</v>
      </c>
      <c r="D94" s="144" t="s">
        <v>1939</v>
      </c>
      <c r="E94" s="154" t="s">
        <v>2127</v>
      </c>
      <c r="F94" s="143" t="s">
        <v>1835</v>
      </c>
      <c r="G94" s="137" t="s">
        <v>1946</v>
      </c>
      <c r="H94" s="144" t="s">
        <v>1982</v>
      </c>
      <c r="I94" s="143" t="s">
        <v>1983</v>
      </c>
      <c r="J94" s="137" t="str">
        <f t="shared" si="1"/>
        <v>O</v>
      </c>
    </row>
    <row r="95" spans="2:10" ht="15.75" customHeight="1">
      <c r="B95" s="98" t="str">
        <f>'＠グループ、表示名'!H95</f>
        <v>GPWM6</v>
      </c>
      <c r="C95" s="93" t="str">
        <f>'＠グループ、表示名'!I95</f>
        <v>GPWM6_GPWMH60</v>
      </c>
      <c r="D95" s="148" t="s">
        <v>2126</v>
      </c>
      <c r="E95" s="154" t="s">
        <v>2127</v>
      </c>
      <c r="F95" s="143" t="s">
        <v>1835</v>
      </c>
      <c r="G95" s="137" t="s">
        <v>1958</v>
      </c>
      <c r="H95" s="144" t="s">
        <v>1984</v>
      </c>
      <c r="I95" s="143" t="s">
        <v>1985</v>
      </c>
      <c r="J95" s="137" t="str">
        <f t="shared" si="1"/>
        <v>O</v>
      </c>
    </row>
    <row r="96" spans="2:10" ht="15.75" customHeight="1">
      <c r="B96" s="98" t="str">
        <f>'＠グループ、表示名'!H96</f>
        <v>GPWM6</v>
      </c>
      <c r="C96" s="93" t="str">
        <f>'＠グループ、表示名'!I96</f>
        <v>GPWM6_GPWM61</v>
      </c>
      <c r="D96" s="144" t="s">
        <v>1939</v>
      </c>
      <c r="E96" s="154" t="s">
        <v>2127</v>
      </c>
      <c r="F96" s="143" t="s">
        <v>1835</v>
      </c>
      <c r="G96" s="137" t="s">
        <v>1973</v>
      </c>
      <c r="H96" s="144" t="s">
        <v>1982</v>
      </c>
      <c r="I96" s="143" t="s">
        <v>1983</v>
      </c>
      <c r="J96" s="137" t="str">
        <f t="shared" si="1"/>
        <v>O</v>
      </c>
    </row>
    <row r="97" spans="2:10" ht="15.75" customHeight="1">
      <c r="B97" s="98" t="str">
        <f>'＠グループ、表示名'!H97</f>
        <v>GPWM6</v>
      </c>
      <c r="C97" s="93" t="str">
        <f>'＠グループ、表示名'!I97</f>
        <v>GPWM6_GPWMH61</v>
      </c>
      <c r="D97" s="148" t="s">
        <v>2126</v>
      </c>
      <c r="E97" s="154" t="s">
        <v>2127</v>
      </c>
      <c r="F97" s="143" t="s">
        <v>1835</v>
      </c>
      <c r="G97" s="137" t="s">
        <v>1974</v>
      </c>
      <c r="H97" s="144" t="s">
        <v>1984</v>
      </c>
      <c r="I97" s="143" t="s">
        <v>1985</v>
      </c>
      <c r="J97" s="137" t="str">
        <f t="shared" si="1"/>
        <v>O</v>
      </c>
    </row>
    <row r="98" spans="2:10" ht="15.75" customHeight="1">
      <c r="B98" s="98" t="str">
        <f>'＠グループ、表示名'!H98</f>
        <v>GPWM7</v>
      </c>
      <c r="C98" s="93" t="str">
        <f>'＠グループ、表示名'!I98</f>
        <v>GPWM7_GPWM70</v>
      </c>
      <c r="D98" s="144" t="s">
        <v>1939</v>
      </c>
      <c r="E98" s="154" t="s">
        <v>2127</v>
      </c>
      <c r="F98" s="143" t="s">
        <v>1835</v>
      </c>
      <c r="G98" s="137" t="s">
        <v>1947</v>
      </c>
      <c r="H98" s="144" t="s">
        <v>1982</v>
      </c>
      <c r="I98" s="143" t="s">
        <v>1983</v>
      </c>
      <c r="J98" s="137" t="str">
        <f t="shared" si="1"/>
        <v>O</v>
      </c>
    </row>
    <row r="99" spans="2:10" ht="15.75" customHeight="1">
      <c r="B99" s="98" t="str">
        <f>'＠グループ、表示名'!H99</f>
        <v>GPWM7</v>
      </c>
      <c r="C99" s="93" t="str">
        <f>'＠グループ、表示名'!I99</f>
        <v>GPWM7_GPWMH70</v>
      </c>
      <c r="D99" s="148" t="s">
        <v>2126</v>
      </c>
      <c r="E99" s="154" t="s">
        <v>2127</v>
      </c>
      <c r="F99" s="143" t="s">
        <v>1835</v>
      </c>
      <c r="G99" s="137" t="s">
        <v>1959</v>
      </c>
      <c r="H99" s="144" t="s">
        <v>1984</v>
      </c>
      <c r="I99" s="143" t="s">
        <v>1985</v>
      </c>
      <c r="J99" s="137" t="str">
        <f t="shared" si="1"/>
        <v>O</v>
      </c>
    </row>
    <row r="100" spans="2:10" ht="15.75" customHeight="1">
      <c r="B100" s="98" t="str">
        <f>'＠グループ、表示名'!H100</f>
        <v>GPWM7</v>
      </c>
      <c r="C100" s="93" t="str">
        <f>'＠グループ、表示名'!I100</f>
        <v>GPWM7_GPWM71</v>
      </c>
      <c r="D100" s="144" t="s">
        <v>1939</v>
      </c>
      <c r="E100" s="154" t="s">
        <v>2127</v>
      </c>
      <c r="F100" s="143" t="s">
        <v>1835</v>
      </c>
      <c r="G100" s="137" t="s">
        <v>1975</v>
      </c>
      <c r="H100" s="144" t="s">
        <v>1982</v>
      </c>
      <c r="I100" s="143" t="s">
        <v>1983</v>
      </c>
      <c r="J100" s="137" t="str">
        <f t="shared" si="1"/>
        <v>O</v>
      </c>
    </row>
    <row r="101" spans="2:10" ht="15.75" customHeight="1">
      <c r="B101" s="98" t="str">
        <f>'＠グループ、表示名'!H101</f>
        <v>GPWM7</v>
      </c>
      <c r="C101" s="93" t="str">
        <f>'＠グループ、表示名'!I101</f>
        <v>GPWM7_GPWMH71</v>
      </c>
      <c r="D101" s="148" t="s">
        <v>2126</v>
      </c>
      <c r="E101" s="154" t="s">
        <v>2127</v>
      </c>
      <c r="F101" s="143" t="s">
        <v>1835</v>
      </c>
      <c r="G101" s="137" t="s">
        <v>1976</v>
      </c>
      <c r="H101" s="144" t="s">
        <v>1984</v>
      </c>
      <c r="I101" s="143" t="s">
        <v>1985</v>
      </c>
      <c r="J101" s="137" t="str">
        <f t="shared" si="1"/>
        <v>O</v>
      </c>
    </row>
    <row r="102" spans="2:10" ht="15.75" customHeight="1">
      <c r="B102" s="98" t="str">
        <f>'＠グループ、表示名'!H102</f>
        <v>GPWM8</v>
      </c>
      <c r="C102" s="93" t="str">
        <f>'＠グループ、表示名'!I102</f>
        <v>GPWM8_GPWM80</v>
      </c>
      <c r="D102" s="144" t="s">
        <v>1939</v>
      </c>
      <c r="E102" s="154" t="s">
        <v>2127</v>
      </c>
      <c r="F102" s="143" t="s">
        <v>1835</v>
      </c>
      <c r="G102" s="137" t="s">
        <v>1948</v>
      </c>
      <c r="H102" s="144" t="s">
        <v>1982</v>
      </c>
      <c r="I102" s="143" t="s">
        <v>1983</v>
      </c>
      <c r="J102" s="137" t="str">
        <f t="shared" si="1"/>
        <v>O</v>
      </c>
    </row>
    <row r="103" spans="2:10" ht="15.75" customHeight="1">
      <c r="B103" s="98" t="str">
        <f>'＠グループ、表示名'!H103</f>
        <v>GPWM8</v>
      </c>
      <c r="C103" s="93" t="str">
        <f>'＠グループ、表示名'!I103</f>
        <v>GPWM8_GPWMH80</v>
      </c>
      <c r="D103" s="148" t="s">
        <v>2126</v>
      </c>
      <c r="E103" s="154" t="s">
        <v>2127</v>
      </c>
      <c r="F103" s="143" t="s">
        <v>1835</v>
      </c>
      <c r="G103" s="137" t="s">
        <v>1960</v>
      </c>
      <c r="H103" s="144" t="s">
        <v>1984</v>
      </c>
      <c r="I103" s="143" t="s">
        <v>1985</v>
      </c>
      <c r="J103" s="137" t="str">
        <f t="shared" si="1"/>
        <v>O</v>
      </c>
    </row>
    <row r="104" spans="2:10" ht="15.75" customHeight="1">
      <c r="B104" s="98" t="str">
        <f>'＠グループ、表示名'!H104</f>
        <v>GPWM8</v>
      </c>
      <c r="C104" s="93" t="str">
        <f>'＠グループ、表示名'!I104</f>
        <v>GPWM8_GPWM81</v>
      </c>
      <c r="D104" s="144" t="s">
        <v>1939</v>
      </c>
      <c r="E104" s="154" t="s">
        <v>2127</v>
      </c>
      <c r="F104" s="143" t="s">
        <v>1835</v>
      </c>
      <c r="G104" s="137" t="s">
        <v>1977</v>
      </c>
      <c r="H104" s="144" t="s">
        <v>1982</v>
      </c>
      <c r="I104" s="143" t="s">
        <v>1983</v>
      </c>
      <c r="J104" s="137" t="str">
        <f t="shared" si="1"/>
        <v>O</v>
      </c>
    </row>
    <row r="105" spans="2:10" ht="15.75" customHeight="1">
      <c r="B105" s="98" t="str">
        <f>'＠グループ、表示名'!H105</f>
        <v>GPWM8</v>
      </c>
      <c r="C105" s="93" t="str">
        <f>'＠グループ、表示名'!I105</f>
        <v>GPWM8_GPWMH81</v>
      </c>
      <c r="D105" s="148" t="s">
        <v>2126</v>
      </c>
      <c r="E105" s="154" t="s">
        <v>2127</v>
      </c>
      <c r="F105" s="143" t="s">
        <v>1835</v>
      </c>
      <c r="G105" s="137" t="s">
        <v>1978</v>
      </c>
      <c r="H105" s="144" t="s">
        <v>1984</v>
      </c>
      <c r="I105" s="155" t="s">
        <v>1985</v>
      </c>
      <c r="J105" s="137" t="str">
        <f t="shared" si="1"/>
        <v>O</v>
      </c>
    </row>
    <row r="106" spans="2:10" ht="15.75" customHeight="1">
      <c r="B106" s="98" t="str">
        <f>'＠グループ、表示名'!H106</f>
        <v>GPWM9</v>
      </c>
      <c r="C106" s="93" t="str">
        <f>'＠グループ、表示名'!I106</f>
        <v>GPWM9_GPWM90</v>
      </c>
      <c r="D106" s="144" t="s">
        <v>1939</v>
      </c>
      <c r="E106" s="154" t="s">
        <v>2127</v>
      </c>
      <c r="F106" s="143" t="s">
        <v>1835</v>
      </c>
      <c r="G106" s="137" t="s">
        <v>1949</v>
      </c>
      <c r="H106" s="144" t="s">
        <v>1982</v>
      </c>
      <c r="I106" s="143" t="s">
        <v>1983</v>
      </c>
      <c r="J106" s="137" t="str">
        <f t="shared" si="1"/>
        <v>O</v>
      </c>
    </row>
    <row r="107" spans="2:10" ht="15.75" customHeight="1">
      <c r="B107" s="98" t="str">
        <f>'＠グループ、表示名'!H107</f>
        <v>GPWM9</v>
      </c>
      <c r="C107" s="93" t="str">
        <f>'＠グループ、表示名'!I107</f>
        <v>GPWM9_GPWM91</v>
      </c>
      <c r="D107" s="148" t="s">
        <v>2126</v>
      </c>
      <c r="E107" s="154" t="s">
        <v>2127</v>
      </c>
      <c r="F107" s="143" t="s">
        <v>1835</v>
      </c>
      <c r="G107" s="137" t="s">
        <v>1979</v>
      </c>
      <c r="H107" s="144" t="s">
        <v>1982</v>
      </c>
      <c r="I107" s="143" t="s">
        <v>1983</v>
      </c>
      <c r="J107" s="137" t="str">
        <f t="shared" si="1"/>
        <v>O</v>
      </c>
    </row>
    <row r="108" spans="2:10" ht="15.75" customHeight="1">
      <c r="B108" s="98" t="str">
        <f>'＠グループ、表示名'!H108</f>
        <v>GPWMA</v>
      </c>
      <c r="C108" s="93" t="str">
        <f>'＠グループ、表示名'!I108</f>
        <v>GPWMA_GPWMA0</v>
      </c>
      <c r="D108" s="144" t="s">
        <v>1939</v>
      </c>
      <c r="E108" s="154" t="s">
        <v>2127</v>
      </c>
      <c r="F108" s="143" t="s">
        <v>1835</v>
      </c>
      <c r="G108" s="137" t="s">
        <v>1950</v>
      </c>
      <c r="H108" s="144" t="s">
        <v>1982</v>
      </c>
      <c r="I108" s="143" t="s">
        <v>1983</v>
      </c>
      <c r="J108" s="137" t="str">
        <f t="shared" si="1"/>
        <v>O</v>
      </c>
    </row>
    <row r="109" spans="2:10" ht="15.75" customHeight="1">
      <c r="B109" s="98" t="str">
        <f>'＠グループ、表示名'!H109</f>
        <v>GPWMA</v>
      </c>
      <c r="C109" s="93" t="str">
        <f>'＠グループ、表示名'!I109</f>
        <v>GPWMA_GPWMA1</v>
      </c>
      <c r="D109" s="148" t="s">
        <v>2126</v>
      </c>
      <c r="E109" s="154" t="s">
        <v>2127</v>
      </c>
      <c r="F109" s="143" t="s">
        <v>1835</v>
      </c>
      <c r="G109" s="137" t="s">
        <v>1981</v>
      </c>
      <c r="H109" s="144" t="s">
        <v>1982</v>
      </c>
      <c r="I109" s="143" t="s">
        <v>1983</v>
      </c>
      <c r="J109" s="137" t="str">
        <f t="shared" si="1"/>
        <v>O</v>
      </c>
    </row>
    <row r="110" spans="2:10" ht="15.75" customHeight="1">
      <c r="B110" s="98" t="str">
        <f>'＠グループ、表示名'!H110</f>
        <v>GPWMB</v>
      </c>
      <c r="C110" s="93" t="str">
        <f>'＠グループ、表示名'!I110</f>
        <v>GPWMB_GPWMB0</v>
      </c>
      <c r="D110" s="144" t="s">
        <v>1939</v>
      </c>
      <c r="E110" s="154" t="s">
        <v>2127</v>
      </c>
      <c r="F110" s="143" t="s">
        <v>1835</v>
      </c>
      <c r="G110" s="137" t="s">
        <v>1951</v>
      </c>
      <c r="H110" s="144" t="s">
        <v>1982</v>
      </c>
      <c r="I110" s="143" t="s">
        <v>1983</v>
      </c>
      <c r="J110" s="137" t="str">
        <f t="shared" si="1"/>
        <v>O</v>
      </c>
    </row>
    <row r="111" spans="2:10" ht="15.75" customHeight="1">
      <c r="B111" s="98" t="str">
        <f>'＠グループ、表示名'!H111</f>
        <v>GPWMB</v>
      </c>
      <c r="C111" s="93" t="str">
        <f>'＠グループ、表示名'!I111</f>
        <v>GPWMB_GPWMB1</v>
      </c>
      <c r="D111" s="148" t="s">
        <v>2126</v>
      </c>
      <c r="E111" s="154" t="s">
        <v>2127</v>
      </c>
      <c r="F111" s="143" t="s">
        <v>1835</v>
      </c>
      <c r="G111" s="137" t="s">
        <v>1980</v>
      </c>
      <c r="H111" s="144" t="s">
        <v>1982</v>
      </c>
      <c r="I111" s="143" t="s">
        <v>1983</v>
      </c>
      <c r="J111" s="137" t="str">
        <f t="shared" si="1"/>
        <v>O</v>
      </c>
    </row>
    <row r="112" spans="2:10" ht="15.75" customHeight="1">
      <c r="B112" s="98" t="str">
        <f>'＠グループ、表示名'!H112</f>
        <v>GPWM0</v>
      </c>
      <c r="C112" s="93" t="str">
        <f>'＠グループ、表示名'!I112</f>
        <v>GPWM0_GPWMST0</v>
      </c>
      <c r="D112" s="144" t="s">
        <v>1986</v>
      </c>
      <c r="E112" s="154" t="s">
        <v>2128</v>
      </c>
      <c r="F112" s="143" t="s">
        <v>1835</v>
      </c>
      <c r="G112" s="137" t="s">
        <v>1987</v>
      </c>
      <c r="H112" s="144" t="s">
        <v>1999</v>
      </c>
      <c r="I112" s="143" t="s">
        <v>2000</v>
      </c>
      <c r="J112" s="137" t="str">
        <f t="shared" si="1"/>
        <v>O</v>
      </c>
    </row>
    <row r="113" spans="2:10" ht="15.75" customHeight="1">
      <c r="B113" s="98" t="str">
        <f>'＠グループ、表示名'!H113</f>
        <v>GPWM1</v>
      </c>
      <c r="C113" s="93" t="str">
        <f>'＠グループ、表示名'!I113</f>
        <v>GPWM1_GPWMST1</v>
      </c>
      <c r="D113" s="144" t="s">
        <v>1986</v>
      </c>
      <c r="E113" s="154" t="s">
        <v>2128</v>
      </c>
      <c r="F113" s="143" t="s">
        <v>1835</v>
      </c>
      <c r="G113" s="137" t="s">
        <v>1988</v>
      </c>
      <c r="H113" s="144" t="s">
        <v>1999</v>
      </c>
      <c r="I113" s="143" t="s">
        <v>2000</v>
      </c>
      <c r="J113" s="137" t="str">
        <f t="shared" si="1"/>
        <v>O</v>
      </c>
    </row>
    <row r="114" spans="2:10" ht="15.75" customHeight="1">
      <c r="B114" s="98" t="str">
        <f>'＠グループ、表示名'!H114</f>
        <v>GPWM2</v>
      </c>
      <c r="C114" s="93" t="str">
        <f>'＠グループ、表示名'!I114</f>
        <v>GPWM2_GPWMST2</v>
      </c>
      <c r="D114" s="144" t="s">
        <v>1986</v>
      </c>
      <c r="E114" s="154" t="s">
        <v>2128</v>
      </c>
      <c r="F114" s="143" t="s">
        <v>1835</v>
      </c>
      <c r="G114" s="137" t="s">
        <v>1989</v>
      </c>
      <c r="H114" s="144" t="s">
        <v>1999</v>
      </c>
      <c r="I114" s="143" t="s">
        <v>2000</v>
      </c>
      <c r="J114" s="137" t="str">
        <f t="shared" si="1"/>
        <v>O</v>
      </c>
    </row>
    <row r="115" spans="2:10" ht="15.75" customHeight="1">
      <c r="B115" s="98" t="str">
        <f>'＠グループ、表示名'!H115</f>
        <v>GPWM3</v>
      </c>
      <c r="C115" s="93" t="str">
        <f>'＠グループ、表示名'!I115</f>
        <v>GPWM3_GPWMST3</v>
      </c>
      <c r="D115" s="144" t="s">
        <v>1986</v>
      </c>
      <c r="E115" s="154" t="s">
        <v>2128</v>
      </c>
      <c r="F115" s="143" t="s">
        <v>1835</v>
      </c>
      <c r="G115" s="137" t="s">
        <v>1990</v>
      </c>
      <c r="H115" s="144" t="s">
        <v>1999</v>
      </c>
      <c r="I115" s="143" t="s">
        <v>2000</v>
      </c>
      <c r="J115" s="137" t="str">
        <f t="shared" si="1"/>
        <v>O</v>
      </c>
    </row>
    <row r="116" spans="2:10" ht="15.75" customHeight="1">
      <c r="B116" s="98" t="str">
        <f>'＠グループ、表示名'!H116</f>
        <v>GPWM4</v>
      </c>
      <c r="C116" s="93" t="str">
        <f>'＠グループ、表示名'!I116</f>
        <v>GPWM4_GPWMST4</v>
      </c>
      <c r="D116" s="144" t="s">
        <v>1986</v>
      </c>
      <c r="E116" s="154" t="s">
        <v>2128</v>
      </c>
      <c r="F116" s="143" t="s">
        <v>1835</v>
      </c>
      <c r="G116" s="137" t="s">
        <v>1991</v>
      </c>
      <c r="H116" s="144" t="s">
        <v>1999</v>
      </c>
      <c r="I116" s="143" t="s">
        <v>2000</v>
      </c>
      <c r="J116" s="137" t="str">
        <f t="shared" si="1"/>
        <v>O</v>
      </c>
    </row>
    <row r="117" spans="2:10" ht="15.75" customHeight="1">
      <c r="B117" s="98" t="str">
        <f>'＠グループ、表示名'!H117</f>
        <v>GPWM5</v>
      </c>
      <c r="C117" s="93" t="str">
        <f>'＠グループ、表示名'!I117</f>
        <v>GPWM5_GPWMST5</v>
      </c>
      <c r="D117" s="144" t="s">
        <v>1986</v>
      </c>
      <c r="E117" s="154" t="s">
        <v>2128</v>
      </c>
      <c r="F117" s="143" t="s">
        <v>1835</v>
      </c>
      <c r="G117" s="137" t="s">
        <v>1992</v>
      </c>
      <c r="H117" s="144" t="s">
        <v>1999</v>
      </c>
      <c r="I117" s="143" t="s">
        <v>2000</v>
      </c>
      <c r="J117" s="137" t="str">
        <f t="shared" si="1"/>
        <v>O</v>
      </c>
    </row>
    <row r="118" spans="2:10" ht="15.75" customHeight="1">
      <c r="B118" s="98" t="str">
        <f>'＠グループ、表示名'!H118</f>
        <v>GPWM6</v>
      </c>
      <c r="C118" s="93" t="str">
        <f>'＠グループ、表示名'!I118</f>
        <v>GPWM6_GPWMST6</v>
      </c>
      <c r="D118" s="144" t="s">
        <v>1986</v>
      </c>
      <c r="E118" s="154" t="s">
        <v>2128</v>
      </c>
      <c r="F118" s="143" t="s">
        <v>1835</v>
      </c>
      <c r="G118" s="137" t="s">
        <v>1993</v>
      </c>
      <c r="H118" s="144" t="s">
        <v>1999</v>
      </c>
      <c r="I118" s="143" t="s">
        <v>2000</v>
      </c>
      <c r="J118" s="137" t="str">
        <f t="shared" si="1"/>
        <v>O</v>
      </c>
    </row>
    <row r="119" spans="2:10" ht="15.75" customHeight="1">
      <c r="B119" s="98" t="str">
        <f>'＠グループ、表示名'!H119</f>
        <v>GPWM7</v>
      </c>
      <c r="C119" s="93" t="str">
        <f>'＠グループ、表示名'!I119</f>
        <v>GPWM7_GPWMST7</v>
      </c>
      <c r="D119" s="144" t="s">
        <v>1986</v>
      </c>
      <c r="E119" s="154" t="s">
        <v>2128</v>
      </c>
      <c r="F119" s="143" t="s">
        <v>1835</v>
      </c>
      <c r="G119" s="137" t="s">
        <v>1994</v>
      </c>
      <c r="H119" s="144" t="s">
        <v>1999</v>
      </c>
      <c r="I119" s="143" t="s">
        <v>2000</v>
      </c>
      <c r="J119" s="137" t="str">
        <f t="shared" si="1"/>
        <v>O</v>
      </c>
    </row>
    <row r="120" spans="2:10" ht="15.75" customHeight="1">
      <c r="B120" s="98" t="str">
        <f>'＠グループ、表示名'!H120</f>
        <v>GPWM8</v>
      </c>
      <c r="C120" s="93" t="str">
        <f>'＠グループ、表示名'!I120</f>
        <v>GPWM8_GPWMST8</v>
      </c>
      <c r="D120" s="144" t="s">
        <v>1986</v>
      </c>
      <c r="E120" s="154" t="s">
        <v>2128</v>
      </c>
      <c r="F120" s="143" t="s">
        <v>1835</v>
      </c>
      <c r="G120" s="137" t="s">
        <v>1995</v>
      </c>
      <c r="H120" s="144" t="s">
        <v>1999</v>
      </c>
      <c r="I120" s="143" t="s">
        <v>2000</v>
      </c>
      <c r="J120" s="137" t="str">
        <f t="shared" si="1"/>
        <v>O</v>
      </c>
    </row>
    <row r="121" spans="2:10" ht="15.75" customHeight="1">
      <c r="B121" s="98" t="str">
        <f>'＠グループ、表示名'!H121</f>
        <v>GPWM9</v>
      </c>
      <c r="C121" s="93" t="str">
        <f>'＠グループ、表示名'!I121</f>
        <v>GPWM9_GPWMST9</v>
      </c>
      <c r="D121" s="144" t="s">
        <v>1986</v>
      </c>
      <c r="E121" s="154" t="s">
        <v>2128</v>
      </c>
      <c r="F121" s="143" t="s">
        <v>1835</v>
      </c>
      <c r="G121" s="137" t="s">
        <v>1996</v>
      </c>
      <c r="H121" s="144" t="s">
        <v>1999</v>
      </c>
      <c r="I121" s="143" t="s">
        <v>2000</v>
      </c>
      <c r="J121" s="137" t="str">
        <f t="shared" si="1"/>
        <v>O</v>
      </c>
    </row>
    <row r="122" spans="2:10" ht="15.75" customHeight="1">
      <c r="B122" s="98" t="str">
        <f>'＠グループ、表示名'!H122</f>
        <v>GPWMA</v>
      </c>
      <c r="C122" s="93" t="str">
        <f>'＠グループ、表示名'!I122</f>
        <v>GPWMA_GPWMSTA</v>
      </c>
      <c r="D122" s="144" t="s">
        <v>1986</v>
      </c>
      <c r="E122" s="154" t="s">
        <v>2128</v>
      </c>
      <c r="F122" s="143" t="s">
        <v>1835</v>
      </c>
      <c r="G122" s="137" t="s">
        <v>1997</v>
      </c>
      <c r="H122" s="144" t="s">
        <v>1999</v>
      </c>
      <c r="I122" s="143" t="s">
        <v>2000</v>
      </c>
      <c r="J122" s="137" t="str">
        <f t="shared" si="1"/>
        <v>O</v>
      </c>
    </row>
    <row r="123" spans="2:10" ht="15.75" customHeight="1">
      <c r="B123" s="98" t="str">
        <f>'＠グループ、表示名'!H123</f>
        <v>GPWMB</v>
      </c>
      <c r="C123" s="93" t="str">
        <f>'＠グループ、表示名'!I123</f>
        <v>GPWMB_GPWMSTB</v>
      </c>
      <c r="D123" s="144" t="s">
        <v>1986</v>
      </c>
      <c r="E123" s="154" t="s">
        <v>2128</v>
      </c>
      <c r="F123" s="143" t="s">
        <v>1835</v>
      </c>
      <c r="G123" s="137" t="s">
        <v>1998</v>
      </c>
      <c r="H123" s="144" t="s">
        <v>1999</v>
      </c>
      <c r="I123" s="143" t="s">
        <v>2000</v>
      </c>
      <c r="J123" s="137" t="str">
        <f t="shared" si="1"/>
        <v>O</v>
      </c>
    </row>
    <row r="124" spans="2:10" ht="27" customHeight="1">
      <c r="B124" s="98" t="str">
        <f>'＠グループ、表示名'!H124</f>
        <v>SPI0</v>
      </c>
      <c r="C124" s="93" t="str">
        <f>'＠グループ、表示名'!I124</f>
        <v>SPI0_SBO</v>
      </c>
      <c r="D124" s="157" t="s">
        <v>2129</v>
      </c>
      <c r="E124" s="156" t="s">
        <v>2232</v>
      </c>
      <c r="F124" s="143" t="s">
        <v>1892</v>
      </c>
      <c r="G124" s="140" t="s">
        <v>2273</v>
      </c>
      <c r="H124" s="144" t="s">
        <v>2210</v>
      </c>
      <c r="I124" s="143" t="s">
        <v>2274</v>
      </c>
      <c r="J124" s="137" t="str">
        <f t="shared" si="1"/>
        <v>I/O</v>
      </c>
    </row>
    <row r="125" spans="2:10" ht="27" customHeight="1">
      <c r="B125" s="98" t="str">
        <f>'＠グループ、表示名'!H125</f>
        <v>SPI0</v>
      </c>
      <c r="C125" s="93" t="str">
        <f>'＠グループ、表示名'!I125</f>
        <v>SPI0_SBO</v>
      </c>
      <c r="D125" s="157" t="s">
        <v>2129</v>
      </c>
      <c r="E125" s="156" t="s">
        <v>2232</v>
      </c>
      <c r="F125" s="143" t="s">
        <v>1892</v>
      </c>
      <c r="G125" s="140" t="s">
        <v>2273</v>
      </c>
      <c r="H125" s="144" t="s">
        <v>2210</v>
      </c>
      <c r="I125" s="143" t="s">
        <v>2274</v>
      </c>
      <c r="J125" s="137" t="str">
        <f t="shared" si="1"/>
        <v>I/O</v>
      </c>
    </row>
    <row r="126" spans="2:10" ht="27" customHeight="1">
      <c r="B126" s="98" t="str">
        <f>'＠グループ、表示名'!H126</f>
        <v>SPI0</v>
      </c>
      <c r="C126" s="93" t="str">
        <f>'＠グループ、表示名'!I126</f>
        <v>SPI0_SBT</v>
      </c>
      <c r="D126" s="157" t="s">
        <v>2239</v>
      </c>
      <c r="E126" s="156" t="s">
        <v>2232</v>
      </c>
      <c r="F126" s="143" t="s">
        <v>1892</v>
      </c>
      <c r="G126" s="137" t="s">
        <v>2288</v>
      </c>
      <c r="H126" s="144" t="s">
        <v>2209</v>
      </c>
      <c r="I126" s="92" t="s">
        <v>2289</v>
      </c>
      <c r="J126" s="137" t="str">
        <f t="shared" si="1"/>
        <v>I/O</v>
      </c>
    </row>
    <row r="127" spans="2:10" ht="27" customHeight="1">
      <c r="B127" s="98" t="str">
        <f>'＠グループ、表示名'!H127</f>
        <v>SPI0</v>
      </c>
      <c r="C127" s="93" t="str">
        <f>'＠グループ、表示名'!I127</f>
        <v>SPI0_SBT</v>
      </c>
      <c r="D127" s="157" t="s">
        <v>2239</v>
      </c>
      <c r="E127" s="156" t="s">
        <v>2232</v>
      </c>
      <c r="F127" s="143" t="s">
        <v>1892</v>
      </c>
      <c r="G127" s="137" t="s">
        <v>2288</v>
      </c>
      <c r="H127" s="94" t="s">
        <v>2209</v>
      </c>
      <c r="I127" s="92" t="s">
        <v>2289</v>
      </c>
      <c r="J127" s="137" t="str">
        <f t="shared" si="1"/>
        <v>I/O</v>
      </c>
    </row>
    <row r="128" spans="2:10" ht="15.75" customHeight="1">
      <c r="B128" s="98" t="str">
        <f>'＠グループ、表示名'!H128</f>
        <v>SPI0</v>
      </c>
      <c r="C128" s="93" t="str">
        <f>'＠グループ、表示名'!I128</f>
        <v>SPI0_SBI</v>
      </c>
      <c r="D128" s="144" t="s">
        <v>2001</v>
      </c>
      <c r="E128" s="154" t="s">
        <v>2241</v>
      </c>
      <c r="F128" s="143" t="s">
        <v>1870</v>
      </c>
      <c r="G128" s="137" t="s">
        <v>2005</v>
      </c>
      <c r="H128" s="94" t="s">
        <v>2211</v>
      </c>
      <c r="I128" s="92" t="s">
        <v>2012</v>
      </c>
      <c r="J128" s="137" t="str">
        <f t="shared" si="1"/>
        <v>I</v>
      </c>
    </row>
    <row r="129" spans="2:10" ht="27" customHeight="1">
      <c r="B129" s="98" t="str">
        <f>'＠グループ、表示名'!H129</f>
        <v>SPI1</v>
      </c>
      <c r="C129" s="93" t="str">
        <f>'＠グループ、表示名'!I129</f>
        <v>SPI1_SBO</v>
      </c>
      <c r="D129" s="157" t="s">
        <v>2129</v>
      </c>
      <c r="E129" s="156" t="s">
        <v>2234</v>
      </c>
      <c r="F129" s="143" t="s">
        <v>1892</v>
      </c>
      <c r="G129" s="137" t="s">
        <v>2275</v>
      </c>
      <c r="H129" s="144" t="s">
        <v>2210</v>
      </c>
      <c r="I129" s="143" t="s">
        <v>2274</v>
      </c>
      <c r="J129" s="137" t="str">
        <f t="shared" si="1"/>
        <v>I/O</v>
      </c>
    </row>
    <row r="130" spans="2:10" ht="27" customHeight="1">
      <c r="B130" s="98" t="str">
        <f>'＠グループ、表示名'!H130</f>
        <v>SPI1</v>
      </c>
      <c r="C130" s="93" t="str">
        <f>'＠グループ、表示名'!I130</f>
        <v>SPI1_SBO</v>
      </c>
      <c r="D130" s="157" t="s">
        <v>2129</v>
      </c>
      <c r="E130" s="156" t="s">
        <v>2234</v>
      </c>
      <c r="F130" s="143" t="s">
        <v>1892</v>
      </c>
      <c r="G130" s="137" t="s">
        <v>2275</v>
      </c>
      <c r="H130" s="144" t="s">
        <v>2210</v>
      </c>
      <c r="I130" s="143" t="s">
        <v>2274</v>
      </c>
      <c r="J130" s="137" t="str">
        <f t="shared" si="1"/>
        <v>I/O</v>
      </c>
    </row>
    <row r="131" spans="2:10" ht="27" customHeight="1">
      <c r="B131" s="98" t="str">
        <f>'＠グループ、表示名'!H131</f>
        <v>SPI1</v>
      </c>
      <c r="C131" s="93" t="str">
        <f>'＠グループ、表示名'!I131</f>
        <v>SPI1_SBT</v>
      </c>
      <c r="D131" s="157" t="s">
        <v>2239</v>
      </c>
      <c r="E131" s="156" t="s">
        <v>2234</v>
      </c>
      <c r="F131" s="143" t="s">
        <v>1892</v>
      </c>
      <c r="G131" s="137" t="s">
        <v>2290</v>
      </c>
      <c r="H131" s="144" t="s">
        <v>2209</v>
      </c>
      <c r="I131" s="92" t="s">
        <v>2289</v>
      </c>
      <c r="J131" s="137" t="str">
        <f t="shared" si="1"/>
        <v>I/O</v>
      </c>
    </row>
    <row r="132" spans="2:10" ht="27" customHeight="1">
      <c r="B132" s="98" t="str">
        <f>'＠グループ、表示名'!H132</f>
        <v>SPI1</v>
      </c>
      <c r="C132" s="93" t="str">
        <f>'＠グループ、表示名'!I132</f>
        <v>SPI1_SBT</v>
      </c>
      <c r="D132" s="157" t="s">
        <v>2239</v>
      </c>
      <c r="E132" s="156" t="s">
        <v>2234</v>
      </c>
      <c r="F132" s="143" t="s">
        <v>1892</v>
      </c>
      <c r="G132" s="140" t="s">
        <v>2301</v>
      </c>
      <c r="H132" s="94" t="s">
        <v>2209</v>
      </c>
      <c r="I132" s="92" t="s">
        <v>2289</v>
      </c>
      <c r="J132" s="137" t="str">
        <f t="shared" si="1"/>
        <v>I/O</v>
      </c>
    </row>
    <row r="133" spans="2:10" ht="15.75" customHeight="1">
      <c r="B133" s="98" t="str">
        <f>'＠グループ、表示名'!H133</f>
        <v>SPI1</v>
      </c>
      <c r="C133" s="93" t="str">
        <f>'＠グループ、表示名'!I133</f>
        <v>SPI1_SBI</v>
      </c>
      <c r="D133" s="144" t="s">
        <v>2001</v>
      </c>
      <c r="E133" s="152" t="s">
        <v>2240</v>
      </c>
      <c r="F133" s="143" t="s">
        <v>1870</v>
      </c>
      <c r="G133" s="137" t="s">
        <v>2006</v>
      </c>
      <c r="H133" s="94" t="s">
        <v>2211</v>
      </c>
      <c r="I133" s="92" t="s">
        <v>2012</v>
      </c>
      <c r="J133" s="137" t="str">
        <f t="shared" ref="J133:J196" si="2">F133</f>
        <v>I</v>
      </c>
    </row>
    <row r="134" spans="2:10" ht="27" customHeight="1">
      <c r="B134" s="98" t="str">
        <f>'＠グループ、表示名'!H134</f>
        <v>SPI2</v>
      </c>
      <c r="C134" s="93" t="str">
        <f>'＠グループ、表示名'!I134</f>
        <v>SPI2_SBO</v>
      </c>
      <c r="D134" s="157" t="s">
        <v>2129</v>
      </c>
      <c r="E134" s="156" t="s">
        <v>2234</v>
      </c>
      <c r="F134" s="143" t="s">
        <v>1892</v>
      </c>
      <c r="G134" s="137" t="s">
        <v>2276</v>
      </c>
      <c r="H134" s="144" t="s">
        <v>2210</v>
      </c>
      <c r="I134" s="143" t="s">
        <v>2274</v>
      </c>
      <c r="J134" s="137" t="str">
        <f t="shared" si="2"/>
        <v>I/O</v>
      </c>
    </row>
    <row r="135" spans="2:10" ht="27" customHeight="1">
      <c r="B135" s="98" t="str">
        <f>'＠グループ、表示名'!H135</f>
        <v>SPI2</v>
      </c>
      <c r="C135" s="93" t="str">
        <f>'＠グループ、表示名'!I135</f>
        <v>SPI2_SBO</v>
      </c>
      <c r="D135" s="157" t="s">
        <v>2129</v>
      </c>
      <c r="E135" s="156" t="s">
        <v>2234</v>
      </c>
      <c r="F135" s="143" t="s">
        <v>1892</v>
      </c>
      <c r="G135" s="137" t="s">
        <v>2276</v>
      </c>
      <c r="H135" s="144" t="s">
        <v>2210</v>
      </c>
      <c r="I135" s="143" t="s">
        <v>2274</v>
      </c>
      <c r="J135" s="137" t="str">
        <f t="shared" si="2"/>
        <v>I/O</v>
      </c>
    </row>
    <row r="136" spans="2:10" ht="27" customHeight="1">
      <c r="B136" s="98" t="str">
        <f>'＠グループ、表示名'!H136</f>
        <v>SPI2</v>
      </c>
      <c r="C136" s="93" t="str">
        <f>'＠グループ、表示名'!I136</f>
        <v>SPI2_SBT</v>
      </c>
      <c r="D136" s="157" t="s">
        <v>2239</v>
      </c>
      <c r="E136" s="156" t="s">
        <v>2234</v>
      </c>
      <c r="F136" s="143" t="s">
        <v>1892</v>
      </c>
      <c r="G136" s="140" t="s">
        <v>2302</v>
      </c>
      <c r="H136" s="144" t="s">
        <v>2209</v>
      </c>
      <c r="I136" s="92" t="s">
        <v>2289</v>
      </c>
      <c r="J136" s="137" t="str">
        <f t="shared" si="2"/>
        <v>I/O</v>
      </c>
    </row>
    <row r="137" spans="2:10" ht="27" customHeight="1">
      <c r="B137" s="98" t="str">
        <f>'＠グループ、表示名'!H137</f>
        <v>SPI2</v>
      </c>
      <c r="C137" s="93" t="str">
        <f>'＠グループ、表示名'!I137</f>
        <v>SPI2_SBT</v>
      </c>
      <c r="D137" s="157" t="s">
        <v>2239</v>
      </c>
      <c r="E137" s="156" t="s">
        <v>2234</v>
      </c>
      <c r="F137" s="143" t="s">
        <v>1892</v>
      </c>
      <c r="G137" s="137" t="s">
        <v>2291</v>
      </c>
      <c r="H137" s="94" t="s">
        <v>2209</v>
      </c>
      <c r="I137" s="92" t="s">
        <v>2289</v>
      </c>
      <c r="J137" s="137" t="str">
        <f t="shared" si="2"/>
        <v>I/O</v>
      </c>
    </row>
    <row r="138" spans="2:10" ht="15.75" customHeight="1">
      <c r="B138" s="98" t="str">
        <f>'＠グループ、表示名'!H138</f>
        <v>SPI2</v>
      </c>
      <c r="C138" s="93" t="str">
        <f>'＠グループ、表示名'!I138</f>
        <v>SPI2_SBI</v>
      </c>
      <c r="D138" s="144" t="s">
        <v>2001</v>
      </c>
      <c r="E138" s="152" t="s">
        <v>2240</v>
      </c>
      <c r="F138" s="143" t="s">
        <v>1870</v>
      </c>
      <c r="G138" s="137" t="s">
        <v>2007</v>
      </c>
      <c r="H138" s="94" t="s">
        <v>2211</v>
      </c>
      <c r="I138" s="92" t="s">
        <v>2012</v>
      </c>
      <c r="J138" s="137" t="str">
        <f t="shared" si="2"/>
        <v>I</v>
      </c>
    </row>
    <row r="139" spans="2:10" ht="27" customHeight="1">
      <c r="B139" s="98" t="str">
        <f>'＠グループ、表示名'!H139</f>
        <v>SPI3</v>
      </c>
      <c r="C139" s="93" t="str">
        <f>'＠グループ、表示名'!I139</f>
        <v>SPI3_SBCS</v>
      </c>
      <c r="D139" s="157" t="s">
        <v>2249</v>
      </c>
      <c r="E139" s="156" t="s">
        <v>2244</v>
      </c>
      <c r="F139" s="143" t="s">
        <v>1892</v>
      </c>
      <c r="G139" s="137" t="s">
        <v>2297</v>
      </c>
      <c r="H139" s="94" t="s">
        <v>2212</v>
      </c>
      <c r="I139" s="92" t="s">
        <v>2298</v>
      </c>
      <c r="J139" s="137" t="str">
        <f t="shared" si="2"/>
        <v>I/O</v>
      </c>
    </row>
    <row r="140" spans="2:10" ht="27" customHeight="1">
      <c r="B140" s="98" t="str">
        <f>'＠グループ、表示名'!H140</f>
        <v>SPI3</v>
      </c>
      <c r="C140" s="93" t="str">
        <f>'＠グループ、表示名'!I140</f>
        <v>SPI3_SBO</v>
      </c>
      <c r="D140" s="157" t="s">
        <v>2129</v>
      </c>
      <c r="E140" s="156" t="s">
        <v>2244</v>
      </c>
      <c r="F140" s="143" t="s">
        <v>1892</v>
      </c>
      <c r="G140" s="137" t="s">
        <v>2277</v>
      </c>
      <c r="H140" s="144" t="s">
        <v>2210</v>
      </c>
      <c r="I140" s="143" t="s">
        <v>2274</v>
      </c>
      <c r="J140" s="137" t="str">
        <f t="shared" si="2"/>
        <v>I/O</v>
      </c>
    </row>
    <row r="141" spans="2:10" ht="27" customHeight="1">
      <c r="B141" s="98" t="str">
        <f>'＠グループ、表示名'!H141</f>
        <v>SPI3</v>
      </c>
      <c r="C141" s="93" t="str">
        <f>'＠グループ、表示名'!I141</f>
        <v>SPI3_SBO</v>
      </c>
      <c r="D141" s="157" t="s">
        <v>2129</v>
      </c>
      <c r="E141" s="156" t="s">
        <v>2244</v>
      </c>
      <c r="F141" s="143" t="s">
        <v>1892</v>
      </c>
      <c r="G141" s="137" t="s">
        <v>2277</v>
      </c>
      <c r="H141" s="144" t="s">
        <v>2210</v>
      </c>
      <c r="I141" s="143" t="s">
        <v>2274</v>
      </c>
      <c r="J141" s="137" t="str">
        <f t="shared" si="2"/>
        <v>I/O</v>
      </c>
    </row>
    <row r="142" spans="2:10" ht="27" customHeight="1">
      <c r="B142" s="98" t="str">
        <f>'＠グループ、表示名'!H142</f>
        <v>SPI3</v>
      </c>
      <c r="C142" s="93" t="str">
        <f>'＠グループ、表示名'!I142</f>
        <v>SPI3_SBT</v>
      </c>
      <c r="D142" s="157" t="s">
        <v>2239</v>
      </c>
      <c r="E142" s="156" t="s">
        <v>2244</v>
      </c>
      <c r="F142" s="143" t="s">
        <v>1892</v>
      </c>
      <c r="G142" s="137" t="s">
        <v>2292</v>
      </c>
      <c r="H142" s="144" t="s">
        <v>2209</v>
      </c>
      <c r="I142" s="92" t="s">
        <v>2289</v>
      </c>
      <c r="J142" s="137" t="str">
        <f t="shared" si="2"/>
        <v>I/O</v>
      </c>
    </row>
    <row r="143" spans="2:10" ht="27" customHeight="1">
      <c r="B143" s="98" t="str">
        <f>'＠グループ、表示名'!H143</f>
        <v>SPI3</v>
      </c>
      <c r="C143" s="93" t="str">
        <f>'＠グループ、表示名'!I143</f>
        <v>SPI3_SBT</v>
      </c>
      <c r="D143" s="157" t="s">
        <v>2239</v>
      </c>
      <c r="E143" s="156" t="s">
        <v>2244</v>
      </c>
      <c r="F143" s="143" t="s">
        <v>1892</v>
      </c>
      <c r="G143" s="137" t="s">
        <v>2292</v>
      </c>
      <c r="H143" s="94" t="s">
        <v>2209</v>
      </c>
      <c r="I143" s="92" t="s">
        <v>2289</v>
      </c>
      <c r="J143" s="137" t="str">
        <f t="shared" si="2"/>
        <v>I/O</v>
      </c>
    </row>
    <row r="144" spans="2:10" ht="15.75" customHeight="1">
      <c r="B144" s="98" t="str">
        <f>'＠グループ、表示名'!H144</f>
        <v>SPI3</v>
      </c>
      <c r="C144" s="93" t="str">
        <f>'＠グループ、表示名'!I144</f>
        <v>SPI3_SBI</v>
      </c>
      <c r="D144" s="144" t="s">
        <v>2001</v>
      </c>
      <c r="E144" s="152" t="s">
        <v>2245</v>
      </c>
      <c r="F144" s="143" t="s">
        <v>1870</v>
      </c>
      <c r="G144" s="137" t="s">
        <v>2008</v>
      </c>
      <c r="H144" s="94" t="s">
        <v>2211</v>
      </c>
      <c r="I144" s="92" t="s">
        <v>2012</v>
      </c>
      <c r="J144" s="137" t="str">
        <f t="shared" si="2"/>
        <v>I</v>
      </c>
    </row>
    <row r="145" spans="2:10" ht="27" customHeight="1">
      <c r="B145" s="98" t="str">
        <f>'＠グループ、表示名'!H145</f>
        <v>SPI4</v>
      </c>
      <c r="C145" s="93" t="str">
        <f>'＠グループ、表示名'!I145</f>
        <v>SPI4_SBCS</v>
      </c>
      <c r="D145" s="157" t="s">
        <v>2249</v>
      </c>
      <c r="E145" s="156" t="s">
        <v>2244</v>
      </c>
      <c r="F145" s="143" t="s">
        <v>1892</v>
      </c>
      <c r="G145" s="138" t="s">
        <v>2303</v>
      </c>
      <c r="H145" s="94" t="s">
        <v>2221</v>
      </c>
      <c r="I145" s="168" t="s">
        <v>2303</v>
      </c>
      <c r="J145" s="137" t="str">
        <f t="shared" si="2"/>
        <v>I/O</v>
      </c>
    </row>
    <row r="146" spans="2:10" ht="27" customHeight="1">
      <c r="B146" s="98" t="str">
        <f>'＠グループ、表示名'!H146</f>
        <v>SPI4</v>
      </c>
      <c r="C146" s="93" t="str">
        <f>'＠グループ、表示名'!I146</f>
        <v>SPI4_SBCS</v>
      </c>
      <c r="D146" s="157" t="s">
        <v>2249</v>
      </c>
      <c r="E146" s="156" t="s">
        <v>2244</v>
      </c>
      <c r="F146" s="143" t="s">
        <v>1892</v>
      </c>
      <c r="G146" s="138" t="s">
        <v>2303</v>
      </c>
      <c r="H146" s="94" t="s">
        <v>2221</v>
      </c>
      <c r="I146" s="168" t="s">
        <v>2303</v>
      </c>
      <c r="J146" s="137" t="str">
        <f t="shared" si="2"/>
        <v>I/O</v>
      </c>
    </row>
    <row r="147" spans="2:10" ht="27" customHeight="1">
      <c r="B147" s="98" t="str">
        <f>'＠グループ、表示名'!H147</f>
        <v>SPI4</v>
      </c>
      <c r="C147" s="93" t="str">
        <f>'＠グループ、表示名'!I147</f>
        <v>SPI4_SBO</v>
      </c>
      <c r="D147" s="157" t="s">
        <v>2129</v>
      </c>
      <c r="E147" s="156" t="s">
        <v>2244</v>
      </c>
      <c r="F147" s="143" t="s">
        <v>1892</v>
      </c>
      <c r="G147" s="138" t="s">
        <v>2304</v>
      </c>
      <c r="H147" s="144" t="s">
        <v>2156</v>
      </c>
      <c r="I147" s="168" t="s">
        <v>2304</v>
      </c>
      <c r="J147" s="137" t="str">
        <f t="shared" si="2"/>
        <v>I/O</v>
      </c>
    </row>
    <row r="148" spans="2:10" ht="27" customHeight="1">
      <c r="B148" s="98" t="str">
        <f>'＠グループ、表示名'!H148</f>
        <v>SPI4</v>
      </c>
      <c r="C148" s="93" t="str">
        <f>'＠グループ、表示名'!I148</f>
        <v>SPI4_SBO</v>
      </c>
      <c r="D148" s="157" t="s">
        <v>2129</v>
      </c>
      <c r="E148" s="156" t="s">
        <v>2244</v>
      </c>
      <c r="F148" s="143" t="s">
        <v>1892</v>
      </c>
      <c r="G148" s="138" t="s">
        <v>2304</v>
      </c>
      <c r="H148" s="144" t="s">
        <v>2156</v>
      </c>
      <c r="I148" s="168" t="s">
        <v>2304</v>
      </c>
      <c r="J148" s="137" t="str">
        <f t="shared" si="2"/>
        <v>I/O</v>
      </c>
    </row>
    <row r="149" spans="2:10" ht="27" customHeight="1">
      <c r="B149" s="98" t="str">
        <f>'＠グループ、表示名'!H149</f>
        <v>SPI4</v>
      </c>
      <c r="C149" s="93" t="str">
        <f>'＠グループ、表示名'!I149</f>
        <v>SPI4_SBO</v>
      </c>
      <c r="D149" s="157" t="s">
        <v>2129</v>
      </c>
      <c r="E149" s="156" t="s">
        <v>2244</v>
      </c>
      <c r="F149" s="143" t="s">
        <v>1892</v>
      </c>
      <c r="G149" s="138" t="s">
        <v>2304</v>
      </c>
      <c r="H149" s="144" t="s">
        <v>2156</v>
      </c>
      <c r="I149" s="168" t="s">
        <v>2304</v>
      </c>
      <c r="J149" s="137" t="str">
        <f t="shared" si="2"/>
        <v>I/O</v>
      </c>
    </row>
    <row r="150" spans="2:10" ht="27" customHeight="1">
      <c r="B150" s="98" t="str">
        <f>'＠グループ、表示名'!H150</f>
        <v>SPI4</v>
      </c>
      <c r="C150" s="93" t="str">
        <f>'＠グループ、表示名'!I150</f>
        <v>SPI4_SBO</v>
      </c>
      <c r="D150" s="157" t="s">
        <v>2129</v>
      </c>
      <c r="E150" s="156" t="s">
        <v>2244</v>
      </c>
      <c r="F150" s="143" t="s">
        <v>1892</v>
      </c>
      <c r="G150" s="138" t="s">
        <v>2304</v>
      </c>
      <c r="H150" s="144" t="s">
        <v>2156</v>
      </c>
      <c r="I150" s="168" t="s">
        <v>2304</v>
      </c>
      <c r="J150" s="137" t="str">
        <f t="shared" si="2"/>
        <v>I/O</v>
      </c>
    </row>
    <row r="151" spans="2:10" ht="27" customHeight="1">
      <c r="B151" s="98" t="str">
        <f>'＠グループ、表示名'!H151</f>
        <v>SPI4</v>
      </c>
      <c r="C151" s="93" t="str">
        <f>'＠グループ、表示名'!I151</f>
        <v>SPI4_SBT</v>
      </c>
      <c r="D151" s="157" t="s">
        <v>2239</v>
      </c>
      <c r="E151" s="156" t="s">
        <v>2244</v>
      </c>
      <c r="F151" s="143" t="s">
        <v>1892</v>
      </c>
      <c r="G151" s="138" t="s">
        <v>2305</v>
      </c>
      <c r="H151" s="144" t="s">
        <v>2163</v>
      </c>
      <c r="I151" s="168" t="s">
        <v>2305</v>
      </c>
      <c r="J151" s="137" t="str">
        <f t="shared" si="2"/>
        <v>I/O</v>
      </c>
    </row>
    <row r="152" spans="2:10" ht="27" customHeight="1">
      <c r="B152" s="98" t="str">
        <f>'＠グループ、表示名'!H152</f>
        <v>SPI4</v>
      </c>
      <c r="C152" s="93" t="str">
        <f>'＠グループ、表示名'!I152</f>
        <v>SPI4_SBT</v>
      </c>
      <c r="D152" s="157" t="s">
        <v>2239</v>
      </c>
      <c r="E152" s="156" t="s">
        <v>2244</v>
      </c>
      <c r="F152" s="143" t="s">
        <v>1892</v>
      </c>
      <c r="G152" s="138" t="s">
        <v>2305</v>
      </c>
      <c r="H152" s="94" t="s">
        <v>2163</v>
      </c>
      <c r="I152" s="168" t="s">
        <v>2305</v>
      </c>
      <c r="J152" s="137" t="str">
        <f t="shared" si="2"/>
        <v>I/O</v>
      </c>
    </row>
    <row r="153" spans="2:10" ht="27" customHeight="1">
      <c r="B153" s="98" t="str">
        <f>'＠グループ、表示名'!H153</f>
        <v>SPI4</v>
      </c>
      <c r="C153" s="93" t="str">
        <f>'＠グループ、表示名'!I153</f>
        <v>SPI4_SBT</v>
      </c>
      <c r="D153" s="157" t="s">
        <v>2239</v>
      </c>
      <c r="E153" s="156" t="s">
        <v>2244</v>
      </c>
      <c r="F153" s="143" t="s">
        <v>1892</v>
      </c>
      <c r="G153" s="138" t="s">
        <v>2305</v>
      </c>
      <c r="H153" s="144" t="s">
        <v>2163</v>
      </c>
      <c r="I153" s="168" t="s">
        <v>2305</v>
      </c>
      <c r="J153" s="137" t="str">
        <f t="shared" si="2"/>
        <v>I/O</v>
      </c>
    </row>
    <row r="154" spans="2:10" ht="27" customHeight="1">
      <c r="B154" s="98" t="str">
        <f>'＠グループ、表示名'!H154</f>
        <v>SPI4</v>
      </c>
      <c r="C154" s="93" t="str">
        <f>'＠グループ、表示名'!I154</f>
        <v>SPI4_SBT</v>
      </c>
      <c r="D154" s="157" t="s">
        <v>2239</v>
      </c>
      <c r="E154" s="156" t="s">
        <v>2244</v>
      </c>
      <c r="F154" s="143" t="s">
        <v>1892</v>
      </c>
      <c r="G154" s="138" t="s">
        <v>2305</v>
      </c>
      <c r="H154" s="94" t="s">
        <v>2163</v>
      </c>
      <c r="I154" s="168" t="s">
        <v>2305</v>
      </c>
      <c r="J154" s="137" t="str">
        <f t="shared" si="2"/>
        <v>I/O</v>
      </c>
    </row>
    <row r="155" spans="2:10" ht="15.75" customHeight="1">
      <c r="B155" s="98" t="str">
        <f>'＠グループ、表示名'!H155</f>
        <v>SPI4</v>
      </c>
      <c r="C155" s="93" t="str">
        <f>'＠グループ、表示名'!I155</f>
        <v>SPI4_SBI</v>
      </c>
      <c r="D155" s="144" t="s">
        <v>2001</v>
      </c>
      <c r="E155" s="152" t="s">
        <v>2245</v>
      </c>
      <c r="F155" s="143" t="s">
        <v>1870</v>
      </c>
      <c r="G155" s="137" t="s">
        <v>2011</v>
      </c>
      <c r="H155" s="94" t="s">
        <v>2211</v>
      </c>
      <c r="I155" s="92" t="s">
        <v>2012</v>
      </c>
      <c r="J155" s="137" t="str">
        <f t="shared" si="2"/>
        <v>I</v>
      </c>
    </row>
    <row r="156" spans="2:10" ht="15.75" customHeight="1">
      <c r="B156" s="98" t="str">
        <f>'＠グループ、表示名'!H156</f>
        <v>SPI4</v>
      </c>
      <c r="C156" s="93" t="str">
        <f>'＠グループ、表示名'!I156</f>
        <v>SPI4_SBI</v>
      </c>
      <c r="D156" s="144" t="s">
        <v>2001</v>
      </c>
      <c r="E156" s="152" t="s">
        <v>2245</v>
      </c>
      <c r="F156" s="143" t="s">
        <v>1870</v>
      </c>
      <c r="G156" s="137" t="s">
        <v>2011</v>
      </c>
      <c r="H156" s="94" t="s">
        <v>2211</v>
      </c>
      <c r="I156" s="92" t="s">
        <v>2012</v>
      </c>
      <c r="J156" s="137" t="str">
        <f t="shared" si="2"/>
        <v>I</v>
      </c>
    </row>
    <row r="157" spans="2:10" ht="27" customHeight="1">
      <c r="B157" s="98" t="str">
        <f>'＠グループ、表示名'!H157</f>
        <v>SPI5</v>
      </c>
      <c r="C157" s="93" t="str">
        <f>'＠グループ、表示名'!I157</f>
        <v>SPI5_SBO</v>
      </c>
      <c r="D157" s="157" t="s">
        <v>2129</v>
      </c>
      <c r="E157" s="156" t="s">
        <v>2234</v>
      </c>
      <c r="F157" s="143" t="s">
        <v>1892</v>
      </c>
      <c r="G157" s="137" t="s">
        <v>2278</v>
      </c>
      <c r="H157" s="144" t="s">
        <v>2210</v>
      </c>
      <c r="I157" s="143" t="s">
        <v>2274</v>
      </c>
      <c r="J157" s="137" t="str">
        <f t="shared" si="2"/>
        <v>I/O</v>
      </c>
    </row>
    <row r="158" spans="2:10" ht="27" customHeight="1">
      <c r="B158" s="98" t="str">
        <f>'＠グループ、表示名'!H158</f>
        <v>SPI5</v>
      </c>
      <c r="C158" s="93" t="str">
        <f>'＠グループ、表示名'!I158</f>
        <v>SPI5_SBO</v>
      </c>
      <c r="D158" s="157" t="s">
        <v>2129</v>
      </c>
      <c r="E158" s="156" t="s">
        <v>2234</v>
      </c>
      <c r="F158" s="143" t="s">
        <v>1892</v>
      </c>
      <c r="G158" s="137" t="s">
        <v>2278</v>
      </c>
      <c r="H158" s="144" t="s">
        <v>2210</v>
      </c>
      <c r="I158" s="143" t="s">
        <v>2274</v>
      </c>
      <c r="J158" s="137" t="str">
        <f t="shared" si="2"/>
        <v>I/O</v>
      </c>
    </row>
    <row r="159" spans="2:10" ht="27" customHeight="1">
      <c r="B159" s="98" t="str">
        <f>'＠グループ、表示名'!H159</f>
        <v>SPI5</v>
      </c>
      <c r="C159" s="93" t="str">
        <f>'＠グループ、表示名'!I159</f>
        <v>SPI5_SBT</v>
      </c>
      <c r="D159" s="157" t="s">
        <v>2239</v>
      </c>
      <c r="E159" s="156" t="s">
        <v>2234</v>
      </c>
      <c r="F159" s="143" t="s">
        <v>1892</v>
      </c>
      <c r="G159" s="137" t="s">
        <v>2293</v>
      </c>
      <c r="H159" s="144" t="s">
        <v>2209</v>
      </c>
      <c r="I159" s="92" t="s">
        <v>2289</v>
      </c>
      <c r="J159" s="137" t="str">
        <f t="shared" si="2"/>
        <v>I/O</v>
      </c>
    </row>
    <row r="160" spans="2:10" ht="27" customHeight="1">
      <c r="B160" s="98" t="str">
        <f>'＠グループ、表示名'!H160</f>
        <v>SPI5</v>
      </c>
      <c r="C160" s="93" t="str">
        <f>'＠グループ、表示名'!I160</f>
        <v>SPI5_SBT</v>
      </c>
      <c r="D160" s="157" t="s">
        <v>2239</v>
      </c>
      <c r="E160" s="156" t="s">
        <v>2234</v>
      </c>
      <c r="F160" s="143" t="s">
        <v>1892</v>
      </c>
      <c r="G160" s="137" t="s">
        <v>2293</v>
      </c>
      <c r="H160" s="94" t="s">
        <v>2209</v>
      </c>
      <c r="I160" s="92" t="s">
        <v>2289</v>
      </c>
      <c r="J160" s="137" t="str">
        <f t="shared" si="2"/>
        <v>I/O</v>
      </c>
    </row>
    <row r="161" spans="2:10" ht="15.75" customHeight="1">
      <c r="B161" s="98" t="str">
        <f>'＠グループ、表示名'!H161</f>
        <v>SPI5</v>
      </c>
      <c r="C161" s="93" t="str">
        <f>'＠グループ、表示名'!I161</f>
        <v>SPI5_SBI</v>
      </c>
      <c r="D161" s="144" t="s">
        <v>2001</v>
      </c>
      <c r="E161" s="152" t="s">
        <v>2240</v>
      </c>
      <c r="F161" s="143" t="s">
        <v>1870</v>
      </c>
      <c r="G161" s="137" t="s">
        <v>2009</v>
      </c>
      <c r="H161" s="94" t="s">
        <v>2211</v>
      </c>
      <c r="I161" s="92" t="s">
        <v>2012</v>
      </c>
      <c r="J161" s="137" t="str">
        <f t="shared" si="2"/>
        <v>I</v>
      </c>
    </row>
    <row r="162" spans="2:10" ht="27" customHeight="1">
      <c r="B162" s="98" t="str">
        <f>'＠グループ、表示名'!H162</f>
        <v>SPI6</v>
      </c>
      <c r="C162" s="93" t="str">
        <f>'＠グループ、表示名'!I162</f>
        <v>SPI6_SBO</v>
      </c>
      <c r="D162" s="157" t="s">
        <v>2129</v>
      </c>
      <c r="E162" s="156" t="s">
        <v>2234</v>
      </c>
      <c r="F162" s="143" t="s">
        <v>1892</v>
      </c>
      <c r="G162" s="137" t="s">
        <v>2279</v>
      </c>
      <c r="H162" s="144" t="s">
        <v>2210</v>
      </c>
      <c r="I162" s="143" t="s">
        <v>2274</v>
      </c>
      <c r="J162" s="137" t="str">
        <f t="shared" si="2"/>
        <v>I/O</v>
      </c>
    </row>
    <row r="163" spans="2:10" ht="27" customHeight="1">
      <c r="B163" s="98" t="str">
        <f>'＠グループ、表示名'!H163</f>
        <v>SPI6</v>
      </c>
      <c r="C163" s="93" t="str">
        <f>'＠グループ、表示名'!I163</f>
        <v>SPI6_SBO</v>
      </c>
      <c r="D163" s="157" t="s">
        <v>2129</v>
      </c>
      <c r="E163" s="156" t="s">
        <v>2234</v>
      </c>
      <c r="F163" s="143" t="s">
        <v>1892</v>
      </c>
      <c r="G163" s="137" t="s">
        <v>2279</v>
      </c>
      <c r="H163" s="144" t="s">
        <v>2210</v>
      </c>
      <c r="I163" s="143" t="s">
        <v>2274</v>
      </c>
      <c r="J163" s="137" t="str">
        <f t="shared" si="2"/>
        <v>I/O</v>
      </c>
    </row>
    <row r="164" spans="2:10" ht="27" customHeight="1">
      <c r="B164" s="98" t="str">
        <f>'＠グループ、表示名'!H164</f>
        <v>SPI6</v>
      </c>
      <c r="C164" s="93" t="str">
        <f>'＠グループ、表示名'!I164</f>
        <v>SPI6_SBT</v>
      </c>
      <c r="D164" s="157" t="s">
        <v>2239</v>
      </c>
      <c r="E164" s="156" t="s">
        <v>2234</v>
      </c>
      <c r="F164" s="143" t="s">
        <v>1892</v>
      </c>
      <c r="G164" s="137" t="s">
        <v>2294</v>
      </c>
      <c r="H164" s="144" t="s">
        <v>2209</v>
      </c>
      <c r="I164" s="92" t="s">
        <v>2289</v>
      </c>
      <c r="J164" s="137" t="str">
        <f t="shared" si="2"/>
        <v>I/O</v>
      </c>
    </row>
    <row r="165" spans="2:10" ht="27" customHeight="1">
      <c r="B165" s="98" t="str">
        <f>'＠グループ、表示名'!H165</f>
        <v>SPI6</v>
      </c>
      <c r="C165" s="93" t="str">
        <f>'＠グループ、表示名'!I165</f>
        <v>SPI6_SBT</v>
      </c>
      <c r="D165" s="157" t="s">
        <v>2239</v>
      </c>
      <c r="E165" s="156" t="s">
        <v>2234</v>
      </c>
      <c r="F165" s="143" t="s">
        <v>1892</v>
      </c>
      <c r="G165" s="137" t="s">
        <v>2294</v>
      </c>
      <c r="H165" s="94" t="s">
        <v>2209</v>
      </c>
      <c r="I165" s="92" t="s">
        <v>2289</v>
      </c>
      <c r="J165" s="137" t="str">
        <f t="shared" si="2"/>
        <v>I/O</v>
      </c>
    </row>
    <row r="166" spans="2:10" ht="15.75" customHeight="1">
      <c r="B166" s="98" t="str">
        <f>'＠グループ、表示名'!H166</f>
        <v>SPI6</v>
      </c>
      <c r="C166" s="93" t="str">
        <f>'＠グループ、表示名'!I166</f>
        <v>SPI6_SBI</v>
      </c>
      <c r="D166" s="144" t="s">
        <v>2001</v>
      </c>
      <c r="E166" s="152" t="s">
        <v>2240</v>
      </c>
      <c r="F166" s="143" t="s">
        <v>1870</v>
      </c>
      <c r="G166" s="137" t="s">
        <v>2010</v>
      </c>
      <c r="H166" s="94" t="s">
        <v>2211</v>
      </c>
      <c r="I166" s="92" t="s">
        <v>2012</v>
      </c>
      <c r="J166" s="137" t="str">
        <f t="shared" si="2"/>
        <v>I</v>
      </c>
    </row>
    <row r="167" spans="2:10" ht="27" customHeight="1">
      <c r="B167" s="98" t="str">
        <f>'＠グループ、表示名'!H167</f>
        <v>SPI7</v>
      </c>
      <c r="C167" s="93" t="str">
        <f>'＠グループ、表示名'!I167</f>
        <v>SPI7_SBCS</v>
      </c>
      <c r="D167" s="157" t="s">
        <v>2249</v>
      </c>
      <c r="E167" s="156" t="s">
        <v>2250</v>
      </c>
      <c r="F167" s="143" t="s">
        <v>1892</v>
      </c>
      <c r="G167" s="138" t="s">
        <v>2306</v>
      </c>
      <c r="H167" s="94" t="s">
        <v>2222</v>
      </c>
      <c r="I167" s="168" t="s">
        <v>2306</v>
      </c>
      <c r="J167" s="137" t="str">
        <f t="shared" si="2"/>
        <v>I/O</v>
      </c>
    </row>
    <row r="168" spans="2:10" ht="27" customHeight="1">
      <c r="B168" s="98" t="str">
        <f>'＠グループ、表示名'!H168</f>
        <v>SPI7</v>
      </c>
      <c r="C168" s="93" t="str">
        <f>'＠グループ、表示名'!I168</f>
        <v>SPI7_SBCS</v>
      </c>
      <c r="D168" s="157" t="s">
        <v>2249</v>
      </c>
      <c r="E168" s="156" t="s">
        <v>2250</v>
      </c>
      <c r="F168" s="143" t="s">
        <v>1892</v>
      </c>
      <c r="G168" s="169" t="s">
        <v>2306</v>
      </c>
      <c r="H168" s="94" t="s">
        <v>2222</v>
      </c>
      <c r="I168" s="168" t="s">
        <v>2306</v>
      </c>
      <c r="J168" s="137" t="str">
        <f t="shared" si="2"/>
        <v>I/O</v>
      </c>
    </row>
    <row r="169" spans="2:10" ht="27" customHeight="1">
      <c r="B169" s="98" t="str">
        <f>'＠グループ、表示名'!H169</f>
        <v>SPI7</v>
      </c>
      <c r="C169" s="93" t="str">
        <f>'＠グループ、表示名'!I169</f>
        <v>SPI7_SBO</v>
      </c>
      <c r="D169" s="157" t="s">
        <v>2129</v>
      </c>
      <c r="E169" s="156" t="s">
        <v>2250</v>
      </c>
      <c r="F169" s="143" t="s">
        <v>1892</v>
      </c>
      <c r="G169" s="138" t="s">
        <v>2307</v>
      </c>
      <c r="H169" s="144" t="s">
        <v>2159</v>
      </c>
      <c r="I169" s="168" t="s">
        <v>2307</v>
      </c>
      <c r="J169" s="137" t="str">
        <f t="shared" si="2"/>
        <v>I/O</v>
      </c>
    </row>
    <row r="170" spans="2:10" ht="27" customHeight="1">
      <c r="B170" s="98" t="str">
        <f>'＠グループ、表示名'!H170</f>
        <v>SPI7</v>
      </c>
      <c r="C170" s="93" t="str">
        <f>'＠グループ、表示名'!I170</f>
        <v>SPI7_SBO</v>
      </c>
      <c r="D170" s="157" t="s">
        <v>2129</v>
      </c>
      <c r="E170" s="156" t="s">
        <v>2250</v>
      </c>
      <c r="F170" s="143" t="s">
        <v>1892</v>
      </c>
      <c r="G170" s="138" t="s">
        <v>2307</v>
      </c>
      <c r="H170" s="144" t="s">
        <v>2159</v>
      </c>
      <c r="I170" s="168" t="s">
        <v>2307</v>
      </c>
      <c r="J170" s="137" t="str">
        <f t="shared" si="2"/>
        <v>I/O</v>
      </c>
    </row>
    <row r="171" spans="2:10" ht="27" customHeight="1">
      <c r="B171" s="98" t="str">
        <f>'＠グループ、表示名'!H171</f>
        <v>SPI7</v>
      </c>
      <c r="C171" s="93" t="str">
        <f>'＠グループ、表示名'!I171</f>
        <v>SPI7_SBO</v>
      </c>
      <c r="D171" s="157" t="s">
        <v>2129</v>
      </c>
      <c r="E171" s="156" t="s">
        <v>2250</v>
      </c>
      <c r="F171" s="143" t="s">
        <v>1892</v>
      </c>
      <c r="G171" s="138" t="s">
        <v>2307</v>
      </c>
      <c r="H171" s="144" t="s">
        <v>2159</v>
      </c>
      <c r="I171" s="168" t="s">
        <v>2307</v>
      </c>
      <c r="J171" s="137" t="str">
        <f t="shared" si="2"/>
        <v>I/O</v>
      </c>
    </row>
    <row r="172" spans="2:10" ht="27" customHeight="1">
      <c r="B172" s="98" t="str">
        <f>'＠グループ、表示名'!H172</f>
        <v>SPI7</v>
      </c>
      <c r="C172" s="93" t="str">
        <f>'＠グループ、表示名'!I172</f>
        <v>SPI7_SBO</v>
      </c>
      <c r="D172" s="157" t="s">
        <v>2129</v>
      </c>
      <c r="E172" s="156" t="s">
        <v>2250</v>
      </c>
      <c r="F172" s="143" t="s">
        <v>1892</v>
      </c>
      <c r="G172" s="138" t="s">
        <v>2307</v>
      </c>
      <c r="H172" s="144" t="s">
        <v>2159</v>
      </c>
      <c r="I172" s="168" t="s">
        <v>2307</v>
      </c>
      <c r="J172" s="137" t="str">
        <f t="shared" si="2"/>
        <v>I/O</v>
      </c>
    </row>
    <row r="173" spans="2:10" ht="27" customHeight="1">
      <c r="B173" s="98" t="str">
        <f>'＠グループ、表示名'!H173</f>
        <v>SPI7</v>
      </c>
      <c r="C173" s="93" t="str">
        <f>'＠グループ、表示名'!I173</f>
        <v>SPI7_SBT</v>
      </c>
      <c r="D173" s="157" t="s">
        <v>2239</v>
      </c>
      <c r="E173" s="156" t="s">
        <v>2250</v>
      </c>
      <c r="F173" s="143" t="s">
        <v>1892</v>
      </c>
      <c r="G173" s="138" t="s">
        <v>2308</v>
      </c>
      <c r="H173" s="144" t="s">
        <v>2166</v>
      </c>
      <c r="I173" s="168" t="s">
        <v>2308</v>
      </c>
      <c r="J173" s="137" t="str">
        <f t="shared" si="2"/>
        <v>I/O</v>
      </c>
    </row>
    <row r="174" spans="2:10" ht="27" customHeight="1">
      <c r="B174" s="98" t="str">
        <f>'＠グループ、表示名'!H174</f>
        <v>SPI7</v>
      </c>
      <c r="C174" s="93" t="str">
        <f>'＠グループ、表示名'!I174</f>
        <v>SPI7_SBT</v>
      </c>
      <c r="D174" s="157" t="s">
        <v>2239</v>
      </c>
      <c r="E174" s="156" t="s">
        <v>2250</v>
      </c>
      <c r="F174" s="143" t="s">
        <v>1892</v>
      </c>
      <c r="G174" s="138" t="s">
        <v>2308</v>
      </c>
      <c r="H174" s="94" t="s">
        <v>2166</v>
      </c>
      <c r="I174" s="168" t="s">
        <v>2308</v>
      </c>
      <c r="J174" s="137" t="str">
        <f t="shared" si="2"/>
        <v>I/O</v>
      </c>
    </row>
    <row r="175" spans="2:10" ht="27" customHeight="1">
      <c r="B175" s="98" t="str">
        <f>'＠グループ、表示名'!H175</f>
        <v>SPI7</v>
      </c>
      <c r="C175" s="93" t="str">
        <f>'＠グループ、表示名'!I175</f>
        <v>SPI7_SBT</v>
      </c>
      <c r="D175" s="157" t="s">
        <v>2239</v>
      </c>
      <c r="E175" s="156" t="s">
        <v>2250</v>
      </c>
      <c r="F175" s="143" t="s">
        <v>1892</v>
      </c>
      <c r="G175" s="138" t="s">
        <v>2308</v>
      </c>
      <c r="H175" s="144" t="s">
        <v>2166</v>
      </c>
      <c r="I175" s="168" t="s">
        <v>2308</v>
      </c>
      <c r="J175" s="137" t="str">
        <f t="shared" si="2"/>
        <v>I/O</v>
      </c>
    </row>
    <row r="176" spans="2:10" ht="27" customHeight="1">
      <c r="B176" s="98" t="str">
        <f>'＠グループ、表示名'!H176</f>
        <v>SPI7</v>
      </c>
      <c r="C176" s="93" t="str">
        <f>'＠グループ、表示名'!I176</f>
        <v>SPI7_SBT</v>
      </c>
      <c r="D176" s="157" t="s">
        <v>2239</v>
      </c>
      <c r="E176" s="156" t="s">
        <v>2250</v>
      </c>
      <c r="F176" s="143" t="s">
        <v>1892</v>
      </c>
      <c r="G176" s="138" t="s">
        <v>2308</v>
      </c>
      <c r="H176" s="94" t="s">
        <v>2166</v>
      </c>
      <c r="I176" s="168" t="s">
        <v>2308</v>
      </c>
      <c r="J176" s="137" t="str">
        <f t="shared" si="2"/>
        <v>I/O</v>
      </c>
    </row>
    <row r="177" spans="2:10" ht="15.75" customHeight="1">
      <c r="B177" s="98" t="str">
        <f>'＠グループ、表示名'!H177</f>
        <v>SPI7</v>
      </c>
      <c r="C177" s="93" t="str">
        <f>'＠グループ、表示名'!I177</f>
        <v>SPI7_SBI</v>
      </c>
      <c r="D177" s="144" t="s">
        <v>2001</v>
      </c>
      <c r="E177" s="152" t="s">
        <v>2251</v>
      </c>
      <c r="F177" s="143" t="s">
        <v>1870</v>
      </c>
      <c r="G177" s="137" t="s">
        <v>2013</v>
      </c>
      <c r="H177" s="94" t="s">
        <v>2225</v>
      </c>
      <c r="I177" s="92" t="s">
        <v>2013</v>
      </c>
      <c r="J177" s="137" t="str">
        <f t="shared" si="2"/>
        <v>I</v>
      </c>
    </row>
    <row r="178" spans="2:10" ht="15.75" customHeight="1">
      <c r="B178" s="98" t="str">
        <f>'＠グループ、表示名'!H178</f>
        <v>SPI7</v>
      </c>
      <c r="C178" s="93" t="str">
        <f>'＠グループ、表示名'!I178</f>
        <v>SPI7_SBI</v>
      </c>
      <c r="D178" s="144" t="s">
        <v>2001</v>
      </c>
      <c r="E178" s="152" t="s">
        <v>2251</v>
      </c>
      <c r="F178" s="143" t="s">
        <v>1870</v>
      </c>
      <c r="G178" s="137" t="s">
        <v>2013</v>
      </c>
      <c r="H178" s="94" t="s">
        <v>2225</v>
      </c>
      <c r="I178" s="92" t="s">
        <v>2013</v>
      </c>
      <c r="J178" s="137" t="str">
        <f t="shared" si="2"/>
        <v>I</v>
      </c>
    </row>
    <row r="179" spans="2:10" ht="27" customHeight="1">
      <c r="B179" s="98" t="str">
        <f>'＠グループ、表示名'!H179</f>
        <v>UART1</v>
      </c>
      <c r="C179" s="93" t="str">
        <f>'＠グループ、表示名'!I179</f>
        <v>UART1_TX</v>
      </c>
      <c r="D179" s="157" t="s">
        <v>2129</v>
      </c>
      <c r="E179" s="156" t="s">
        <v>2235</v>
      </c>
      <c r="F179" s="143" t="s">
        <v>1892</v>
      </c>
      <c r="G179" s="137" t="s">
        <v>2280</v>
      </c>
      <c r="H179" s="94" t="s">
        <v>2205</v>
      </c>
      <c r="I179" s="143" t="s">
        <v>2281</v>
      </c>
      <c r="J179" s="137" t="str">
        <f t="shared" si="2"/>
        <v>I/O</v>
      </c>
    </row>
    <row r="180" spans="2:10" ht="27" customHeight="1">
      <c r="B180" s="98" t="str">
        <f>'＠グループ、表示名'!H180</f>
        <v>UART1</v>
      </c>
      <c r="C180" s="93" t="str">
        <f>'＠グループ、表示名'!I180</f>
        <v>UART1_TX</v>
      </c>
      <c r="D180" s="157" t="s">
        <v>2129</v>
      </c>
      <c r="E180" s="156" t="s">
        <v>2235</v>
      </c>
      <c r="F180" s="143" t="s">
        <v>1892</v>
      </c>
      <c r="G180" s="137" t="s">
        <v>2280</v>
      </c>
      <c r="H180" s="94" t="s">
        <v>2205</v>
      </c>
      <c r="I180" s="143" t="s">
        <v>2281</v>
      </c>
      <c r="J180" s="137" t="str">
        <f t="shared" si="2"/>
        <v>I/O</v>
      </c>
    </row>
    <row r="181" spans="2:10" ht="15.75" customHeight="1">
      <c r="B181" s="98" t="str">
        <f>'＠グループ、表示名'!H181</f>
        <v>UART1</v>
      </c>
      <c r="C181" s="93" t="str">
        <f>'＠グループ、表示名'!I181</f>
        <v>UART1_RX</v>
      </c>
      <c r="D181" s="144" t="s">
        <v>2001</v>
      </c>
      <c r="E181" s="152" t="s">
        <v>2243</v>
      </c>
      <c r="F181" s="143" t="s">
        <v>1870</v>
      </c>
      <c r="G181" s="137" t="s">
        <v>2014</v>
      </c>
      <c r="H181" s="94" t="s">
        <v>2206</v>
      </c>
      <c r="I181" s="143" t="s">
        <v>2019</v>
      </c>
      <c r="J181" s="137" t="str">
        <f t="shared" si="2"/>
        <v>I</v>
      </c>
    </row>
    <row r="182" spans="2:10" ht="27" customHeight="1">
      <c r="B182" s="98" t="str">
        <f>'＠グループ、表示名'!H182</f>
        <v>UART2</v>
      </c>
      <c r="C182" s="93" t="str">
        <f>'＠グループ、表示名'!I182</f>
        <v>UART2_TX</v>
      </c>
      <c r="D182" s="157" t="s">
        <v>2129</v>
      </c>
      <c r="E182" s="156" t="s">
        <v>2235</v>
      </c>
      <c r="F182" s="143" t="s">
        <v>1892</v>
      </c>
      <c r="G182" s="137" t="s">
        <v>2282</v>
      </c>
      <c r="H182" s="94" t="s">
        <v>2205</v>
      </c>
      <c r="I182" s="143" t="s">
        <v>2281</v>
      </c>
      <c r="J182" s="137" t="str">
        <f t="shared" si="2"/>
        <v>I/O</v>
      </c>
    </row>
    <row r="183" spans="2:10" ht="27" customHeight="1">
      <c r="B183" s="98" t="str">
        <f>'＠グループ、表示名'!H183</f>
        <v>UART2</v>
      </c>
      <c r="C183" s="93" t="str">
        <f>'＠グループ、表示名'!I183</f>
        <v>UART2_TX</v>
      </c>
      <c r="D183" s="157" t="s">
        <v>2129</v>
      </c>
      <c r="E183" s="156" t="s">
        <v>2235</v>
      </c>
      <c r="F183" s="143" t="s">
        <v>1892</v>
      </c>
      <c r="G183" s="137" t="s">
        <v>2282</v>
      </c>
      <c r="H183" s="94" t="s">
        <v>2205</v>
      </c>
      <c r="I183" s="143" t="s">
        <v>2281</v>
      </c>
      <c r="J183" s="137" t="str">
        <f t="shared" si="2"/>
        <v>I/O</v>
      </c>
    </row>
    <row r="184" spans="2:10" ht="15.75" customHeight="1">
      <c r="B184" s="98" t="str">
        <f>'＠グループ、表示名'!H184</f>
        <v>UART2</v>
      </c>
      <c r="C184" s="93" t="str">
        <f>'＠グループ、表示名'!I184</f>
        <v>UART2_RX</v>
      </c>
      <c r="D184" s="144" t="s">
        <v>2001</v>
      </c>
      <c r="E184" s="152" t="s">
        <v>2243</v>
      </c>
      <c r="F184" s="143" t="s">
        <v>1870</v>
      </c>
      <c r="G184" s="137" t="s">
        <v>2015</v>
      </c>
      <c r="H184" s="94" t="s">
        <v>2206</v>
      </c>
      <c r="I184" s="143" t="s">
        <v>2019</v>
      </c>
      <c r="J184" s="137" t="str">
        <f t="shared" si="2"/>
        <v>I</v>
      </c>
    </row>
    <row r="185" spans="2:10" ht="27" customHeight="1">
      <c r="B185" s="98" t="str">
        <f>'＠グループ、表示名'!H185</f>
        <v>UART3</v>
      </c>
      <c r="C185" s="93" t="str">
        <f>'＠グループ、表示名'!I185</f>
        <v>UART3_TX</v>
      </c>
      <c r="D185" s="157" t="s">
        <v>2129</v>
      </c>
      <c r="E185" s="156" t="s">
        <v>2246</v>
      </c>
      <c r="F185" s="143" t="s">
        <v>1892</v>
      </c>
      <c r="G185" s="137" t="s">
        <v>2283</v>
      </c>
      <c r="H185" s="94" t="s">
        <v>2205</v>
      </c>
      <c r="I185" s="143" t="s">
        <v>2281</v>
      </c>
      <c r="J185" s="137" t="str">
        <f t="shared" si="2"/>
        <v>I/O</v>
      </c>
    </row>
    <row r="186" spans="2:10" ht="27" customHeight="1">
      <c r="B186" s="98" t="str">
        <f>'＠グループ、表示名'!H186</f>
        <v>UART3</v>
      </c>
      <c r="C186" s="93" t="str">
        <f>'＠グループ、表示名'!I186</f>
        <v>UART3_TX</v>
      </c>
      <c r="D186" s="157" t="s">
        <v>2129</v>
      </c>
      <c r="E186" s="156" t="s">
        <v>2246</v>
      </c>
      <c r="F186" s="143" t="s">
        <v>1892</v>
      </c>
      <c r="G186" s="137" t="s">
        <v>2283</v>
      </c>
      <c r="H186" s="94" t="s">
        <v>2205</v>
      </c>
      <c r="I186" s="143" t="s">
        <v>2281</v>
      </c>
      <c r="J186" s="137" t="str">
        <f t="shared" si="2"/>
        <v>I/O</v>
      </c>
    </row>
    <row r="187" spans="2:10" ht="15.75" customHeight="1">
      <c r="B187" s="98" t="str">
        <f>'＠グループ、表示名'!H187</f>
        <v>UART3</v>
      </c>
      <c r="C187" s="93" t="str">
        <f>'＠グループ、表示名'!I187</f>
        <v>UART3_RX</v>
      </c>
      <c r="D187" s="144" t="s">
        <v>2001</v>
      </c>
      <c r="E187" s="152" t="s">
        <v>2247</v>
      </c>
      <c r="F187" s="143" t="s">
        <v>1870</v>
      </c>
      <c r="G187" s="137" t="s">
        <v>2016</v>
      </c>
      <c r="H187" s="94" t="s">
        <v>2206</v>
      </c>
      <c r="I187" s="143" t="s">
        <v>2019</v>
      </c>
      <c r="J187" s="137" t="str">
        <f t="shared" si="2"/>
        <v>I</v>
      </c>
    </row>
    <row r="188" spans="2:10" ht="27">
      <c r="B188" s="98" t="str">
        <f>'＠グループ、表示名'!H188</f>
        <v>UART4</v>
      </c>
      <c r="C188" s="93" t="str">
        <f>'＠グループ、表示名'!I188</f>
        <v>UART4_TX</v>
      </c>
      <c r="D188" s="157" t="s">
        <v>2129</v>
      </c>
      <c r="E188" s="156" t="s">
        <v>2246</v>
      </c>
      <c r="F188" s="143" t="s">
        <v>1892</v>
      </c>
      <c r="G188" s="138" t="s">
        <v>2314</v>
      </c>
      <c r="H188" s="94" t="s">
        <v>2180</v>
      </c>
      <c r="I188" s="168" t="s">
        <v>2315</v>
      </c>
      <c r="J188" s="137" t="str">
        <f t="shared" si="2"/>
        <v>I/O</v>
      </c>
    </row>
    <row r="189" spans="2:10" ht="27">
      <c r="B189" s="98" t="str">
        <f>'＠グループ、表示名'!H189</f>
        <v>UART4</v>
      </c>
      <c r="C189" s="93" t="str">
        <f>'＠グループ、表示名'!I189</f>
        <v>UART4_TX</v>
      </c>
      <c r="D189" s="157" t="s">
        <v>2129</v>
      </c>
      <c r="E189" s="156" t="s">
        <v>2246</v>
      </c>
      <c r="F189" s="143" t="s">
        <v>1892</v>
      </c>
      <c r="G189" s="138" t="s">
        <v>2314</v>
      </c>
      <c r="H189" s="94" t="s">
        <v>2180</v>
      </c>
      <c r="I189" s="168" t="s">
        <v>2316</v>
      </c>
      <c r="J189" s="137" t="str">
        <f t="shared" si="2"/>
        <v>I/O</v>
      </c>
    </row>
    <row r="190" spans="2:10" ht="27">
      <c r="B190" s="98" t="str">
        <f>'＠グループ、表示名'!H190</f>
        <v>UART4</v>
      </c>
      <c r="C190" s="93" t="str">
        <f>'＠グループ、表示名'!I190</f>
        <v>UART4_TX</v>
      </c>
      <c r="D190" s="157" t="s">
        <v>2129</v>
      </c>
      <c r="E190" s="156" t="s">
        <v>2246</v>
      </c>
      <c r="F190" s="143" t="s">
        <v>1892</v>
      </c>
      <c r="G190" s="138" t="s">
        <v>2314</v>
      </c>
      <c r="H190" s="94" t="s">
        <v>2180</v>
      </c>
      <c r="I190" s="168" t="s">
        <v>2316</v>
      </c>
      <c r="J190" s="137" t="str">
        <f t="shared" si="2"/>
        <v>I/O</v>
      </c>
    </row>
    <row r="191" spans="2:10" ht="27">
      <c r="B191" s="98" t="str">
        <f>'＠グループ、表示名'!H191</f>
        <v>UART4</v>
      </c>
      <c r="C191" s="93" t="str">
        <f>'＠グループ、表示名'!I191</f>
        <v>UART4_TX</v>
      </c>
      <c r="D191" s="157" t="s">
        <v>2129</v>
      </c>
      <c r="E191" s="156" t="s">
        <v>2246</v>
      </c>
      <c r="F191" s="143" t="s">
        <v>1892</v>
      </c>
      <c r="G191" s="138" t="s">
        <v>2314</v>
      </c>
      <c r="H191" s="94" t="s">
        <v>2180</v>
      </c>
      <c r="I191" s="168" t="s">
        <v>2316</v>
      </c>
      <c r="J191" s="137" t="str">
        <f t="shared" si="2"/>
        <v>I/O</v>
      </c>
    </row>
    <row r="192" spans="2:10" ht="27">
      <c r="B192" s="98" t="str">
        <f>'＠グループ、表示名'!H192</f>
        <v>UART4</v>
      </c>
      <c r="C192" s="93" t="str">
        <f>'＠グループ、表示名'!I192</f>
        <v>UART4_RX</v>
      </c>
      <c r="D192" s="144" t="s">
        <v>2001</v>
      </c>
      <c r="E192" s="152" t="s">
        <v>2247</v>
      </c>
      <c r="F192" s="143" t="s">
        <v>1870</v>
      </c>
      <c r="G192" s="138" t="s">
        <v>2327</v>
      </c>
      <c r="H192" s="94" t="s">
        <v>2198</v>
      </c>
      <c r="I192" s="168" t="s">
        <v>2317</v>
      </c>
      <c r="J192" s="137" t="str">
        <f t="shared" si="2"/>
        <v>I</v>
      </c>
    </row>
    <row r="193" spans="2:10" ht="27">
      <c r="B193" s="98" t="str">
        <f>'＠グループ、表示名'!H193</f>
        <v>UART4</v>
      </c>
      <c r="C193" s="93" t="str">
        <f>'＠グループ、表示名'!I193</f>
        <v>UART4_RX</v>
      </c>
      <c r="D193" s="144" t="s">
        <v>2001</v>
      </c>
      <c r="E193" s="152" t="s">
        <v>2247</v>
      </c>
      <c r="F193" s="143" t="s">
        <v>1870</v>
      </c>
      <c r="G193" s="138" t="s">
        <v>2327</v>
      </c>
      <c r="H193" s="94" t="s">
        <v>2198</v>
      </c>
      <c r="I193" s="168" t="s">
        <v>2317</v>
      </c>
      <c r="J193" s="137" t="str">
        <f t="shared" si="2"/>
        <v>I</v>
      </c>
    </row>
    <row r="194" spans="2:10" ht="27" customHeight="1">
      <c r="B194" s="98" t="str">
        <f>'＠グループ、表示名'!H194</f>
        <v>UART5</v>
      </c>
      <c r="C194" s="93" t="str">
        <f>'＠グループ、表示名'!I194</f>
        <v>UART5_TX</v>
      </c>
      <c r="D194" s="157" t="s">
        <v>2129</v>
      </c>
      <c r="E194" s="156" t="s">
        <v>2235</v>
      </c>
      <c r="F194" s="143" t="s">
        <v>1892</v>
      </c>
      <c r="G194" s="137" t="s">
        <v>2284</v>
      </c>
      <c r="H194" s="94" t="s">
        <v>2205</v>
      </c>
      <c r="I194" s="143" t="s">
        <v>2281</v>
      </c>
      <c r="J194" s="137" t="str">
        <f t="shared" si="2"/>
        <v>I/O</v>
      </c>
    </row>
    <row r="195" spans="2:10" ht="27" customHeight="1">
      <c r="B195" s="98" t="str">
        <f>'＠グループ、表示名'!H195</f>
        <v>UART5</v>
      </c>
      <c r="C195" s="93" t="str">
        <f>'＠グループ、表示名'!I195</f>
        <v>UART5_TX</v>
      </c>
      <c r="D195" s="157" t="s">
        <v>2129</v>
      </c>
      <c r="E195" s="156" t="s">
        <v>2235</v>
      </c>
      <c r="F195" s="143" t="s">
        <v>1892</v>
      </c>
      <c r="G195" s="137" t="s">
        <v>2284</v>
      </c>
      <c r="H195" s="94" t="s">
        <v>2205</v>
      </c>
      <c r="I195" s="143" t="s">
        <v>2281</v>
      </c>
      <c r="J195" s="137" t="str">
        <f t="shared" si="2"/>
        <v>I/O</v>
      </c>
    </row>
    <row r="196" spans="2:10" ht="15.75" customHeight="1">
      <c r="B196" s="98" t="str">
        <f>'＠グループ、表示名'!H196</f>
        <v>UART5</v>
      </c>
      <c r="C196" s="93" t="str">
        <f>'＠グループ、表示名'!I196</f>
        <v>UART5_RX</v>
      </c>
      <c r="D196" s="144" t="s">
        <v>2001</v>
      </c>
      <c r="E196" s="152" t="s">
        <v>2243</v>
      </c>
      <c r="F196" s="143" t="s">
        <v>1870</v>
      </c>
      <c r="G196" s="137" t="s">
        <v>2017</v>
      </c>
      <c r="H196" s="94" t="s">
        <v>2206</v>
      </c>
      <c r="I196" s="155" t="s">
        <v>2320</v>
      </c>
      <c r="J196" s="137" t="str">
        <f t="shared" si="2"/>
        <v>I</v>
      </c>
    </row>
    <row r="197" spans="2:10" ht="27" customHeight="1">
      <c r="B197" s="98" t="str">
        <f>'＠グループ、表示名'!H197</f>
        <v>UART6</v>
      </c>
      <c r="C197" s="93" t="str">
        <f>'＠グループ、表示名'!I197</f>
        <v>UART6_TX</v>
      </c>
      <c r="D197" s="157" t="s">
        <v>2129</v>
      </c>
      <c r="E197" s="156" t="s">
        <v>2235</v>
      </c>
      <c r="F197" s="143" t="s">
        <v>1892</v>
      </c>
      <c r="G197" s="137" t="s">
        <v>2285</v>
      </c>
      <c r="H197" s="94" t="s">
        <v>2205</v>
      </c>
      <c r="I197" s="143" t="s">
        <v>2281</v>
      </c>
      <c r="J197" s="137" t="str">
        <f t="shared" ref="J197:J261" si="3">F197</f>
        <v>I/O</v>
      </c>
    </row>
    <row r="198" spans="2:10" ht="27" customHeight="1">
      <c r="B198" s="98" t="str">
        <f>'＠グループ、表示名'!H198</f>
        <v>UART6</v>
      </c>
      <c r="C198" s="93" t="str">
        <f>'＠グループ、表示名'!I198</f>
        <v>UART6_TX</v>
      </c>
      <c r="D198" s="157" t="s">
        <v>2129</v>
      </c>
      <c r="E198" s="156" t="s">
        <v>2235</v>
      </c>
      <c r="F198" s="143" t="s">
        <v>1892</v>
      </c>
      <c r="G198" s="137" t="s">
        <v>2285</v>
      </c>
      <c r="H198" s="94" t="s">
        <v>2205</v>
      </c>
      <c r="I198" s="143" t="s">
        <v>2281</v>
      </c>
      <c r="J198" s="137" t="str">
        <f t="shared" si="3"/>
        <v>I/O</v>
      </c>
    </row>
    <row r="199" spans="2:10">
      <c r="B199" s="98" t="str">
        <f>'＠グループ、表示名'!H199</f>
        <v>UART6</v>
      </c>
      <c r="C199" s="93" t="str">
        <f>'＠グループ、表示名'!I199</f>
        <v>UART6_RX</v>
      </c>
      <c r="D199" s="144" t="s">
        <v>2001</v>
      </c>
      <c r="E199" s="154" t="s">
        <v>2248</v>
      </c>
      <c r="F199" s="143" t="s">
        <v>1870</v>
      </c>
      <c r="G199" s="137" t="s">
        <v>2018</v>
      </c>
      <c r="H199" s="94" t="s">
        <v>2206</v>
      </c>
      <c r="I199" s="143" t="s">
        <v>2019</v>
      </c>
      <c r="J199" s="137" t="str">
        <f t="shared" si="3"/>
        <v>I</v>
      </c>
    </row>
    <row r="200" spans="2:10" ht="27" customHeight="1">
      <c r="B200" s="98" t="str">
        <f>'＠グループ、表示名'!H200</f>
        <v>UART7</v>
      </c>
      <c r="C200" s="93" t="str">
        <f>'＠グループ、表示名'!I200</f>
        <v>UART7_TX</v>
      </c>
      <c r="D200" s="157" t="s">
        <v>2129</v>
      </c>
      <c r="E200" s="156" t="s">
        <v>2252</v>
      </c>
      <c r="F200" s="143" t="s">
        <v>1892</v>
      </c>
      <c r="G200" s="138" t="s">
        <v>2318</v>
      </c>
      <c r="H200" s="94" t="s">
        <v>2183</v>
      </c>
      <c r="I200" s="168" t="s">
        <v>2318</v>
      </c>
      <c r="J200" s="137" t="str">
        <f t="shared" si="3"/>
        <v>I/O</v>
      </c>
    </row>
    <row r="201" spans="2:10" ht="27" customHeight="1">
      <c r="B201" s="98" t="str">
        <f>'＠グループ、表示名'!H201</f>
        <v>UART7</v>
      </c>
      <c r="C201" s="93" t="str">
        <f>'＠グループ、表示名'!I201</f>
        <v>UART7_TX</v>
      </c>
      <c r="D201" s="157" t="s">
        <v>2129</v>
      </c>
      <c r="E201" s="156" t="s">
        <v>2252</v>
      </c>
      <c r="F201" s="143" t="s">
        <v>1892</v>
      </c>
      <c r="G201" s="138" t="s">
        <v>2318</v>
      </c>
      <c r="H201" s="94" t="s">
        <v>2183</v>
      </c>
      <c r="I201" s="168" t="s">
        <v>2318</v>
      </c>
      <c r="J201" s="137" t="str">
        <f t="shared" si="3"/>
        <v>I/O</v>
      </c>
    </row>
    <row r="202" spans="2:10" ht="27" customHeight="1">
      <c r="B202" s="98" t="str">
        <f>'＠グループ、表示名'!H202</f>
        <v>UART7</v>
      </c>
      <c r="C202" s="93" t="str">
        <f>'＠グループ、表示名'!I202</f>
        <v>UART7_TX</v>
      </c>
      <c r="D202" s="157" t="s">
        <v>2129</v>
      </c>
      <c r="E202" s="156" t="s">
        <v>2252</v>
      </c>
      <c r="F202" s="143" t="s">
        <v>1892</v>
      </c>
      <c r="G202" s="138" t="s">
        <v>2318</v>
      </c>
      <c r="H202" s="94" t="s">
        <v>2183</v>
      </c>
      <c r="I202" s="168" t="s">
        <v>2318</v>
      </c>
      <c r="J202" s="137" t="str">
        <f t="shared" si="3"/>
        <v>I/O</v>
      </c>
    </row>
    <row r="203" spans="2:10" ht="27" customHeight="1">
      <c r="B203" s="98" t="str">
        <f>'＠グループ、表示名'!H203</f>
        <v>UART7</v>
      </c>
      <c r="C203" s="93" t="str">
        <f>'＠グループ、表示名'!I203</f>
        <v>UART7_TX</v>
      </c>
      <c r="D203" s="157" t="s">
        <v>2129</v>
      </c>
      <c r="E203" s="156" t="s">
        <v>2252</v>
      </c>
      <c r="F203" s="143" t="s">
        <v>1892</v>
      </c>
      <c r="G203" s="138" t="s">
        <v>2318</v>
      </c>
      <c r="H203" s="94" t="s">
        <v>2183</v>
      </c>
      <c r="I203" s="168" t="s">
        <v>2318</v>
      </c>
      <c r="J203" s="137" t="str">
        <f t="shared" si="3"/>
        <v>I/O</v>
      </c>
    </row>
    <row r="204" spans="2:10" ht="27">
      <c r="B204" s="98" t="str">
        <f>'＠グループ、表示名'!H204</f>
        <v>UART7</v>
      </c>
      <c r="C204" s="93" t="str">
        <f>'＠グループ、表示名'!I204</f>
        <v>UART7_RX</v>
      </c>
      <c r="D204" s="144" t="s">
        <v>2001</v>
      </c>
      <c r="E204" s="152" t="s">
        <v>2253</v>
      </c>
      <c r="F204" s="143" t="s">
        <v>1870</v>
      </c>
      <c r="G204" s="138" t="s">
        <v>2319</v>
      </c>
      <c r="H204" s="94" t="s">
        <v>2184</v>
      </c>
      <c r="I204" s="168" t="s">
        <v>2319</v>
      </c>
      <c r="J204" s="137" t="str">
        <f t="shared" si="3"/>
        <v>I</v>
      </c>
    </row>
    <row r="205" spans="2:10" ht="27">
      <c r="B205" s="98" t="str">
        <f>'＠グループ、表示名'!H205</f>
        <v>UART7</v>
      </c>
      <c r="C205" s="93" t="str">
        <f>'＠グループ、表示名'!I205</f>
        <v>UART7_RX</v>
      </c>
      <c r="D205" s="144" t="s">
        <v>2001</v>
      </c>
      <c r="E205" s="152" t="s">
        <v>2253</v>
      </c>
      <c r="F205" s="143" t="s">
        <v>1870</v>
      </c>
      <c r="G205" s="138" t="s">
        <v>2319</v>
      </c>
      <c r="H205" s="94" t="s">
        <v>2184</v>
      </c>
      <c r="I205" s="168" t="s">
        <v>2319</v>
      </c>
      <c r="J205" s="137" t="str">
        <f t="shared" si="3"/>
        <v>I</v>
      </c>
    </row>
    <row r="206" spans="2:10" ht="27" customHeight="1">
      <c r="B206" s="98" t="str">
        <f>'＠グループ、表示名'!H206</f>
        <v>LIN</v>
      </c>
      <c r="C206" s="93" t="str">
        <f>'＠グループ、表示名'!I206</f>
        <v>LIN_LTX</v>
      </c>
      <c r="D206" s="157" t="s">
        <v>2254</v>
      </c>
      <c r="E206" s="156" t="s">
        <v>2256</v>
      </c>
      <c r="F206" s="143" t="s">
        <v>1835</v>
      </c>
      <c r="G206" s="167" t="s">
        <v>2299</v>
      </c>
      <c r="H206" s="161" t="s">
        <v>2215</v>
      </c>
      <c r="I206" s="162" t="s">
        <v>2300</v>
      </c>
      <c r="J206" s="137" t="str">
        <f t="shared" si="3"/>
        <v>O</v>
      </c>
    </row>
    <row r="207" spans="2:10" ht="27" customHeight="1">
      <c r="B207" s="98" t="str">
        <f>'＠グループ、表示名'!H207</f>
        <v>LIN</v>
      </c>
      <c r="C207" s="93" t="str">
        <f>'＠グループ、表示名'!I207</f>
        <v>LIN_LTX</v>
      </c>
      <c r="D207" s="157" t="s">
        <v>2254</v>
      </c>
      <c r="E207" s="156" t="s">
        <v>2256</v>
      </c>
      <c r="F207" s="143" t="s">
        <v>1835</v>
      </c>
      <c r="G207" s="167" t="s">
        <v>2299</v>
      </c>
      <c r="H207" s="161" t="s">
        <v>2215</v>
      </c>
      <c r="I207" s="162" t="s">
        <v>2300</v>
      </c>
      <c r="J207" s="137" t="str">
        <f t="shared" si="3"/>
        <v>O</v>
      </c>
    </row>
    <row r="208" spans="2:10" ht="15.75" customHeight="1">
      <c r="B208" s="98" t="str">
        <f>'＠グループ、表示名'!H208</f>
        <v>LIN</v>
      </c>
      <c r="C208" s="93" t="str">
        <f>'＠グループ、表示名'!I208</f>
        <v>LIN_LRX</v>
      </c>
      <c r="D208" s="94" t="s">
        <v>2020</v>
      </c>
      <c r="E208" s="154" t="s">
        <v>2255</v>
      </c>
      <c r="F208" s="143" t="s">
        <v>1870</v>
      </c>
      <c r="G208" s="167" t="s">
        <v>2321</v>
      </c>
      <c r="H208" s="161" t="s">
        <v>2216</v>
      </c>
      <c r="I208" s="162" t="s">
        <v>2322</v>
      </c>
      <c r="J208" s="137" t="str">
        <f t="shared" si="3"/>
        <v>I</v>
      </c>
    </row>
    <row r="209" spans="2:10" ht="27" customHeight="1">
      <c r="B209" s="98" t="str">
        <f>'＠グループ、表示名'!H209</f>
        <v>IIC0</v>
      </c>
      <c r="C209" s="93" t="str">
        <f>'＠グループ、表示名'!I209</f>
        <v>IIC0_SDA</v>
      </c>
      <c r="D209" s="157" t="s">
        <v>2129</v>
      </c>
      <c r="E209" s="156" t="s">
        <v>2242</v>
      </c>
      <c r="F209" s="143" t="s">
        <v>1892</v>
      </c>
      <c r="G209" s="137" t="s">
        <v>2286</v>
      </c>
      <c r="H209" s="94" t="s">
        <v>2218</v>
      </c>
      <c r="I209" s="92" t="s">
        <v>2286</v>
      </c>
      <c r="J209" s="137" t="str">
        <f t="shared" si="3"/>
        <v>I/O</v>
      </c>
    </row>
    <row r="210" spans="2:10" ht="27" customHeight="1">
      <c r="B210" s="98" t="str">
        <f>'＠グループ、表示名'!H210</f>
        <v>IIC0</v>
      </c>
      <c r="C210" s="93" t="str">
        <f>'＠グループ、表示名'!I210</f>
        <v>IIC0_SDA</v>
      </c>
      <c r="D210" s="157" t="s">
        <v>2129</v>
      </c>
      <c r="E210" s="156" t="s">
        <v>2242</v>
      </c>
      <c r="F210" s="143" t="s">
        <v>1892</v>
      </c>
      <c r="G210" s="137" t="s">
        <v>2286</v>
      </c>
      <c r="H210" s="94" t="s">
        <v>2218</v>
      </c>
      <c r="I210" s="92" t="s">
        <v>2286</v>
      </c>
      <c r="J210" s="137" t="str">
        <f t="shared" si="3"/>
        <v>I/O</v>
      </c>
    </row>
    <row r="211" spans="2:10" ht="27" customHeight="1">
      <c r="B211" s="98" t="str">
        <f>'＠グループ、表示名'!H211</f>
        <v>IIC0</v>
      </c>
      <c r="C211" s="93" t="str">
        <f>'＠グループ、表示名'!I211</f>
        <v>IIC0_SCL</v>
      </c>
      <c r="D211" s="157" t="s">
        <v>2239</v>
      </c>
      <c r="E211" s="156" t="s">
        <v>2242</v>
      </c>
      <c r="F211" s="143" t="s">
        <v>1892</v>
      </c>
      <c r="G211" s="137" t="s">
        <v>2295</v>
      </c>
      <c r="H211" s="94" t="s">
        <v>2220</v>
      </c>
      <c r="I211" s="92" t="s">
        <v>2295</v>
      </c>
      <c r="J211" s="137" t="str">
        <f t="shared" si="3"/>
        <v>I/O</v>
      </c>
    </row>
    <row r="212" spans="2:10" ht="27" customHeight="1">
      <c r="B212" s="98" t="str">
        <f>'＠グループ、表示名'!H212</f>
        <v>IIC0</v>
      </c>
      <c r="C212" s="93" t="str">
        <f>'＠グループ、表示名'!I212</f>
        <v>IIC0_SCL</v>
      </c>
      <c r="D212" s="157" t="s">
        <v>2239</v>
      </c>
      <c r="E212" s="156" t="s">
        <v>2242</v>
      </c>
      <c r="F212" s="143" t="s">
        <v>1892</v>
      </c>
      <c r="G212" s="137" t="s">
        <v>2295</v>
      </c>
      <c r="H212" s="94" t="s">
        <v>2220</v>
      </c>
      <c r="I212" s="92" t="s">
        <v>2295</v>
      </c>
      <c r="J212" s="137" t="str">
        <f t="shared" si="3"/>
        <v>I/O</v>
      </c>
    </row>
    <row r="213" spans="2:10" ht="27" customHeight="1">
      <c r="B213" s="98" t="str">
        <f>'＠グループ、表示名'!H213</f>
        <v>IIC7</v>
      </c>
      <c r="C213" s="93" t="str">
        <f>'＠グループ、表示名'!I213</f>
        <v>IIC7_SDA</v>
      </c>
      <c r="D213" s="157" t="s">
        <v>2129</v>
      </c>
      <c r="E213" s="156" t="s">
        <v>2257</v>
      </c>
      <c r="F213" s="143" t="s">
        <v>1892</v>
      </c>
      <c r="G213" s="138" t="s">
        <v>2324</v>
      </c>
      <c r="H213" s="94" t="s">
        <v>2217</v>
      </c>
      <c r="I213" s="168" t="s">
        <v>2325</v>
      </c>
      <c r="J213" s="137" t="str">
        <f t="shared" si="3"/>
        <v>I/O</v>
      </c>
    </row>
    <row r="214" spans="2:10" ht="27" customHeight="1">
      <c r="B214" s="98" t="str">
        <f>'＠グループ、表示名'!H214</f>
        <v>IIC7</v>
      </c>
      <c r="C214" s="93" t="str">
        <f>'＠グループ、表示名'!I214</f>
        <v>IIC7_SDA</v>
      </c>
      <c r="D214" s="157" t="s">
        <v>2129</v>
      </c>
      <c r="E214" s="156" t="s">
        <v>2257</v>
      </c>
      <c r="F214" s="143" t="s">
        <v>1892</v>
      </c>
      <c r="G214" s="138" t="s">
        <v>2324</v>
      </c>
      <c r="H214" s="148" t="s">
        <v>2217</v>
      </c>
      <c r="I214" s="168" t="s">
        <v>2325</v>
      </c>
      <c r="J214" s="137" t="str">
        <f t="shared" si="3"/>
        <v>I/O</v>
      </c>
    </row>
    <row r="215" spans="2:10" ht="27" customHeight="1">
      <c r="B215" s="98" t="str">
        <f>'＠グループ、表示名'!H215</f>
        <v>IIC7</v>
      </c>
      <c r="C215" s="93" t="str">
        <f>'＠グループ、表示名'!I215</f>
        <v>IIC7_SDA</v>
      </c>
      <c r="D215" s="157" t="s">
        <v>2129</v>
      </c>
      <c r="E215" s="156" t="s">
        <v>2257</v>
      </c>
      <c r="F215" s="143" t="s">
        <v>1892</v>
      </c>
      <c r="G215" s="138" t="s">
        <v>2324</v>
      </c>
      <c r="H215" s="94" t="s">
        <v>2217</v>
      </c>
      <c r="I215" s="168" t="s">
        <v>2325</v>
      </c>
      <c r="J215" s="137" t="str">
        <f t="shared" si="3"/>
        <v>I/O</v>
      </c>
    </row>
    <row r="216" spans="2:10" ht="27" customHeight="1">
      <c r="B216" s="98" t="str">
        <f>'＠グループ、表示名'!H216</f>
        <v>IIC7</v>
      </c>
      <c r="C216" s="93" t="str">
        <f>'＠グループ、表示名'!I216</f>
        <v>IIC7_SDA</v>
      </c>
      <c r="D216" s="157" t="s">
        <v>2129</v>
      </c>
      <c r="E216" s="156" t="s">
        <v>2257</v>
      </c>
      <c r="F216" s="143" t="s">
        <v>1892</v>
      </c>
      <c r="G216" s="138" t="s">
        <v>2324</v>
      </c>
      <c r="H216" s="94" t="s">
        <v>2217</v>
      </c>
      <c r="I216" s="168" t="s">
        <v>2325</v>
      </c>
      <c r="J216" s="137" t="str">
        <f t="shared" si="3"/>
        <v>I/O</v>
      </c>
    </row>
    <row r="217" spans="2:10" ht="27" customHeight="1">
      <c r="B217" s="98" t="str">
        <f>'＠グループ、表示名'!H217</f>
        <v>IIC7</v>
      </c>
      <c r="C217" s="93" t="str">
        <f>'＠グループ、表示名'!I217</f>
        <v>IIC7_SCL</v>
      </c>
      <c r="D217" s="157" t="s">
        <v>2239</v>
      </c>
      <c r="E217" s="156" t="s">
        <v>2257</v>
      </c>
      <c r="F217" s="143" t="s">
        <v>1892</v>
      </c>
      <c r="G217" s="138" t="s">
        <v>2309</v>
      </c>
      <c r="H217" s="94" t="s">
        <v>2219</v>
      </c>
      <c r="I217" s="168" t="s">
        <v>2323</v>
      </c>
      <c r="J217" s="137" t="str">
        <f t="shared" si="3"/>
        <v>I/O</v>
      </c>
    </row>
    <row r="218" spans="2:10" ht="27" customHeight="1">
      <c r="B218" s="98" t="str">
        <f>'＠グループ、表示名'!H218</f>
        <v>IIC7</v>
      </c>
      <c r="C218" s="93" t="str">
        <f>'＠グループ、表示名'!I218</f>
        <v>IIC7_SCL</v>
      </c>
      <c r="D218" s="157" t="s">
        <v>2239</v>
      </c>
      <c r="E218" s="156" t="s">
        <v>2257</v>
      </c>
      <c r="F218" s="143" t="s">
        <v>1892</v>
      </c>
      <c r="G218" s="138" t="s">
        <v>2309</v>
      </c>
      <c r="H218" s="94" t="s">
        <v>2219</v>
      </c>
      <c r="I218" s="168" t="s">
        <v>2309</v>
      </c>
      <c r="J218" s="137" t="str">
        <f t="shared" si="3"/>
        <v>I/O</v>
      </c>
    </row>
    <row r="219" spans="2:10" ht="27" customHeight="1">
      <c r="B219" s="98" t="str">
        <f>'＠グループ、表示名'!H219</f>
        <v>IIC7</v>
      </c>
      <c r="C219" s="93" t="str">
        <f>'＠グループ、表示名'!I219</f>
        <v>IIC7_SCL</v>
      </c>
      <c r="D219" s="157" t="s">
        <v>2239</v>
      </c>
      <c r="E219" s="156" t="s">
        <v>2257</v>
      </c>
      <c r="F219" s="143" t="s">
        <v>1892</v>
      </c>
      <c r="G219" s="138" t="s">
        <v>2309</v>
      </c>
      <c r="H219" s="94" t="s">
        <v>2219</v>
      </c>
      <c r="I219" s="168" t="s">
        <v>2309</v>
      </c>
      <c r="J219" s="137" t="str">
        <f t="shared" si="3"/>
        <v>I/O</v>
      </c>
    </row>
    <row r="220" spans="2:10" ht="27" customHeight="1">
      <c r="B220" s="98" t="str">
        <f>'＠グループ、表示名'!H220</f>
        <v>IIC7</v>
      </c>
      <c r="C220" s="93" t="str">
        <f>'＠グループ、表示名'!I220</f>
        <v>IIC7_SCL</v>
      </c>
      <c r="D220" s="157" t="s">
        <v>2239</v>
      </c>
      <c r="E220" s="156" t="s">
        <v>2257</v>
      </c>
      <c r="F220" s="143" t="s">
        <v>1892</v>
      </c>
      <c r="G220" s="138" t="s">
        <v>2309</v>
      </c>
      <c r="H220" s="94" t="s">
        <v>2219</v>
      </c>
      <c r="I220" s="168" t="s">
        <v>2309</v>
      </c>
      <c r="J220" s="137" t="str">
        <f t="shared" si="3"/>
        <v>I/O</v>
      </c>
    </row>
    <row r="221" spans="2:10" ht="27">
      <c r="B221" s="98" t="str">
        <f>'＠グループ、表示名'!H221</f>
        <v>CAN0</v>
      </c>
      <c r="C221" s="93" t="str">
        <f>'＠グループ、表示名'!I221</f>
        <v>CAN0_CTX</v>
      </c>
      <c r="D221" s="157" t="s">
        <v>2258</v>
      </c>
      <c r="E221" s="156" t="s">
        <v>2259</v>
      </c>
      <c r="F221" s="143" t="s">
        <v>1835</v>
      </c>
      <c r="G221" s="169" t="s">
        <v>2328</v>
      </c>
      <c r="H221" s="94" t="s">
        <v>2207</v>
      </c>
      <c r="I221" s="168" t="s">
        <v>2312</v>
      </c>
      <c r="J221" s="137" t="str">
        <f t="shared" si="3"/>
        <v>O</v>
      </c>
    </row>
    <row r="222" spans="2:10" ht="27">
      <c r="B222" s="98" t="str">
        <f>'＠グループ、表示名'!H222</f>
        <v>CAN0</v>
      </c>
      <c r="C222" s="93" t="str">
        <f>'＠グループ、表示名'!I222</f>
        <v>CAN0_CTX</v>
      </c>
      <c r="D222" s="157" t="s">
        <v>2258</v>
      </c>
      <c r="E222" s="156" t="s">
        <v>2259</v>
      </c>
      <c r="F222" s="143" t="s">
        <v>1835</v>
      </c>
      <c r="G222" s="169" t="s">
        <v>2329</v>
      </c>
      <c r="H222" s="94" t="s">
        <v>2207</v>
      </c>
      <c r="I222" s="168" t="s">
        <v>2310</v>
      </c>
      <c r="J222" s="137" t="str">
        <f t="shared" si="3"/>
        <v>O</v>
      </c>
    </row>
    <row r="223" spans="2:10" ht="27">
      <c r="B223" s="98" t="str">
        <f>'＠グループ、表示名'!H223</f>
        <v>CAN0</v>
      </c>
      <c r="C223" s="93" t="str">
        <f>'＠グループ、表示名'!I223</f>
        <v>CAN0_CRX</v>
      </c>
      <c r="D223" s="148" t="s">
        <v>2021</v>
      </c>
      <c r="E223" s="152" t="s">
        <v>2260</v>
      </c>
      <c r="F223" s="143" t="s">
        <v>1870</v>
      </c>
      <c r="G223" s="169" t="s">
        <v>2330</v>
      </c>
      <c r="H223" s="94" t="s">
        <v>2208</v>
      </c>
      <c r="I223" s="168" t="s">
        <v>2311</v>
      </c>
      <c r="J223" s="137" t="str">
        <f t="shared" si="3"/>
        <v>I</v>
      </c>
    </row>
    <row r="224" spans="2:10" ht="27">
      <c r="B224" s="98" t="str">
        <f>'＠グループ、表示名'!H224</f>
        <v>CAN0</v>
      </c>
      <c r="C224" s="93" t="str">
        <f>'＠グループ、表示名'!I224</f>
        <v>CAN0_CRX</v>
      </c>
      <c r="D224" s="144" t="s">
        <v>2021</v>
      </c>
      <c r="E224" s="152" t="s">
        <v>2260</v>
      </c>
      <c r="F224" s="143" t="s">
        <v>1870</v>
      </c>
      <c r="G224" s="169" t="s">
        <v>2330</v>
      </c>
      <c r="H224" s="94" t="s">
        <v>2208</v>
      </c>
      <c r="I224" s="168" t="s">
        <v>2313</v>
      </c>
      <c r="J224" s="137" t="str">
        <f t="shared" si="3"/>
        <v>I</v>
      </c>
    </row>
    <row r="225" spans="2:10" ht="27">
      <c r="B225" s="98" t="str">
        <f>'＠グループ、表示名'!H225</f>
        <v>CAN1</v>
      </c>
      <c r="C225" s="93" t="str">
        <f>'＠グループ、表示名'!I225</f>
        <v>CAN1_CTX</v>
      </c>
      <c r="D225" s="157" t="s">
        <v>2258</v>
      </c>
      <c r="E225" s="156" t="s">
        <v>2259</v>
      </c>
      <c r="F225" s="143" t="s">
        <v>1835</v>
      </c>
      <c r="G225" s="169" t="s">
        <v>2331</v>
      </c>
      <c r="H225" s="94" t="s">
        <v>2207</v>
      </c>
      <c r="I225" s="168" t="s">
        <v>2310</v>
      </c>
      <c r="J225" s="137" t="str">
        <f t="shared" si="3"/>
        <v>O</v>
      </c>
    </row>
    <row r="226" spans="2:10" ht="27">
      <c r="B226" s="98" t="str">
        <f>'＠グループ、表示名'!H226</f>
        <v>CAN1</v>
      </c>
      <c r="C226" s="93" t="str">
        <f>'＠グループ、表示名'!I226</f>
        <v>CAN1_CTX</v>
      </c>
      <c r="D226" s="157" t="s">
        <v>2258</v>
      </c>
      <c r="E226" s="156" t="s">
        <v>2259</v>
      </c>
      <c r="F226" s="143" t="s">
        <v>1835</v>
      </c>
      <c r="G226" s="169" t="s">
        <v>2331</v>
      </c>
      <c r="H226" s="94" t="s">
        <v>2207</v>
      </c>
      <c r="I226" s="168" t="s">
        <v>2310</v>
      </c>
      <c r="J226" s="137" t="str">
        <f t="shared" si="3"/>
        <v>O</v>
      </c>
    </row>
    <row r="227" spans="2:10" ht="27">
      <c r="B227" s="98" t="str">
        <f>'＠グループ、表示名'!H227</f>
        <v>CAN1</v>
      </c>
      <c r="C227" s="93" t="str">
        <f>'＠グループ、表示名'!I227</f>
        <v>CAN1_CRX</v>
      </c>
      <c r="D227" s="148" t="s">
        <v>2021</v>
      </c>
      <c r="E227" s="152" t="s">
        <v>2260</v>
      </c>
      <c r="F227" s="143" t="s">
        <v>1870</v>
      </c>
      <c r="G227" s="169" t="s">
        <v>2332</v>
      </c>
      <c r="H227" s="94" t="s">
        <v>2208</v>
      </c>
      <c r="I227" s="168" t="s">
        <v>2311</v>
      </c>
      <c r="J227" s="137" t="str">
        <f t="shared" si="3"/>
        <v>I</v>
      </c>
    </row>
    <row r="228" spans="2:10" ht="27">
      <c r="B228" s="98" t="str">
        <f>'＠グループ、表示名'!H228</f>
        <v>CAN1</v>
      </c>
      <c r="C228" s="93" t="str">
        <f>'＠グループ、表示名'!I228</f>
        <v>CAN1_CRX</v>
      </c>
      <c r="D228" s="144" t="s">
        <v>2021</v>
      </c>
      <c r="E228" s="152" t="s">
        <v>2260</v>
      </c>
      <c r="F228" s="143" t="s">
        <v>1870</v>
      </c>
      <c r="G228" s="169" t="s">
        <v>2332</v>
      </c>
      <c r="H228" s="94" t="s">
        <v>2208</v>
      </c>
      <c r="I228" s="168" t="s">
        <v>2313</v>
      </c>
      <c r="J228" s="137" t="str">
        <f t="shared" si="3"/>
        <v>I</v>
      </c>
    </row>
    <row r="229" spans="2:10" ht="27">
      <c r="B229" s="98" t="str">
        <f>'＠グループ、表示名'!H229</f>
        <v>SMBUS</v>
      </c>
      <c r="C229" s="93" t="str">
        <f>'＠グループ、表示名'!I229</f>
        <v>SMBUS_SMDA</v>
      </c>
      <c r="D229" s="157" t="s">
        <v>2262</v>
      </c>
      <c r="E229" s="156" t="s">
        <v>2263</v>
      </c>
      <c r="F229" s="143" t="s">
        <v>1892</v>
      </c>
      <c r="G229" s="140" t="s">
        <v>2287</v>
      </c>
      <c r="H229" s="148" t="s">
        <v>2213</v>
      </c>
      <c r="I229" s="155" t="s">
        <v>2296</v>
      </c>
      <c r="J229" s="137" t="str">
        <f t="shared" si="3"/>
        <v>I/O</v>
      </c>
    </row>
    <row r="230" spans="2:10" ht="15.75" customHeight="1">
      <c r="B230" s="98" t="str">
        <f>'＠グループ、表示名'!H230</f>
        <v>SMBUS</v>
      </c>
      <c r="C230" s="93" t="str">
        <f>'＠グループ、表示名'!I230</f>
        <v>SMBUS_SMCL</v>
      </c>
      <c r="D230" s="148" t="s">
        <v>2002</v>
      </c>
      <c r="E230" s="154" t="s">
        <v>2261</v>
      </c>
      <c r="F230" s="143" t="s">
        <v>1892</v>
      </c>
      <c r="G230" s="137" t="s">
        <v>2022</v>
      </c>
      <c r="H230" s="148" t="s">
        <v>2214</v>
      </c>
      <c r="I230" s="92" t="s">
        <v>2023</v>
      </c>
      <c r="J230" s="137" t="str">
        <f t="shared" si="3"/>
        <v>I/O</v>
      </c>
    </row>
    <row r="231" spans="2:10" ht="15.75" customHeight="1">
      <c r="B231" s="98" t="str">
        <f>'＠グループ、表示名'!H231</f>
        <v>AD</v>
      </c>
      <c r="C231" s="93" t="str">
        <f>'＠グループ、表示名'!I231</f>
        <v>ADIN00</v>
      </c>
      <c r="D231" s="148" t="s">
        <v>2264</v>
      </c>
      <c r="E231" s="154" t="s">
        <v>2265</v>
      </c>
      <c r="F231" s="143" t="s">
        <v>2024</v>
      </c>
      <c r="G231" s="137" t="s">
        <v>2098</v>
      </c>
      <c r="H231" s="144" t="s">
        <v>2025</v>
      </c>
      <c r="I231" s="143" t="s">
        <v>2054</v>
      </c>
      <c r="J231" s="137" t="str">
        <f t="shared" si="3"/>
        <v>A</v>
      </c>
    </row>
    <row r="232" spans="2:10" ht="15.75" customHeight="1">
      <c r="B232" s="98" t="str">
        <f>'＠グループ、表示名'!H232</f>
        <v>AD</v>
      </c>
      <c r="C232" s="93" t="str">
        <f>'＠グループ、表示名'!I232</f>
        <v>ADIN01</v>
      </c>
      <c r="D232" s="94" t="s">
        <v>2053</v>
      </c>
      <c r="E232" s="154" t="s">
        <v>2265</v>
      </c>
      <c r="F232" s="143" t="s">
        <v>2024</v>
      </c>
      <c r="G232" s="137" t="s">
        <v>2055</v>
      </c>
      <c r="H232" s="144" t="s">
        <v>2025</v>
      </c>
      <c r="I232" s="143" t="s">
        <v>2054</v>
      </c>
      <c r="J232" s="137" t="str">
        <f t="shared" si="3"/>
        <v>A</v>
      </c>
    </row>
    <row r="233" spans="2:10" ht="15.75" customHeight="1">
      <c r="B233" s="98" t="str">
        <f>'＠グループ、表示名'!H233</f>
        <v>AD</v>
      </c>
      <c r="C233" s="93" t="str">
        <f>'＠グループ、表示名'!I233</f>
        <v>ADIN02</v>
      </c>
      <c r="D233" s="94" t="s">
        <v>2053</v>
      </c>
      <c r="E233" s="154" t="s">
        <v>2265</v>
      </c>
      <c r="F233" s="143" t="s">
        <v>2024</v>
      </c>
      <c r="G233" s="137" t="s">
        <v>2056</v>
      </c>
      <c r="H233" s="144" t="s">
        <v>2025</v>
      </c>
      <c r="I233" s="143" t="s">
        <v>2054</v>
      </c>
      <c r="J233" s="137" t="str">
        <f t="shared" si="3"/>
        <v>A</v>
      </c>
    </row>
    <row r="234" spans="2:10" ht="15.75" customHeight="1">
      <c r="B234" s="98" t="str">
        <f>'＠グループ、表示名'!H234</f>
        <v>AD</v>
      </c>
      <c r="C234" s="93" t="str">
        <f>'＠グループ、表示名'!I234</f>
        <v>ADIN03</v>
      </c>
      <c r="D234" s="94" t="s">
        <v>2053</v>
      </c>
      <c r="E234" s="154" t="s">
        <v>2265</v>
      </c>
      <c r="F234" s="143" t="s">
        <v>2024</v>
      </c>
      <c r="G234" s="137" t="s">
        <v>2057</v>
      </c>
      <c r="H234" s="144" t="s">
        <v>2025</v>
      </c>
      <c r="I234" s="143" t="s">
        <v>2054</v>
      </c>
      <c r="J234" s="137" t="str">
        <f t="shared" si="3"/>
        <v>A</v>
      </c>
    </row>
    <row r="235" spans="2:10" ht="15.75" customHeight="1">
      <c r="B235" s="98" t="str">
        <f>'＠グループ、表示名'!H235</f>
        <v>AD</v>
      </c>
      <c r="C235" s="93" t="str">
        <f>'＠グループ、表示名'!I235</f>
        <v>ADIN04</v>
      </c>
      <c r="D235" s="94" t="s">
        <v>2053</v>
      </c>
      <c r="E235" s="154" t="s">
        <v>2265</v>
      </c>
      <c r="F235" s="143" t="s">
        <v>2024</v>
      </c>
      <c r="G235" s="137" t="s">
        <v>2058</v>
      </c>
      <c r="H235" s="144" t="s">
        <v>2025</v>
      </c>
      <c r="I235" s="143" t="s">
        <v>2054</v>
      </c>
      <c r="J235" s="137" t="str">
        <f t="shared" si="3"/>
        <v>A</v>
      </c>
    </row>
    <row r="236" spans="2:10" ht="15.75" customHeight="1">
      <c r="B236" s="98" t="str">
        <f>'＠グループ、表示名'!H236</f>
        <v>AD</v>
      </c>
      <c r="C236" s="93" t="str">
        <f>'＠グループ、表示名'!I236</f>
        <v>ADIN05</v>
      </c>
      <c r="D236" s="94" t="s">
        <v>2053</v>
      </c>
      <c r="E236" s="154" t="s">
        <v>2265</v>
      </c>
      <c r="F236" s="143" t="s">
        <v>2024</v>
      </c>
      <c r="G236" s="137" t="s">
        <v>2059</v>
      </c>
      <c r="H236" s="144" t="s">
        <v>2025</v>
      </c>
      <c r="I236" s="143" t="s">
        <v>2054</v>
      </c>
      <c r="J236" s="137" t="str">
        <f t="shared" si="3"/>
        <v>A</v>
      </c>
    </row>
    <row r="237" spans="2:10" ht="15.75" customHeight="1">
      <c r="B237" s="98" t="str">
        <f>'＠グループ、表示名'!H237</f>
        <v>AD</v>
      </c>
      <c r="C237" s="93" t="str">
        <f>'＠グループ、表示名'!I237</f>
        <v>ADIN06</v>
      </c>
      <c r="D237" s="94" t="s">
        <v>2053</v>
      </c>
      <c r="E237" s="154" t="s">
        <v>2265</v>
      </c>
      <c r="F237" s="143" t="s">
        <v>2024</v>
      </c>
      <c r="G237" s="137" t="s">
        <v>2060</v>
      </c>
      <c r="H237" s="144" t="s">
        <v>2025</v>
      </c>
      <c r="I237" s="143" t="s">
        <v>2054</v>
      </c>
      <c r="J237" s="137" t="str">
        <f t="shared" si="3"/>
        <v>A</v>
      </c>
    </row>
    <row r="238" spans="2:10" ht="15.75" customHeight="1">
      <c r="B238" s="98" t="str">
        <f>'＠グループ、表示名'!H238</f>
        <v>AD</v>
      </c>
      <c r="C238" s="93" t="str">
        <f>'＠グループ、表示名'!I238</f>
        <v>ADIN07</v>
      </c>
      <c r="D238" s="94" t="s">
        <v>2053</v>
      </c>
      <c r="E238" s="154" t="s">
        <v>2265</v>
      </c>
      <c r="F238" s="143" t="s">
        <v>2024</v>
      </c>
      <c r="G238" s="137" t="s">
        <v>2061</v>
      </c>
      <c r="H238" s="144" t="s">
        <v>2025</v>
      </c>
      <c r="I238" s="143" t="s">
        <v>2054</v>
      </c>
      <c r="J238" s="137" t="str">
        <f t="shared" si="3"/>
        <v>A</v>
      </c>
    </row>
    <row r="239" spans="2:10" ht="15.75" customHeight="1">
      <c r="B239" s="98" t="str">
        <f>'＠グループ、表示名'!H239</f>
        <v>AD</v>
      </c>
      <c r="C239" s="93" t="str">
        <f>'＠グループ、表示名'!I239</f>
        <v>ADIN08</v>
      </c>
      <c r="D239" s="94" t="s">
        <v>2053</v>
      </c>
      <c r="E239" s="154" t="s">
        <v>2265</v>
      </c>
      <c r="F239" s="143" t="s">
        <v>2024</v>
      </c>
      <c r="G239" s="137" t="s">
        <v>2062</v>
      </c>
      <c r="H239" s="144" t="s">
        <v>2025</v>
      </c>
      <c r="I239" s="143" t="s">
        <v>2054</v>
      </c>
      <c r="J239" s="137" t="str">
        <f t="shared" si="3"/>
        <v>A</v>
      </c>
    </row>
    <row r="240" spans="2:10" ht="15.75" customHeight="1">
      <c r="B240" s="98" t="str">
        <f>'＠グループ、表示名'!H240</f>
        <v>AD</v>
      </c>
      <c r="C240" s="93" t="str">
        <f>'＠グループ、表示名'!I240</f>
        <v>ADIN09</v>
      </c>
      <c r="D240" s="94" t="s">
        <v>2053</v>
      </c>
      <c r="E240" s="154" t="s">
        <v>2265</v>
      </c>
      <c r="F240" s="143" t="s">
        <v>2024</v>
      </c>
      <c r="G240" s="137" t="s">
        <v>2063</v>
      </c>
      <c r="H240" s="144" t="s">
        <v>2025</v>
      </c>
      <c r="I240" s="143" t="s">
        <v>2054</v>
      </c>
      <c r="J240" s="137" t="str">
        <f t="shared" si="3"/>
        <v>A</v>
      </c>
    </row>
    <row r="241" spans="2:10" ht="15.75" customHeight="1">
      <c r="B241" s="98" t="str">
        <f>'＠グループ、表示名'!H241</f>
        <v>AD</v>
      </c>
      <c r="C241" s="93" t="str">
        <f>'＠グループ、表示名'!I241</f>
        <v>ADIN10</v>
      </c>
      <c r="D241" s="94" t="s">
        <v>2053</v>
      </c>
      <c r="E241" s="154" t="s">
        <v>2265</v>
      </c>
      <c r="F241" s="143" t="s">
        <v>2024</v>
      </c>
      <c r="G241" s="137" t="s">
        <v>2064</v>
      </c>
      <c r="H241" s="144" t="s">
        <v>2025</v>
      </c>
      <c r="I241" s="143" t="s">
        <v>2054</v>
      </c>
      <c r="J241" s="137" t="str">
        <f t="shared" si="3"/>
        <v>A</v>
      </c>
    </row>
    <row r="242" spans="2:10" ht="15.75" customHeight="1">
      <c r="B242" s="98" t="str">
        <f>'＠グループ、表示名'!H242</f>
        <v>AD</v>
      </c>
      <c r="C242" s="93" t="str">
        <f>'＠グループ、表示名'!I242</f>
        <v>ADIN11</v>
      </c>
      <c r="D242" s="94" t="s">
        <v>2053</v>
      </c>
      <c r="E242" s="154" t="s">
        <v>2265</v>
      </c>
      <c r="F242" s="143" t="s">
        <v>2024</v>
      </c>
      <c r="G242" s="137" t="s">
        <v>2065</v>
      </c>
      <c r="H242" s="144" t="s">
        <v>2025</v>
      </c>
      <c r="I242" s="143" t="s">
        <v>2054</v>
      </c>
      <c r="J242" s="137" t="str">
        <f t="shared" si="3"/>
        <v>A</v>
      </c>
    </row>
    <row r="243" spans="2:10" ht="15.75" customHeight="1">
      <c r="B243" s="98" t="str">
        <f>'＠グループ、表示名'!H243</f>
        <v>AD</v>
      </c>
      <c r="C243" s="93" t="str">
        <f>'＠グループ、表示名'!I243</f>
        <v>ADIN12</v>
      </c>
      <c r="D243" s="94" t="s">
        <v>2053</v>
      </c>
      <c r="E243" s="154" t="s">
        <v>2265</v>
      </c>
      <c r="F243" s="143" t="s">
        <v>2024</v>
      </c>
      <c r="G243" s="137" t="s">
        <v>2066</v>
      </c>
      <c r="H243" s="144" t="s">
        <v>2025</v>
      </c>
      <c r="I243" s="143" t="s">
        <v>2054</v>
      </c>
      <c r="J243" s="137" t="str">
        <f t="shared" si="3"/>
        <v>A</v>
      </c>
    </row>
    <row r="244" spans="2:10" ht="15.75" customHeight="1">
      <c r="B244" s="98" t="str">
        <f>'＠グループ、表示名'!H244</f>
        <v>AD</v>
      </c>
      <c r="C244" s="93" t="str">
        <f>'＠グループ、表示名'!I244</f>
        <v>ADIN13</v>
      </c>
      <c r="D244" s="94" t="s">
        <v>2053</v>
      </c>
      <c r="E244" s="154" t="s">
        <v>2265</v>
      </c>
      <c r="F244" s="143" t="s">
        <v>2024</v>
      </c>
      <c r="G244" s="137" t="s">
        <v>2067</v>
      </c>
      <c r="H244" s="144" t="s">
        <v>2025</v>
      </c>
      <c r="I244" s="143" t="s">
        <v>2054</v>
      </c>
      <c r="J244" s="137" t="str">
        <f t="shared" si="3"/>
        <v>A</v>
      </c>
    </row>
    <row r="245" spans="2:10" ht="15.75" customHeight="1">
      <c r="B245" s="98" t="str">
        <f>'＠グループ、表示名'!H245</f>
        <v>AD</v>
      </c>
      <c r="C245" s="93" t="str">
        <f>'＠グループ、表示名'!I245</f>
        <v>ADIN14</v>
      </c>
      <c r="D245" s="94" t="s">
        <v>2053</v>
      </c>
      <c r="E245" s="154" t="s">
        <v>2265</v>
      </c>
      <c r="F245" s="143" t="s">
        <v>2024</v>
      </c>
      <c r="G245" s="137" t="s">
        <v>2068</v>
      </c>
      <c r="H245" s="144" t="s">
        <v>2025</v>
      </c>
      <c r="I245" s="143" t="s">
        <v>2054</v>
      </c>
      <c r="J245" s="137" t="str">
        <f t="shared" si="3"/>
        <v>A</v>
      </c>
    </row>
    <row r="246" spans="2:10" ht="15.75" customHeight="1">
      <c r="B246" s="98" t="str">
        <f>'＠グループ、表示名'!H246</f>
        <v>AD</v>
      </c>
      <c r="C246" s="93" t="str">
        <f>'＠グループ、表示名'!I246</f>
        <v>ADIN15</v>
      </c>
      <c r="D246" s="94" t="s">
        <v>2053</v>
      </c>
      <c r="E246" s="154" t="s">
        <v>2265</v>
      </c>
      <c r="F246" s="143" t="s">
        <v>2024</v>
      </c>
      <c r="G246" s="137" t="s">
        <v>2069</v>
      </c>
      <c r="H246" s="144" t="s">
        <v>2025</v>
      </c>
      <c r="I246" s="143" t="s">
        <v>2054</v>
      </c>
      <c r="J246" s="137" t="str">
        <f t="shared" si="3"/>
        <v>A</v>
      </c>
    </row>
    <row r="247" spans="2:10" ht="15.75" customHeight="1">
      <c r="B247" s="98" t="str">
        <f>'＠グループ、表示名'!H247</f>
        <v>AD</v>
      </c>
      <c r="C247" s="93" t="str">
        <f>'＠グループ、表示名'!I247</f>
        <v>ADIN16</v>
      </c>
      <c r="D247" s="94" t="s">
        <v>2053</v>
      </c>
      <c r="E247" s="154" t="s">
        <v>2265</v>
      </c>
      <c r="F247" s="143" t="s">
        <v>2024</v>
      </c>
      <c r="G247" s="137" t="s">
        <v>2070</v>
      </c>
      <c r="H247" s="144" t="s">
        <v>2025</v>
      </c>
      <c r="I247" s="143" t="s">
        <v>2054</v>
      </c>
      <c r="J247" s="137" t="str">
        <f t="shared" si="3"/>
        <v>A</v>
      </c>
    </row>
    <row r="248" spans="2:10" ht="15.75" customHeight="1">
      <c r="B248" s="98" t="str">
        <f>'＠グループ、表示名'!H248</f>
        <v>AD</v>
      </c>
      <c r="C248" s="93" t="str">
        <f>'＠グループ、表示名'!I248</f>
        <v>ADIN17</v>
      </c>
      <c r="D248" s="94" t="s">
        <v>2053</v>
      </c>
      <c r="E248" s="154" t="s">
        <v>2265</v>
      </c>
      <c r="F248" s="143" t="s">
        <v>2024</v>
      </c>
      <c r="G248" s="137" t="s">
        <v>2071</v>
      </c>
      <c r="H248" s="144" t="s">
        <v>2025</v>
      </c>
      <c r="I248" s="143" t="s">
        <v>2054</v>
      </c>
      <c r="J248" s="137" t="str">
        <f t="shared" si="3"/>
        <v>A</v>
      </c>
    </row>
    <row r="249" spans="2:10" ht="15.75" customHeight="1">
      <c r="B249" s="98" t="str">
        <f>'＠グループ、表示名'!H249</f>
        <v>AD</v>
      </c>
      <c r="C249" s="93" t="str">
        <f>'＠グループ、表示名'!I249</f>
        <v>ADIN18</v>
      </c>
      <c r="D249" s="94" t="s">
        <v>2053</v>
      </c>
      <c r="E249" s="154" t="s">
        <v>2265</v>
      </c>
      <c r="F249" s="143" t="s">
        <v>2024</v>
      </c>
      <c r="G249" s="137" t="s">
        <v>2072</v>
      </c>
      <c r="H249" s="144" t="s">
        <v>2025</v>
      </c>
      <c r="I249" s="143" t="s">
        <v>2054</v>
      </c>
      <c r="J249" s="137" t="str">
        <f t="shared" si="3"/>
        <v>A</v>
      </c>
    </row>
    <row r="250" spans="2:10" ht="15.75" customHeight="1">
      <c r="B250" s="98" t="str">
        <f>'＠グループ、表示名'!H250</f>
        <v>AD</v>
      </c>
      <c r="C250" s="93" t="str">
        <f>'＠グループ、表示名'!I250</f>
        <v>ADIN19</v>
      </c>
      <c r="D250" s="94" t="s">
        <v>2053</v>
      </c>
      <c r="E250" s="154" t="s">
        <v>2265</v>
      </c>
      <c r="F250" s="143" t="s">
        <v>2024</v>
      </c>
      <c r="G250" s="137" t="s">
        <v>2073</v>
      </c>
      <c r="H250" s="144" t="s">
        <v>2025</v>
      </c>
      <c r="I250" s="143" t="s">
        <v>2054</v>
      </c>
      <c r="J250" s="137" t="str">
        <f t="shared" si="3"/>
        <v>A</v>
      </c>
    </row>
    <row r="251" spans="2:10" ht="15.75" customHeight="1">
      <c r="B251" s="98" t="str">
        <f>'＠グループ、表示名'!H251</f>
        <v>AD</v>
      </c>
      <c r="C251" s="93" t="str">
        <f>'＠グループ、表示名'!I251</f>
        <v>ADIN20</v>
      </c>
      <c r="D251" s="94" t="s">
        <v>2053</v>
      </c>
      <c r="E251" s="154" t="s">
        <v>2265</v>
      </c>
      <c r="F251" s="143" t="s">
        <v>2024</v>
      </c>
      <c r="G251" s="137" t="s">
        <v>2074</v>
      </c>
      <c r="H251" s="144" t="s">
        <v>2025</v>
      </c>
      <c r="I251" s="143" t="s">
        <v>2054</v>
      </c>
      <c r="J251" s="137" t="str">
        <f t="shared" si="3"/>
        <v>A</v>
      </c>
    </row>
    <row r="252" spans="2:10" ht="15.75" customHeight="1">
      <c r="B252" s="98" t="str">
        <f>'＠グループ、表示名'!H252</f>
        <v>AD</v>
      </c>
      <c r="C252" s="93" t="str">
        <f>'＠グループ、表示名'!I252</f>
        <v>ADIN21</v>
      </c>
      <c r="D252" s="94" t="s">
        <v>2053</v>
      </c>
      <c r="E252" s="154" t="s">
        <v>2265</v>
      </c>
      <c r="F252" s="143" t="s">
        <v>2024</v>
      </c>
      <c r="G252" s="137" t="s">
        <v>2075</v>
      </c>
      <c r="H252" s="144" t="s">
        <v>2025</v>
      </c>
      <c r="I252" s="143" t="s">
        <v>2054</v>
      </c>
      <c r="J252" s="137" t="str">
        <f t="shared" si="3"/>
        <v>A</v>
      </c>
    </row>
    <row r="253" spans="2:10" ht="15.75" customHeight="1">
      <c r="B253" s="98" t="str">
        <f>'＠グループ、表示名'!H253</f>
        <v>AD</v>
      </c>
      <c r="C253" s="93" t="str">
        <f>'＠グループ、表示名'!I253</f>
        <v>ADIN22</v>
      </c>
      <c r="D253" s="94" t="s">
        <v>2053</v>
      </c>
      <c r="E253" s="154" t="s">
        <v>2265</v>
      </c>
      <c r="F253" s="143" t="s">
        <v>2024</v>
      </c>
      <c r="G253" s="137" t="s">
        <v>2076</v>
      </c>
      <c r="H253" s="144" t="s">
        <v>2025</v>
      </c>
      <c r="I253" s="143" t="s">
        <v>2054</v>
      </c>
      <c r="J253" s="137" t="str">
        <f t="shared" si="3"/>
        <v>A</v>
      </c>
    </row>
    <row r="254" spans="2:10" ht="15.75" customHeight="1">
      <c r="B254" s="98" t="str">
        <f>'＠グループ、表示名'!H254</f>
        <v>AD</v>
      </c>
      <c r="C254" s="93" t="str">
        <f>'＠グループ、表示名'!I254</f>
        <v>ADIN23</v>
      </c>
      <c r="D254" s="94" t="s">
        <v>2053</v>
      </c>
      <c r="E254" s="154" t="s">
        <v>2265</v>
      </c>
      <c r="F254" s="143" t="s">
        <v>2024</v>
      </c>
      <c r="G254" s="137" t="s">
        <v>2077</v>
      </c>
      <c r="H254" s="144" t="s">
        <v>2025</v>
      </c>
      <c r="I254" s="143" t="s">
        <v>2054</v>
      </c>
      <c r="J254" s="137" t="str">
        <f t="shared" si="3"/>
        <v>A</v>
      </c>
    </row>
    <row r="255" spans="2:10" ht="15.75" customHeight="1">
      <c r="B255" s="98" t="str">
        <f>'＠グループ、表示名'!H255</f>
        <v>AD</v>
      </c>
      <c r="C255" s="93" t="str">
        <f>'＠グループ、表示名'!I255</f>
        <v>ADIN24</v>
      </c>
      <c r="D255" s="94" t="s">
        <v>2053</v>
      </c>
      <c r="E255" s="154" t="s">
        <v>2265</v>
      </c>
      <c r="F255" s="143" t="s">
        <v>2024</v>
      </c>
      <c r="G255" s="137" t="s">
        <v>2078</v>
      </c>
      <c r="H255" s="144" t="s">
        <v>2025</v>
      </c>
      <c r="I255" s="143" t="s">
        <v>2054</v>
      </c>
      <c r="J255" s="137" t="str">
        <f t="shared" si="3"/>
        <v>A</v>
      </c>
    </row>
    <row r="256" spans="2:10" ht="15.75" customHeight="1">
      <c r="B256" s="98" t="str">
        <f>'＠グループ、表示名'!H256</f>
        <v>AD</v>
      </c>
      <c r="C256" s="93" t="str">
        <f>'＠グループ、表示名'!I256</f>
        <v>ADIN25</v>
      </c>
      <c r="D256" s="94" t="s">
        <v>2053</v>
      </c>
      <c r="E256" s="154" t="s">
        <v>2265</v>
      </c>
      <c r="F256" s="143" t="s">
        <v>2024</v>
      </c>
      <c r="G256" s="137" t="s">
        <v>2079</v>
      </c>
      <c r="H256" s="144" t="s">
        <v>2025</v>
      </c>
      <c r="I256" s="143" t="s">
        <v>2054</v>
      </c>
      <c r="J256" s="137" t="str">
        <f t="shared" si="3"/>
        <v>A</v>
      </c>
    </row>
    <row r="257" spans="2:10" ht="15.75" customHeight="1">
      <c r="B257" s="98" t="str">
        <f>'＠グループ、表示名'!H257</f>
        <v>AD</v>
      </c>
      <c r="C257" s="93" t="str">
        <f>'＠グループ、表示名'!I257</f>
        <v>ADIN26</v>
      </c>
      <c r="D257" s="94" t="s">
        <v>2053</v>
      </c>
      <c r="E257" s="154" t="s">
        <v>2265</v>
      </c>
      <c r="F257" s="143" t="s">
        <v>2024</v>
      </c>
      <c r="G257" s="137" t="s">
        <v>2080</v>
      </c>
      <c r="H257" s="144" t="s">
        <v>2025</v>
      </c>
      <c r="I257" s="143" t="s">
        <v>2054</v>
      </c>
      <c r="J257" s="137" t="str">
        <f t="shared" si="3"/>
        <v>A</v>
      </c>
    </row>
    <row r="258" spans="2:10" ht="15.75" customHeight="1">
      <c r="B258" s="98" t="str">
        <f>'＠グループ、表示名'!H258</f>
        <v>AD</v>
      </c>
      <c r="C258" s="93" t="str">
        <f>'＠グループ、表示名'!I258</f>
        <v>ADIN27</v>
      </c>
      <c r="D258" s="94" t="s">
        <v>2053</v>
      </c>
      <c r="E258" s="154" t="s">
        <v>2265</v>
      </c>
      <c r="F258" s="143" t="s">
        <v>2024</v>
      </c>
      <c r="G258" s="137" t="s">
        <v>2081</v>
      </c>
      <c r="H258" s="144" t="s">
        <v>2025</v>
      </c>
      <c r="I258" s="143" t="s">
        <v>2054</v>
      </c>
      <c r="J258" s="137" t="str">
        <f t="shared" si="3"/>
        <v>A</v>
      </c>
    </row>
    <row r="259" spans="2:10" ht="15.75" customHeight="1">
      <c r="B259" s="98" t="str">
        <f>'＠グループ、表示名'!H259</f>
        <v>AD</v>
      </c>
      <c r="C259" s="93" t="str">
        <f>'＠グループ、表示名'!I259</f>
        <v>ADIN28</v>
      </c>
      <c r="D259" s="94" t="s">
        <v>2053</v>
      </c>
      <c r="E259" s="154" t="s">
        <v>2265</v>
      </c>
      <c r="F259" s="143" t="s">
        <v>2024</v>
      </c>
      <c r="G259" s="137" t="s">
        <v>2082</v>
      </c>
      <c r="H259" s="144" t="s">
        <v>2025</v>
      </c>
      <c r="I259" s="143" t="s">
        <v>2054</v>
      </c>
      <c r="J259" s="137" t="str">
        <f t="shared" si="3"/>
        <v>A</v>
      </c>
    </row>
    <row r="260" spans="2:10" ht="15.75" customHeight="1">
      <c r="B260" s="98" t="str">
        <f>'＠グループ、表示名'!H260</f>
        <v>AD</v>
      </c>
      <c r="C260" s="93" t="str">
        <f>'＠グループ、表示名'!I260</f>
        <v>ADIN29</v>
      </c>
      <c r="D260" s="94" t="s">
        <v>2053</v>
      </c>
      <c r="E260" s="154" t="s">
        <v>2265</v>
      </c>
      <c r="F260" s="143" t="s">
        <v>2024</v>
      </c>
      <c r="G260" s="137" t="s">
        <v>2083</v>
      </c>
      <c r="H260" s="144" t="s">
        <v>2025</v>
      </c>
      <c r="I260" s="143" t="s">
        <v>2054</v>
      </c>
      <c r="J260" s="137" t="str">
        <f t="shared" si="3"/>
        <v>A</v>
      </c>
    </row>
    <row r="261" spans="2:10" ht="15.75" customHeight="1">
      <c r="B261" s="98" t="str">
        <f>'＠グループ、表示名'!H261</f>
        <v>AD</v>
      </c>
      <c r="C261" s="93" t="str">
        <f>'＠グループ、表示名'!I261</f>
        <v>ADIN30</v>
      </c>
      <c r="D261" s="94" t="s">
        <v>2053</v>
      </c>
      <c r="E261" s="154" t="s">
        <v>2265</v>
      </c>
      <c r="F261" s="143" t="s">
        <v>2024</v>
      </c>
      <c r="G261" s="137" t="s">
        <v>2084</v>
      </c>
      <c r="H261" s="144" t="s">
        <v>2025</v>
      </c>
      <c r="I261" s="143" t="s">
        <v>2054</v>
      </c>
      <c r="J261" s="137" t="str">
        <f t="shared" si="3"/>
        <v>A</v>
      </c>
    </row>
    <row r="262" spans="2:10" ht="15.75" customHeight="1">
      <c r="B262" s="98" t="str">
        <f>'＠グループ、表示名'!H262</f>
        <v>AD</v>
      </c>
      <c r="C262" s="93" t="str">
        <f>'＠グループ、表示名'!I262</f>
        <v>ADIN31</v>
      </c>
      <c r="D262" s="94" t="s">
        <v>2053</v>
      </c>
      <c r="E262" s="154" t="s">
        <v>2265</v>
      </c>
      <c r="F262" s="143" t="s">
        <v>2024</v>
      </c>
      <c r="G262" s="137" t="s">
        <v>2085</v>
      </c>
      <c r="H262" s="144" t="s">
        <v>2025</v>
      </c>
      <c r="I262" s="143" t="s">
        <v>2054</v>
      </c>
      <c r="J262" s="137" t="str">
        <f t="shared" ref="J262:J297" si="4">F262</f>
        <v>A</v>
      </c>
    </row>
    <row r="263" spans="2:10" ht="15.75" customHeight="1">
      <c r="B263" s="98" t="str">
        <f>'＠グループ、表示名'!H263</f>
        <v>AD</v>
      </c>
      <c r="C263" s="93" t="str">
        <f>'＠グループ、表示名'!I263</f>
        <v>ADTRG0</v>
      </c>
      <c r="D263" s="148" t="s">
        <v>2266</v>
      </c>
      <c r="E263" s="152" t="s">
        <v>2267</v>
      </c>
      <c r="F263" s="143" t="s">
        <v>1835</v>
      </c>
      <c r="G263" s="137" t="s">
        <v>2026</v>
      </c>
      <c r="H263" s="144" t="s">
        <v>2030</v>
      </c>
      <c r="I263" s="143" t="s">
        <v>2029</v>
      </c>
      <c r="J263" s="137" t="str">
        <f t="shared" si="4"/>
        <v>O</v>
      </c>
    </row>
    <row r="264" spans="2:10" ht="15.75" customHeight="1">
      <c r="B264" s="98" t="str">
        <f>'＠グループ、表示名'!H264</f>
        <v>AD</v>
      </c>
      <c r="C264" s="93" t="str">
        <f>'＠グループ、表示名'!I264</f>
        <v>ADTRG1</v>
      </c>
      <c r="D264" s="148" t="s">
        <v>2266</v>
      </c>
      <c r="E264" s="152" t="s">
        <v>2267</v>
      </c>
      <c r="F264" s="143" t="s">
        <v>1835</v>
      </c>
      <c r="G264" s="137" t="s">
        <v>2027</v>
      </c>
      <c r="H264" s="144" t="s">
        <v>2030</v>
      </c>
      <c r="I264" s="143" t="s">
        <v>2029</v>
      </c>
      <c r="J264" s="137" t="str">
        <f t="shared" si="4"/>
        <v>O</v>
      </c>
    </row>
    <row r="265" spans="2:10" ht="15.75" customHeight="1">
      <c r="B265" s="98" t="str">
        <f>'＠グループ、表示名'!H265</f>
        <v>AD</v>
      </c>
      <c r="C265" s="93" t="str">
        <f>'＠グループ、表示名'!I265</f>
        <v>ADTRG2</v>
      </c>
      <c r="D265" s="148" t="s">
        <v>2266</v>
      </c>
      <c r="E265" s="152" t="s">
        <v>2267</v>
      </c>
      <c r="F265" s="143" t="s">
        <v>1835</v>
      </c>
      <c r="G265" s="137" t="s">
        <v>2028</v>
      </c>
      <c r="H265" s="144" t="s">
        <v>2030</v>
      </c>
      <c r="I265" s="143" t="s">
        <v>2029</v>
      </c>
      <c r="J265" s="137" t="str">
        <f t="shared" si="4"/>
        <v>O</v>
      </c>
    </row>
    <row r="266" spans="2:10" ht="15.75" customHeight="1">
      <c r="B266" s="98" t="str">
        <f>'＠グループ、表示名'!H266</f>
        <v>VGA0</v>
      </c>
      <c r="C266" s="93" t="str">
        <f>'＠グループ、表示名'!I266</f>
        <v>VGA0_VGAN0</v>
      </c>
      <c r="D266" s="148" t="s">
        <v>2031</v>
      </c>
      <c r="E266" s="154" t="s">
        <v>2268</v>
      </c>
      <c r="F266" s="143" t="s">
        <v>2024</v>
      </c>
      <c r="G266" s="137" t="s">
        <v>2033</v>
      </c>
      <c r="H266" s="144" t="s">
        <v>2041</v>
      </c>
      <c r="I266" s="143" t="s">
        <v>2044</v>
      </c>
      <c r="J266" s="137" t="str">
        <f t="shared" si="4"/>
        <v>A</v>
      </c>
    </row>
    <row r="267" spans="2:10" ht="15.75" customHeight="1">
      <c r="B267" s="98" t="str">
        <f>'＠グループ、表示名'!H267</f>
        <v>VGA0</v>
      </c>
      <c r="C267" s="93" t="str">
        <f>'＠グループ、表示名'!I267</f>
        <v>VGA0_VGAP0</v>
      </c>
      <c r="D267" s="144" t="s">
        <v>2032</v>
      </c>
      <c r="E267" s="154" t="s">
        <v>2268</v>
      </c>
      <c r="F267" s="143" t="s">
        <v>2024</v>
      </c>
      <c r="G267" s="137" t="s">
        <v>2034</v>
      </c>
      <c r="H267" s="148" t="s">
        <v>2233</v>
      </c>
      <c r="I267" s="92" t="s">
        <v>2045</v>
      </c>
      <c r="J267" s="137" t="str">
        <f t="shared" si="4"/>
        <v>A</v>
      </c>
    </row>
    <row r="268" spans="2:10" ht="15.75" customHeight="1">
      <c r="B268" s="98" t="str">
        <f>'＠グループ、表示名'!H268</f>
        <v>VGA0</v>
      </c>
      <c r="C268" s="93" t="str">
        <f>'＠グループ、表示名'!I268</f>
        <v>VGA0_VGAP1</v>
      </c>
      <c r="D268" s="144" t="s">
        <v>2032</v>
      </c>
      <c r="E268" s="154" t="s">
        <v>2268</v>
      </c>
      <c r="F268" s="143" t="s">
        <v>2024</v>
      </c>
      <c r="G268" s="137" t="s">
        <v>2035</v>
      </c>
      <c r="H268" s="148" t="s">
        <v>2233</v>
      </c>
      <c r="I268" s="92" t="s">
        <v>2045</v>
      </c>
      <c r="J268" s="137" t="str">
        <f t="shared" si="4"/>
        <v>A</v>
      </c>
    </row>
    <row r="269" spans="2:10" ht="15.75" customHeight="1">
      <c r="B269" s="98" t="str">
        <f>'＠グループ、表示名'!H269</f>
        <v>VGA0</v>
      </c>
      <c r="C269" s="93" t="str">
        <f>'＠グループ、表示名'!I269</f>
        <v>VGA0_VGAP2</v>
      </c>
      <c r="D269" s="144" t="s">
        <v>2032</v>
      </c>
      <c r="E269" s="154" t="s">
        <v>2268</v>
      </c>
      <c r="F269" s="143" t="s">
        <v>2024</v>
      </c>
      <c r="G269" s="137" t="s">
        <v>2036</v>
      </c>
      <c r="H269" s="148" t="s">
        <v>2233</v>
      </c>
      <c r="I269" s="92" t="s">
        <v>2045</v>
      </c>
      <c r="J269" s="137" t="str">
        <f t="shared" si="4"/>
        <v>A</v>
      </c>
    </row>
    <row r="270" spans="2:10" ht="15.75" customHeight="1">
      <c r="B270" s="98" t="str">
        <f>'＠グループ、表示名'!H270</f>
        <v>VGA1</v>
      </c>
      <c r="C270" s="93" t="str">
        <f>'＠グループ、表示名'!I270</f>
        <v>VGA1_VGAP1</v>
      </c>
      <c r="D270" s="144" t="s">
        <v>2032</v>
      </c>
      <c r="E270" s="154" t="s">
        <v>2268</v>
      </c>
      <c r="F270" s="143" t="s">
        <v>2024</v>
      </c>
      <c r="G270" s="137" t="s">
        <v>2039</v>
      </c>
      <c r="H270" s="144" t="s">
        <v>2043</v>
      </c>
      <c r="I270" s="92" t="s">
        <v>2046</v>
      </c>
      <c r="J270" s="137" t="str">
        <f t="shared" si="4"/>
        <v>A</v>
      </c>
    </row>
    <row r="271" spans="2:10" ht="15.75" customHeight="1">
      <c r="B271" s="98" t="str">
        <f>'＠グループ、表示名'!H271</f>
        <v>VGA1</v>
      </c>
      <c r="C271" s="93" t="str">
        <f>'＠グループ、表示名'!I271</f>
        <v>VGA1_VGAN1</v>
      </c>
      <c r="D271" s="144" t="s">
        <v>2031</v>
      </c>
      <c r="E271" s="154" t="s">
        <v>2268</v>
      </c>
      <c r="F271" s="143" t="s">
        <v>2024</v>
      </c>
      <c r="G271" s="137" t="s">
        <v>2037</v>
      </c>
      <c r="H271" s="144" t="s">
        <v>2041</v>
      </c>
      <c r="I271" s="92" t="s">
        <v>2044</v>
      </c>
      <c r="J271" s="137" t="str">
        <f t="shared" si="4"/>
        <v>A</v>
      </c>
    </row>
    <row r="272" spans="2:10" ht="15.75" customHeight="1">
      <c r="B272" s="98" t="str">
        <f>'＠グループ、表示名'!H272</f>
        <v>VGA2</v>
      </c>
      <c r="C272" s="93" t="str">
        <f>'＠グループ、表示名'!I272</f>
        <v>VGA2_VGAP2</v>
      </c>
      <c r="D272" s="144" t="s">
        <v>2032</v>
      </c>
      <c r="E272" s="154" t="s">
        <v>2268</v>
      </c>
      <c r="F272" s="143" t="s">
        <v>2024</v>
      </c>
      <c r="G272" s="137" t="s">
        <v>2040</v>
      </c>
      <c r="H272" s="144" t="s">
        <v>2043</v>
      </c>
      <c r="I272" s="92" t="s">
        <v>2046</v>
      </c>
      <c r="J272" s="137" t="str">
        <f t="shared" si="4"/>
        <v>A</v>
      </c>
    </row>
    <row r="273" spans="2:10" ht="15.75" customHeight="1">
      <c r="B273" s="98" t="str">
        <f>'＠グループ、表示名'!H273</f>
        <v>VGA2</v>
      </c>
      <c r="C273" s="93" t="str">
        <f>'＠グループ、表示名'!I273</f>
        <v>VGA2_VGAN2</v>
      </c>
      <c r="D273" s="144" t="s">
        <v>2031</v>
      </c>
      <c r="E273" s="154" t="s">
        <v>2268</v>
      </c>
      <c r="F273" s="143" t="s">
        <v>2024</v>
      </c>
      <c r="G273" s="137" t="s">
        <v>2038</v>
      </c>
      <c r="H273" s="144" t="s">
        <v>2041</v>
      </c>
      <c r="I273" s="92" t="s">
        <v>2044</v>
      </c>
      <c r="J273" s="137" t="str">
        <f t="shared" si="4"/>
        <v>A</v>
      </c>
    </row>
    <row r="274" spans="2:10" ht="27" customHeight="1">
      <c r="B274" s="98" t="str">
        <f>'＠グループ、表示名'!H274</f>
        <v>CMP0</v>
      </c>
      <c r="C274" s="93" t="str">
        <f>'＠グループ、表示名'!I274</f>
        <v>CMP0_CMPIN0</v>
      </c>
      <c r="D274" s="157" t="s">
        <v>2269</v>
      </c>
      <c r="E274" s="156" t="s">
        <v>2271</v>
      </c>
      <c r="F274" s="143" t="s">
        <v>2024</v>
      </c>
      <c r="G274" s="137" t="s">
        <v>2047</v>
      </c>
      <c r="H274" s="148" t="s">
        <v>2120</v>
      </c>
      <c r="I274" s="143" t="s">
        <v>2052</v>
      </c>
      <c r="J274" s="137" t="str">
        <f t="shared" si="4"/>
        <v>A</v>
      </c>
    </row>
    <row r="275" spans="2:10" ht="27" customHeight="1">
      <c r="B275" s="98" t="str">
        <f>'＠グループ、表示名'!H275</f>
        <v>CMP1</v>
      </c>
      <c r="C275" s="93" t="str">
        <f>'＠グループ、表示名'!I275</f>
        <v>CMP1_CMPIN1</v>
      </c>
      <c r="D275" s="157" t="s">
        <v>2269</v>
      </c>
      <c r="E275" s="156" t="s">
        <v>2271</v>
      </c>
      <c r="F275" s="143" t="s">
        <v>2024</v>
      </c>
      <c r="G275" s="137" t="s">
        <v>2048</v>
      </c>
      <c r="H275" s="94" t="s">
        <v>2042</v>
      </c>
      <c r="I275" s="143" t="s">
        <v>2052</v>
      </c>
      <c r="J275" s="137" t="str">
        <f t="shared" si="4"/>
        <v>A</v>
      </c>
    </row>
    <row r="276" spans="2:10" ht="27" customHeight="1">
      <c r="B276" s="98" t="str">
        <f>'＠グループ、表示名'!H276</f>
        <v>CMP2</v>
      </c>
      <c r="C276" s="93" t="str">
        <f>'＠グループ、表示名'!I276</f>
        <v>CMP2_CMPIN2</v>
      </c>
      <c r="D276" s="157" t="s">
        <v>2269</v>
      </c>
      <c r="E276" s="156" t="s">
        <v>2271</v>
      </c>
      <c r="F276" s="143" t="s">
        <v>2024</v>
      </c>
      <c r="G276" s="137" t="s">
        <v>2049</v>
      </c>
      <c r="H276" s="94" t="s">
        <v>2042</v>
      </c>
      <c r="I276" s="143" t="s">
        <v>2052</v>
      </c>
      <c r="J276" s="137" t="str">
        <f t="shared" si="4"/>
        <v>A</v>
      </c>
    </row>
    <row r="277" spans="2:10" ht="27" customHeight="1">
      <c r="B277" s="98" t="str">
        <f>'＠グループ、表示名'!H277</f>
        <v>CMP3</v>
      </c>
      <c r="C277" s="93" t="str">
        <f>'＠グループ、表示名'!I277</f>
        <v>CMP3_CMPIN3</v>
      </c>
      <c r="D277" s="157" t="s">
        <v>2269</v>
      </c>
      <c r="E277" s="156" t="s">
        <v>2271</v>
      </c>
      <c r="F277" s="143" t="s">
        <v>2024</v>
      </c>
      <c r="G277" s="137" t="s">
        <v>2050</v>
      </c>
      <c r="H277" s="94" t="s">
        <v>2042</v>
      </c>
      <c r="I277" s="143" t="s">
        <v>2052</v>
      </c>
      <c r="J277" s="137" t="str">
        <f t="shared" si="4"/>
        <v>A</v>
      </c>
    </row>
    <row r="278" spans="2:10" ht="27" customHeight="1">
      <c r="B278" s="98" t="str">
        <f>'＠グループ、表示名'!H278</f>
        <v>CMP4</v>
      </c>
      <c r="C278" s="93" t="str">
        <f>'＠グループ、表示名'!I278</f>
        <v>CMP4_CMPIN4</v>
      </c>
      <c r="D278" s="157" t="s">
        <v>2269</v>
      </c>
      <c r="E278" s="156" t="s">
        <v>2271</v>
      </c>
      <c r="F278" s="143" t="s">
        <v>2024</v>
      </c>
      <c r="G278" s="137" t="s">
        <v>2051</v>
      </c>
      <c r="H278" s="94" t="s">
        <v>2042</v>
      </c>
      <c r="I278" s="143" t="s">
        <v>2052</v>
      </c>
      <c r="J278" s="137" t="str">
        <f t="shared" si="4"/>
        <v>A</v>
      </c>
    </row>
    <row r="279" spans="2:10" ht="27" customHeight="1">
      <c r="B279" s="98" t="str">
        <f>'＠グループ、表示名'!H279</f>
        <v>CMP0</v>
      </c>
      <c r="C279" s="93" t="str">
        <f>'＠グループ、表示名'!I279</f>
        <v>CMP0_CMPOT00</v>
      </c>
      <c r="D279" s="157" t="s">
        <v>2270</v>
      </c>
      <c r="E279" s="156" t="s">
        <v>2271</v>
      </c>
      <c r="F279" s="143" t="s">
        <v>2024</v>
      </c>
      <c r="G279" s="138" t="s">
        <v>2086</v>
      </c>
      <c r="H279" s="144" t="s">
        <v>2096</v>
      </c>
      <c r="I279" s="149" t="s">
        <v>2097</v>
      </c>
      <c r="J279" s="137" t="str">
        <f t="shared" si="4"/>
        <v>A</v>
      </c>
    </row>
    <row r="280" spans="2:10" ht="27" customHeight="1">
      <c r="B280" s="98" t="str">
        <f>'＠グループ、表示名'!H280</f>
        <v>CMP0</v>
      </c>
      <c r="C280" s="93" t="str">
        <f>'＠グループ、表示名'!I280</f>
        <v>CMP0_CMPOT01</v>
      </c>
      <c r="D280" s="157" t="s">
        <v>2270</v>
      </c>
      <c r="E280" s="156" t="s">
        <v>2271</v>
      </c>
      <c r="F280" s="143" t="s">
        <v>2024</v>
      </c>
      <c r="G280" s="138" t="s">
        <v>2087</v>
      </c>
      <c r="H280" s="144" t="s">
        <v>2096</v>
      </c>
      <c r="I280" s="149" t="s">
        <v>2097</v>
      </c>
      <c r="J280" s="137" t="str">
        <f t="shared" si="4"/>
        <v>A</v>
      </c>
    </row>
    <row r="281" spans="2:10" ht="27" customHeight="1">
      <c r="B281" s="98" t="str">
        <f>'＠グループ、表示名'!H281</f>
        <v>CMP1</v>
      </c>
      <c r="C281" s="93" t="str">
        <f>'＠グループ、表示名'!I281</f>
        <v>CMP1_CMPOT10</v>
      </c>
      <c r="D281" s="157" t="s">
        <v>2270</v>
      </c>
      <c r="E281" s="156" t="s">
        <v>2271</v>
      </c>
      <c r="F281" s="143" t="s">
        <v>2024</v>
      </c>
      <c r="G281" s="138" t="s">
        <v>2088</v>
      </c>
      <c r="H281" s="144" t="s">
        <v>2096</v>
      </c>
      <c r="I281" s="149" t="s">
        <v>2097</v>
      </c>
      <c r="J281" s="137" t="str">
        <f t="shared" si="4"/>
        <v>A</v>
      </c>
    </row>
    <row r="282" spans="2:10" ht="27" customHeight="1">
      <c r="B282" s="98" t="str">
        <f>'＠グループ、表示名'!H282</f>
        <v>CMP1</v>
      </c>
      <c r="C282" s="93" t="str">
        <f>'＠グループ、表示名'!I282</f>
        <v>CMP1_CMPOT11</v>
      </c>
      <c r="D282" s="157" t="s">
        <v>2270</v>
      </c>
      <c r="E282" s="156" t="s">
        <v>2271</v>
      </c>
      <c r="F282" s="143" t="s">
        <v>2024</v>
      </c>
      <c r="G282" s="138" t="s">
        <v>2089</v>
      </c>
      <c r="H282" s="144" t="s">
        <v>2096</v>
      </c>
      <c r="I282" s="149" t="s">
        <v>2097</v>
      </c>
      <c r="J282" s="137" t="str">
        <f t="shared" si="4"/>
        <v>A</v>
      </c>
    </row>
    <row r="283" spans="2:10" ht="27" customHeight="1">
      <c r="B283" s="98" t="str">
        <f>'＠グループ、表示名'!H283</f>
        <v>CMP2</v>
      </c>
      <c r="C283" s="93" t="str">
        <f>'＠グループ、表示名'!I283</f>
        <v>CMP2_CMPOT20</v>
      </c>
      <c r="D283" s="157" t="s">
        <v>2270</v>
      </c>
      <c r="E283" s="156" t="s">
        <v>2271</v>
      </c>
      <c r="F283" s="143" t="s">
        <v>2024</v>
      </c>
      <c r="G283" s="138" t="s">
        <v>2090</v>
      </c>
      <c r="H283" s="144" t="s">
        <v>2096</v>
      </c>
      <c r="I283" s="149" t="s">
        <v>2097</v>
      </c>
      <c r="J283" s="137" t="str">
        <f t="shared" si="4"/>
        <v>A</v>
      </c>
    </row>
    <row r="284" spans="2:10" ht="27" customHeight="1">
      <c r="B284" s="98" t="str">
        <f>'＠グループ、表示名'!H284</f>
        <v>CMP2</v>
      </c>
      <c r="C284" s="93" t="str">
        <f>'＠グループ、表示名'!I284</f>
        <v>CMP2_CMPOT21</v>
      </c>
      <c r="D284" s="157" t="s">
        <v>2270</v>
      </c>
      <c r="E284" s="156" t="s">
        <v>2271</v>
      </c>
      <c r="F284" s="143" t="s">
        <v>2024</v>
      </c>
      <c r="G284" s="138" t="s">
        <v>2091</v>
      </c>
      <c r="H284" s="144" t="s">
        <v>2096</v>
      </c>
      <c r="I284" s="149" t="s">
        <v>2097</v>
      </c>
      <c r="J284" s="137" t="str">
        <f t="shared" si="4"/>
        <v>A</v>
      </c>
    </row>
    <row r="285" spans="2:10" ht="27" customHeight="1">
      <c r="B285" s="98" t="str">
        <f>'＠グループ、表示名'!H285</f>
        <v>CMP3</v>
      </c>
      <c r="C285" s="93" t="str">
        <f>'＠グループ、表示名'!I285</f>
        <v>CMP3_CMPOT30</v>
      </c>
      <c r="D285" s="157" t="s">
        <v>2270</v>
      </c>
      <c r="E285" s="156" t="s">
        <v>2271</v>
      </c>
      <c r="F285" s="143" t="s">
        <v>2024</v>
      </c>
      <c r="G285" s="138" t="s">
        <v>2092</v>
      </c>
      <c r="H285" s="144" t="s">
        <v>2096</v>
      </c>
      <c r="I285" s="149" t="s">
        <v>2097</v>
      </c>
      <c r="J285" s="137" t="str">
        <f t="shared" si="4"/>
        <v>A</v>
      </c>
    </row>
    <row r="286" spans="2:10" ht="27" customHeight="1">
      <c r="B286" s="98" t="str">
        <f>'＠グループ、表示名'!H286</f>
        <v>CMP3</v>
      </c>
      <c r="C286" s="93" t="str">
        <f>'＠グループ、表示名'!I286</f>
        <v>CMP3_CMPOT31</v>
      </c>
      <c r="D286" s="157" t="s">
        <v>2270</v>
      </c>
      <c r="E286" s="156" t="s">
        <v>2271</v>
      </c>
      <c r="F286" s="143" t="s">
        <v>2024</v>
      </c>
      <c r="G286" s="138" t="s">
        <v>2093</v>
      </c>
      <c r="H286" s="144" t="s">
        <v>2096</v>
      </c>
      <c r="I286" s="149" t="s">
        <v>2097</v>
      </c>
      <c r="J286" s="137" t="str">
        <f t="shared" si="4"/>
        <v>A</v>
      </c>
    </row>
    <row r="287" spans="2:10" ht="27" customHeight="1">
      <c r="B287" s="98" t="str">
        <f>'＠グループ、表示名'!H287</f>
        <v>CMP4</v>
      </c>
      <c r="C287" s="93" t="str">
        <f>'＠グループ、表示名'!I287</f>
        <v>CMP4_CMPOT40</v>
      </c>
      <c r="D287" s="157" t="s">
        <v>2270</v>
      </c>
      <c r="E287" s="156" t="s">
        <v>2271</v>
      </c>
      <c r="F287" s="143" t="s">
        <v>2024</v>
      </c>
      <c r="G287" s="138" t="s">
        <v>2094</v>
      </c>
      <c r="H287" s="144" t="s">
        <v>2096</v>
      </c>
      <c r="I287" s="149" t="s">
        <v>2097</v>
      </c>
      <c r="J287" s="137" t="str">
        <f t="shared" si="4"/>
        <v>A</v>
      </c>
    </row>
    <row r="288" spans="2:10" ht="27" customHeight="1">
      <c r="B288" s="98" t="str">
        <f>'＠グループ、表示名'!H288</f>
        <v>CMP4</v>
      </c>
      <c r="C288" s="93" t="str">
        <f>'＠グループ、表示名'!I288</f>
        <v>CMP4_CMPOT41</v>
      </c>
      <c r="D288" s="157" t="s">
        <v>2270</v>
      </c>
      <c r="E288" s="156" t="s">
        <v>2271</v>
      </c>
      <c r="F288" s="143" t="s">
        <v>2024</v>
      </c>
      <c r="G288" s="138" t="s">
        <v>2095</v>
      </c>
      <c r="H288" s="144" t="s">
        <v>2096</v>
      </c>
      <c r="I288" s="149" t="s">
        <v>2097</v>
      </c>
      <c r="J288" s="137" t="str">
        <f t="shared" si="4"/>
        <v>A</v>
      </c>
    </row>
    <row r="289" spans="2:10" ht="15.75" customHeight="1">
      <c r="B289" s="98" t="str">
        <f>'＠グループ、表示名'!H289</f>
        <v>DAC</v>
      </c>
      <c r="C289" s="93" t="str">
        <f>'＠グループ、表示名'!I289</f>
        <v>DAC_DAOT0</v>
      </c>
      <c r="D289" s="148" t="s">
        <v>2099</v>
      </c>
      <c r="E289" s="152" t="s">
        <v>2272</v>
      </c>
      <c r="F289" s="143" t="s">
        <v>2024</v>
      </c>
      <c r="G289" s="137" t="s">
        <v>2100</v>
      </c>
      <c r="H289" s="144" t="s">
        <v>2102</v>
      </c>
      <c r="I289" s="143" t="s">
        <v>2103</v>
      </c>
      <c r="J289" s="137" t="str">
        <f t="shared" si="4"/>
        <v>A</v>
      </c>
    </row>
    <row r="290" spans="2:10" ht="15.75" customHeight="1">
      <c r="B290" s="98" t="str">
        <f>'＠グループ、表示名'!H290</f>
        <v>DAC</v>
      </c>
      <c r="C290" s="93" t="str">
        <f>'＠グループ、表示名'!I290</f>
        <v>DAC_DAOT1</v>
      </c>
      <c r="D290" s="144" t="s">
        <v>2099</v>
      </c>
      <c r="E290" s="152" t="s">
        <v>2272</v>
      </c>
      <c r="F290" s="143" t="s">
        <v>2024</v>
      </c>
      <c r="G290" s="137" t="s">
        <v>2101</v>
      </c>
      <c r="H290" s="144" t="s">
        <v>2102</v>
      </c>
      <c r="I290" s="143" t="s">
        <v>2103</v>
      </c>
      <c r="J290" s="137" t="str">
        <f t="shared" si="4"/>
        <v>A</v>
      </c>
    </row>
    <row r="291" spans="2:10" ht="15.75" customHeight="1">
      <c r="B291" s="98" t="str">
        <f>'＠グループ、表示名'!H291</f>
        <v>P0</v>
      </c>
      <c r="C291" s="109" t="str">
        <f>'＠グループ、表示名'!I291</f>
        <v>P0.0</v>
      </c>
      <c r="D291" s="163" t="s">
        <v>2238</v>
      </c>
      <c r="E291" s="165" t="s">
        <v>2237</v>
      </c>
      <c r="F291" s="146" t="s">
        <v>2004</v>
      </c>
      <c r="G291" s="109" t="s">
        <v>2236</v>
      </c>
      <c r="H291" s="145" t="s">
        <v>2104</v>
      </c>
      <c r="I291" s="96" t="s">
        <v>2236</v>
      </c>
      <c r="J291" s="109" t="str">
        <f t="shared" si="4"/>
        <v>I/O</v>
      </c>
    </row>
    <row r="292" spans="2:10" ht="15.75" customHeight="1">
      <c r="B292" s="98" t="str">
        <f>'＠グループ、表示名'!H292</f>
        <v>P0</v>
      </c>
      <c r="C292" s="109" t="str">
        <f>'＠グループ、表示名'!I292</f>
        <v>P0.1</v>
      </c>
      <c r="D292" s="163" t="s">
        <v>2238</v>
      </c>
      <c r="E292" s="165" t="s">
        <v>2237</v>
      </c>
      <c r="F292" s="146" t="s">
        <v>2004</v>
      </c>
      <c r="G292" s="109" t="s">
        <v>2236</v>
      </c>
      <c r="H292" s="145" t="s">
        <v>2104</v>
      </c>
      <c r="I292" s="96" t="s">
        <v>2236</v>
      </c>
      <c r="J292" s="109" t="str">
        <f t="shared" si="4"/>
        <v>I/O</v>
      </c>
    </row>
    <row r="293" spans="2:10" ht="15.75" customHeight="1">
      <c r="B293" s="98" t="str">
        <f>'＠グループ、表示名'!H293</f>
        <v>P0</v>
      </c>
      <c r="C293" s="109" t="str">
        <f>'＠グループ、表示名'!I293</f>
        <v>P0.2</v>
      </c>
      <c r="D293" s="163" t="s">
        <v>2238</v>
      </c>
      <c r="E293" s="165" t="s">
        <v>2237</v>
      </c>
      <c r="F293" s="146" t="s">
        <v>2004</v>
      </c>
      <c r="G293" s="109" t="s">
        <v>2236</v>
      </c>
      <c r="H293" s="145" t="s">
        <v>2104</v>
      </c>
      <c r="I293" s="96" t="s">
        <v>2236</v>
      </c>
      <c r="J293" s="109" t="str">
        <f t="shared" si="4"/>
        <v>I/O</v>
      </c>
    </row>
    <row r="294" spans="2:10" ht="15.75" customHeight="1">
      <c r="B294" s="98" t="str">
        <f>'＠グループ、表示名'!H294</f>
        <v>P0</v>
      </c>
      <c r="C294" s="109" t="str">
        <f>'＠グループ、表示名'!I294</f>
        <v>P0.3</v>
      </c>
      <c r="D294" s="163" t="s">
        <v>2238</v>
      </c>
      <c r="E294" s="165" t="s">
        <v>2237</v>
      </c>
      <c r="F294" s="146" t="s">
        <v>2004</v>
      </c>
      <c r="G294" s="109" t="s">
        <v>2236</v>
      </c>
      <c r="H294" s="145" t="s">
        <v>2104</v>
      </c>
      <c r="I294" s="96" t="s">
        <v>2236</v>
      </c>
      <c r="J294" s="109" t="str">
        <f t="shared" si="4"/>
        <v>I/O</v>
      </c>
    </row>
    <row r="295" spans="2:10" ht="15.75" customHeight="1">
      <c r="B295" s="98" t="str">
        <f>'＠グループ、表示名'!H295</f>
        <v>P0</v>
      </c>
      <c r="C295" s="109" t="str">
        <f>'＠グループ、表示名'!I295</f>
        <v>P0.4</v>
      </c>
      <c r="D295" s="163" t="s">
        <v>2238</v>
      </c>
      <c r="E295" s="165" t="s">
        <v>2237</v>
      </c>
      <c r="F295" s="146" t="s">
        <v>2004</v>
      </c>
      <c r="G295" s="109" t="s">
        <v>2236</v>
      </c>
      <c r="H295" s="145" t="s">
        <v>2104</v>
      </c>
      <c r="I295" s="96" t="s">
        <v>2236</v>
      </c>
      <c r="J295" s="109" t="str">
        <f t="shared" si="4"/>
        <v>I/O</v>
      </c>
    </row>
    <row r="296" spans="2:10" ht="15.75" customHeight="1">
      <c r="B296" s="98" t="str">
        <f>'＠グループ、表示名'!H296</f>
        <v>P0</v>
      </c>
      <c r="C296" s="109" t="str">
        <f>'＠グループ、表示名'!I296</f>
        <v>P0.5</v>
      </c>
      <c r="D296" s="163" t="s">
        <v>2238</v>
      </c>
      <c r="E296" s="165" t="s">
        <v>2237</v>
      </c>
      <c r="F296" s="146" t="s">
        <v>2004</v>
      </c>
      <c r="G296" s="109" t="s">
        <v>2236</v>
      </c>
      <c r="H296" s="145" t="s">
        <v>2104</v>
      </c>
      <c r="I296" s="96" t="s">
        <v>2236</v>
      </c>
      <c r="J296" s="109" t="str">
        <f t="shared" si="4"/>
        <v>I/O</v>
      </c>
    </row>
    <row r="297" spans="2:10" ht="15.75" customHeight="1">
      <c r="B297" s="98" t="str">
        <f>'＠グループ、表示名'!H297</f>
        <v>P0</v>
      </c>
      <c r="C297" s="109" t="str">
        <f>'＠グループ、表示名'!I297</f>
        <v>P0.6</v>
      </c>
      <c r="D297" s="163" t="s">
        <v>2238</v>
      </c>
      <c r="E297" s="165" t="s">
        <v>2237</v>
      </c>
      <c r="F297" s="146" t="s">
        <v>2004</v>
      </c>
      <c r="G297" s="109" t="s">
        <v>2236</v>
      </c>
      <c r="H297" s="145" t="s">
        <v>2104</v>
      </c>
      <c r="I297" s="96" t="s">
        <v>2236</v>
      </c>
      <c r="J297" s="109" t="str">
        <f t="shared" si="4"/>
        <v>I/O</v>
      </c>
    </row>
    <row r="298" spans="2:10" ht="15.75" customHeight="1">
      <c r="B298" s="98" t="str">
        <f>'＠グループ、表示名'!H298</f>
        <v>P0</v>
      </c>
      <c r="C298" s="109" t="str">
        <f>'＠グループ、表示名'!I298</f>
        <v>P0.7</v>
      </c>
      <c r="D298" s="163" t="s">
        <v>2238</v>
      </c>
      <c r="E298" s="165" t="s">
        <v>2237</v>
      </c>
      <c r="F298" s="146" t="s">
        <v>2004</v>
      </c>
      <c r="G298" s="109" t="s">
        <v>2236</v>
      </c>
      <c r="H298" s="145" t="s">
        <v>2104</v>
      </c>
      <c r="I298" s="96" t="s">
        <v>2236</v>
      </c>
      <c r="J298" s="109" t="s">
        <v>2003</v>
      </c>
    </row>
    <row r="299" spans="2:10" ht="15.75" customHeight="1">
      <c r="B299" s="98" t="str">
        <f>'＠グループ、表示名'!H299</f>
        <v>P1</v>
      </c>
      <c r="C299" s="109" t="str">
        <f>'＠グループ、表示名'!I299</f>
        <v>P1.0</v>
      </c>
      <c r="D299" s="163" t="s">
        <v>2238</v>
      </c>
      <c r="E299" s="165" t="s">
        <v>2237</v>
      </c>
      <c r="F299" s="146" t="s">
        <v>2004</v>
      </c>
      <c r="G299" s="109" t="s">
        <v>2236</v>
      </c>
      <c r="H299" s="98" t="s">
        <v>2105</v>
      </c>
      <c r="I299" s="96" t="s">
        <v>2236</v>
      </c>
      <c r="J299" s="109" t="s">
        <v>2003</v>
      </c>
    </row>
    <row r="300" spans="2:10" ht="15.75" customHeight="1">
      <c r="B300" s="98" t="str">
        <f>'＠グループ、表示名'!H300</f>
        <v>P1</v>
      </c>
      <c r="C300" s="109" t="str">
        <f>'＠グループ、表示名'!I300</f>
        <v>P1.1</v>
      </c>
      <c r="D300" s="163" t="s">
        <v>2238</v>
      </c>
      <c r="E300" s="165" t="s">
        <v>2237</v>
      </c>
      <c r="F300" s="146" t="s">
        <v>2004</v>
      </c>
      <c r="G300" s="109" t="s">
        <v>2236</v>
      </c>
      <c r="H300" s="98" t="s">
        <v>2105</v>
      </c>
      <c r="I300" s="96" t="s">
        <v>2236</v>
      </c>
      <c r="J300" s="109" t="s">
        <v>2003</v>
      </c>
    </row>
    <row r="301" spans="2:10" ht="15.75" customHeight="1">
      <c r="B301" s="98" t="str">
        <f>'＠グループ、表示名'!H301</f>
        <v>P1</v>
      </c>
      <c r="C301" s="109" t="str">
        <f>'＠グループ、表示名'!I301</f>
        <v>P1.2</v>
      </c>
      <c r="D301" s="163" t="s">
        <v>2238</v>
      </c>
      <c r="E301" s="165" t="s">
        <v>2237</v>
      </c>
      <c r="F301" s="146" t="s">
        <v>2004</v>
      </c>
      <c r="G301" s="109" t="s">
        <v>2236</v>
      </c>
      <c r="H301" s="98" t="s">
        <v>2105</v>
      </c>
      <c r="I301" s="96" t="s">
        <v>2236</v>
      </c>
      <c r="J301" s="109" t="s">
        <v>2003</v>
      </c>
    </row>
    <row r="302" spans="2:10" ht="15.75" customHeight="1">
      <c r="B302" s="98" t="str">
        <f>'＠グループ、表示名'!H302</f>
        <v>P1</v>
      </c>
      <c r="C302" s="109" t="str">
        <f>'＠グループ、表示名'!I302</f>
        <v>P1.3</v>
      </c>
      <c r="D302" s="163" t="s">
        <v>2238</v>
      </c>
      <c r="E302" s="165" t="s">
        <v>2237</v>
      </c>
      <c r="F302" s="146" t="s">
        <v>2004</v>
      </c>
      <c r="G302" s="109" t="s">
        <v>2236</v>
      </c>
      <c r="H302" s="98" t="s">
        <v>2105</v>
      </c>
      <c r="I302" s="96" t="s">
        <v>2236</v>
      </c>
      <c r="J302" s="109" t="s">
        <v>2003</v>
      </c>
    </row>
    <row r="303" spans="2:10" ht="15.75" customHeight="1">
      <c r="B303" s="98" t="str">
        <f>'＠グループ、表示名'!H303</f>
        <v>P1</v>
      </c>
      <c r="C303" s="109" t="str">
        <f>'＠グループ、表示名'!I303</f>
        <v>P1.4</v>
      </c>
      <c r="D303" s="163" t="s">
        <v>2238</v>
      </c>
      <c r="E303" s="165" t="s">
        <v>2237</v>
      </c>
      <c r="F303" s="146" t="s">
        <v>2004</v>
      </c>
      <c r="G303" s="109" t="s">
        <v>2236</v>
      </c>
      <c r="H303" s="98" t="s">
        <v>2105</v>
      </c>
      <c r="I303" s="96" t="s">
        <v>2236</v>
      </c>
      <c r="J303" s="109" t="s">
        <v>2003</v>
      </c>
    </row>
    <row r="304" spans="2:10" ht="15.75" customHeight="1">
      <c r="B304" s="98" t="str">
        <f>'＠グループ、表示名'!H304</f>
        <v>P1</v>
      </c>
      <c r="C304" s="109" t="str">
        <f>'＠グループ、表示名'!I304</f>
        <v>P1.5</v>
      </c>
      <c r="D304" s="163" t="s">
        <v>2238</v>
      </c>
      <c r="E304" s="165" t="s">
        <v>2237</v>
      </c>
      <c r="F304" s="146" t="s">
        <v>2004</v>
      </c>
      <c r="G304" s="109" t="s">
        <v>2236</v>
      </c>
      <c r="H304" s="98" t="s">
        <v>2105</v>
      </c>
      <c r="I304" s="96" t="s">
        <v>2236</v>
      </c>
      <c r="J304" s="109" t="s">
        <v>2003</v>
      </c>
    </row>
    <row r="305" spans="2:10" ht="15.75" customHeight="1">
      <c r="B305" s="98" t="str">
        <f>'＠グループ、表示名'!H305</f>
        <v>P1</v>
      </c>
      <c r="C305" s="109" t="str">
        <f>'＠グループ、表示名'!I305</f>
        <v>P1.6</v>
      </c>
      <c r="D305" s="163" t="s">
        <v>2238</v>
      </c>
      <c r="E305" s="165" t="s">
        <v>2237</v>
      </c>
      <c r="F305" s="146" t="s">
        <v>2004</v>
      </c>
      <c r="G305" s="109" t="s">
        <v>2236</v>
      </c>
      <c r="H305" s="98" t="s">
        <v>2105</v>
      </c>
      <c r="I305" s="96" t="s">
        <v>2236</v>
      </c>
      <c r="J305" s="109" t="s">
        <v>2003</v>
      </c>
    </row>
    <row r="306" spans="2:10" ht="15.75" customHeight="1">
      <c r="B306" s="98" t="str">
        <f>'＠グループ、表示名'!H306</f>
        <v>P1</v>
      </c>
      <c r="C306" s="109" t="str">
        <f>'＠グループ、表示名'!I306</f>
        <v>P1.7</v>
      </c>
      <c r="D306" s="163" t="s">
        <v>2238</v>
      </c>
      <c r="E306" s="165" t="s">
        <v>2237</v>
      </c>
      <c r="F306" s="146" t="s">
        <v>2004</v>
      </c>
      <c r="G306" s="109" t="s">
        <v>2236</v>
      </c>
      <c r="H306" s="98" t="s">
        <v>2105</v>
      </c>
      <c r="I306" s="96" t="s">
        <v>2236</v>
      </c>
      <c r="J306" s="109" t="s">
        <v>2003</v>
      </c>
    </row>
    <row r="307" spans="2:10" ht="15.75" customHeight="1">
      <c r="B307" s="98" t="str">
        <f>'＠グループ、表示名'!H307</f>
        <v>P2</v>
      </c>
      <c r="C307" s="109" t="str">
        <f>'＠グループ、表示名'!I307</f>
        <v>P2.0</v>
      </c>
      <c r="D307" s="163" t="s">
        <v>2238</v>
      </c>
      <c r="E307" s="165" t="s">
        <v>2237</v>
      </c>
      <c r="F307" s="146" t="s">
        <v>2004</v>
      </c>
      <c r="G307" s="109" t="s">
        <v>2236</v>
      </c>
      <c r="H307" s="98" t="s">
        <v>2106</v>
      </c>
      <c r="I307" s="96" t="s">
        <v>2236</v>
      </c>
      <c r="J307" s="109" t="s">
        <v>2003</v>
      </c>
    </row>
    <row r="308" spans="2:10" ht="15.75" customHeight="1">
      <c r="B308" s="98" t="str">
        <f>'＠グループ、表示名'!H308</f>
        <v>P2</v>
      </c>
      <c r="C308" s="109" t="str">
        <f>'＠グループ、表示名'!I308</f>
        <v>P2.1</v>
      </c>
      <c r="D308" s="163" t="s">
        <v>2238</v>
      </c>
      <c r="E308" s="165" t="s">
        <v>2237</v>
      </c>
      <c r="F308" s="146" t="s">
        <v>2004</v>
      </c>
      <c r="G308" s="109" t="s">
        <v>2236</v>
      </c>
      <c r="H308" s="98" t="s">
        <v>2106</v>
      </c>
      <c r="I308" s="96" t="s">
        <v>2236</v>
      </c>
      <c r="J308" s="109" t="s">
        <v>2003</v>
      </c>
    </row>
    <row r="309" spans="2:10" ht="15.75" customHeight="1">
      <c r="B309" s="98" t="str">
        <f>'＠グループ、表示名'!H309</f>
        <v>P2</v>
      </c>
      <c r="C309" s="109" t="str">
        <f>'＠グループ、表示名'!I309</f>
        <v>P2.2</v>
      </c>
      <c r="D309" s="163" t="s">
        <v>2238</v>
      </c>
      <c r="E309" s="165" t="s">
        <v>2237</v>
      </c>
      <c r="F309" s="146" t="s">
        <v>2004</v>
      </c>
      <c r="G309" s="109" t="s">
        <v>2236</v>
      </c>
      <c r="H309" s="98" t="s">
        <v>2106</v>
      </c>
      <c r="I309" s="96" t="s">
        <v>2236</v>
      </c>
      <c r="J309" s="109" t="s">
        <v>2003</v>
      </c>
    </row>
    <row r="310" spans="2:10" ht="15.75" customHeight="1">
      <c r="B310" s="98" t="str">
        <f>'＠グループ、表示名'!H310</f>
        <v>P2</v>
      </c>
      <c r="C310" s="109" t="str">
        <f>'＠グループ、表示名'!I310</f>
        <v>P2.4</v>
      </c>
      <c r="D310" s="163" t="s">
        <v>2238</v>
      </c>
      <c r="E310" s="165" t="s">
        <v>2237</v>
      </c>
      <c r="F310" s="146" t="s">
        <v>2004</v>
      </c>
      <c r="G310" s="109" t="s">
        <v>2236</v>
      </c>
      <c r="H310" s="98" t="s">
        <v>2106</v>
      </c>
      <c r="I310" s="96" t="s">
        <v>2236</v>
      </c>
      <c r="J310" s="109" t="s">
        <v>2003</v>
      </c>
    </row>
    <row r="311" spans="2:10" ht="15.75" customHeight="1">
      <c r="B311" s="98" t="str">
        <f>'＠グループ、表示名'!H311</f>
        <v>P2</v>
      </c>
      <c r="C311" s="109" t="str">
        <f>'＠グループ、表示名'!I311</f>
        <v>P2.5</v>
      </c>
      <c r="D311" s="163" t="s">
        <v>2238</v>
      </c>
      <c r="E311" s="165" t="s">
        <v>2237</v>
      </c>
      <c r="F311" s="146" t="s">
        <v>2004</v>
      </c>
      <c r="G311" s="109" t="s">
        <v>2236</v>
      </c>
      <c r="H311" s="98" t="s">
        <v>2106</v>
      </c>
      <c r="I311" s="96" t="s">
        <v>2236</v>
      </c>
      <c r="J311" s="109" t="s">
        <v>2003</v>
      </c>
    </row>
    <row r="312" spans="2:10" ht="15.75" customHeight="1">
      <c r="B312" s="98" t="str">
        <f>'＠グループ、表示名'!H312</f>
        <v>P2</v>
      </c>
      <c r="C312" s="109" t="str">
        <f>'＠グループ、表示名'!I312</f>
        <v>P2.6</v>
      </c>
      <c r="D312" s="163" t="s">
        <v>2238</v>
      </c>
      <c r="E312" s="165" t="s">
        <v>2237</v>
      </c>
      <c r="F312" s="146" t="s">
        <v>2004</v>
      </c>
      <c r="G312" s="109" t="s">
        <v>2236</v>
      </c>
      <c r="H312" s="98" t="s">
        <v>2106</v>
      </c>
      <c r="I312" s="96" t="s">
        <v>2236</v>
      </c>
      <c r="J312" s="109" t="s">
        <v>2003</v>
      </c>
    </row>
    <row r="313" spans="2:10" ht="15.75" customHeight="1">
      <c r="B313" s="98" t="str">
        <f>'＠グループ、表示名'!H313</f>
        <v>P2</v>
      </c>
      <c r="C313" s="109" t="str">
        <f>'＠グループ、表示名'!I313</f>
        <v>P2.7</v>
      </c>
      <c r="D313" s="163" t="s">
        <v>2238</v>
      </c>
      <c r="E313" s="165" t="s">
        <v>2237</v>
      </c>
      <c r="F313" s="146" t="s">
        <v>2004</v>
      </c>
      <c r="G313" s="109" t="s">
        <v>2236</v>
      </c>
      <c r="H313" s="98" t="s">
        <v>2106</v>
      </c>
      <c r="I313" s="96" t="s">
        <v>2236</v>
      </c>
      <c r="J313" s="109" t="s">
        <v>2003</v>
      </c>
    </row>
    <row r="314" spans="2:10" ht="15.75" customHeight="1">
      <c r="B314" s="98" t="str">
        <f>'＠グループ、表示名'!H314</f>
        <v>P3</v>
      </c>
      <c r="C314" s="109" t="str">
        <f>'＠グループ、表示名'!I314</f>
        <v>P3.0</v>
      </c>
      <c r="D314" s="163" t="s">
        <v>2238</v>
      </c>
      <c r="E314" s="165" t="s">
        <v>2237</v>
      </c>
      <c r="F314" s="146" t="s">
        <v>2004</v>
      </c>
      <c r="G314" s="109" t="s">
        <v>2236</v>
      </c>
      <c r="H314" s="98" t="s">
        <v>2107</v>
      </c>
      <c r="I314" s="96" t="s">
        <v>2236</v>
      </c>
      <c r="J314" s="109" t="s">
        <v>2003</v>
      </c>
    </row>
    <row r="315" spans="2:10" ht="15.75" customHeight="1">
      <c r="B315" s="98" t="str">
        <f>'＠グループ、表示名'!H315</f>
        <v>P3</v>
      </c>
      <c r="C315" s="109" t="str">
        <f>'＠グループ、表示名'!I315</f>
        <v>P3.1</v>
      </c>
      <c r="D315" s="163" t="s">
        <v>2238</v>
      </c>
      <c r="E315" s="165" t="s">
        <v>2237</v>
      </c>
      <c r="F315" s="146" t="s">
        <v>2004</v>
      </c>
      <c r="G315" s="109" t="s">
        <v>2236</v>
      </c>
      <c r="H315" s="98" t="s">
        <v>2107</v>
      </c>
      <c r="I315" s="96" t="s">
        <v>2236</v>
      </c>
      <c r="J315" s="109" t="s">
        <v>2003</v>
      </c>
    </row>
    <row r="316" spans="2:10" ht="15.75" customHeight="1">
      <c r="B316" s="98" t="str">
        <f>'＠グループ、表示名'!H316</f>
        <v>P3</v>
      </c>
      <c r="C316" s="109" t="str">
        <f>'＠グループ、表示名'!I316</f>
        <v>P3.2</v>
      </c>
      <c r="D316" s="163" t="s">
        <v>2238</v>
      </c>
      <c r="E316" s="165" t="s">
        <v>2237</v>
      </c>
      <c r="F316" s="146" t="s">
        <v>2004</v>
      </c>
      <c r="G316" s="109" t="s">
        <v>2236</v>
      </c>
      <c r="H316" s="98" t="s">
        <v>2107</v>
      </c>
      <c r="I316" s="96" t="s">
        <v>2236</v>
      </c>
      <c r="J316" s="109" t="s">
        <v>2003</v>
      </c>
    </row>
    <row r="317" spans="2:10" ht="15.75" customHeight="1">
      <c r="B317" s="98" t="str">
        <f>'＠グループ、表示名'!H317</f>
        <v>P3</v>
      </c>
      <c r="C317" s="109" t="str">
        <f>'＠グループ、表示名'!I317</f>
        <v>P3.4</v>
      </c>
      <c r="D317" s="163" t="s">
        <v>2238</v>
      </c>
      <c r="E317" s="165" t="s">
        <v>2237</v>
      </c>
      <c r="F317" s="146" t="s">
        <v>2004</v>
      </c>
      <c r="G317" s="109" t="s">
        <v>2236</v>
      </c>
      <c r="H317" s="98" t="s">
        <v>2107</v>
      </c>
      <c r="I317" s="96" t="s">
        <v>2236</v>
      </c>
      <c r="J317" s="109" t="s">
        <v>2003</v>
      </c>
    </row>
    <row r="318" spans="2:10" ht="15.75" customHeight="1">
      <c r="B318" s="98" t="str">
        <f>'＠グループ、表示名'!H318</f>
        <v>P3</v>
      </c>
      <c r="C318" s="109" t="str">
        <f>'＠グループ、表示名'!I318</f>
        <v>P3.5</v>
      </c>
      <c r="D318" s="163" t="s">
        <v>2238</v>
      </c>
      <c r="E318" s="165" t="s">
        <v>2237</v>
      </c>
      <c r="F318" s="146" t="s">
        <v>2004</v>
      </c>
      <c r="G318" s="109" t="s">
        <v>2236</v>
      </c>
      <c r="H318" s="98" t="s">
        <v>2107</v>
      </c>
      <c r="I318" s="96" t="s">
        <v>2236</v>
      </c>
      <c r="J318" s="109" t="s">
        <v>2003</v>
      </c>
    </row>
    <row r="319" spans="2:10" ht="15.75" customHeight="1">
      <c r="B319" s="98" t="str">
        <f>'＠グループ、表示名'!H319</f>
        <v>P3</v>
      </c>
      <c r="C319" s="109" t="str">
        <f>'＠グループ、表示名'!I319</f>
        <v>P3.6</v>
      </c>
      <c r="D319" s="163" t="s">
        <v>2238</v>
      </c>
      <c r="E319" s="165" t="s">
        <v>2237</v>
      </c>
      <c r="F319" s="146" t="s">
        <v>2004</v>
      </c>
      <c r="G319" s="109" t="s">
        <v>2236</v>
      </c>
      <c r="H319" s="98" t="s">
        <v>2107</v>
      </c>
      <c r="I319" s="96" t="s">
        <v>2236</v>
      </c>
      <c r="J319" s="109" t="s">
        <v>2003</v>
      </c>
    </row>
    <row r="320" spans="2:10" ht="15.75" customHeight="1">
      <c r="B320" s="98" t="str">
        <f>'＠グループ、表示名'!H320</f>
        <v>P4</v>
      </c>
      <c r="C320" s="109" t="str">
        <f>'＠グループ、表示名'!I320</f>
        <v>P4.0</v>
      </c>
      <c r="D320" s="163" t="s">
        <v>2238</v>
      </c>
      <c r="E320" s="165" t="s">
        <v>2237</v>
      </c>
      <c r="F320" s="146" t="s">
        <v>2004</v>
      </c>
      <c r="G320" s="109" t="s">
        <v>2236</v>
      </c>
      <c r="H320" s="98" t="s">
        <v>2108</v>
      </c>
      <c r="I320" s="96" t="s">
        <v>2236</v>
      </c>
      <c r="J320" s="109" t="s">
        <v>2003</v>
      </c>
    </row>
    <row r="321" spans="2:10" ht="15.75" customHeight="1">
      <c r="B321" s="98" t="str">
        <f>'＠グループ、表示名'!H321</f>
        <v>P4</v>
      </c>
      <c r="C321" s="109" t="str">
        <f>'＠グループ、表示名'!I321</f>
        <v>P4.1</v>
      </c>
      <c r="D321" s="163" t="s">
        <v>2238</v>
      </c>
      <c r="E321" s="165" t="s">
        <v>2237</v>
      </c>
      <c r="F321" s="146" t="s">
        <v>2004</v>
      </c>
      <c r="G321" s="109" t="s">
        <v>2236</v>
      </c>
      <c r="H321" s="98" t="s">
        <v>2108</v>
      </c>
      <c r="I321" s="96" t="s">
        <v>2236</v>
      </c>
      <c r="J321" s="109" t="s">
        <v>2003</v>
      </c>
    </row>
    <row r="322" spans="2:10" ht="15.75" customHeight="1">
      <c r="B322" s="98" t="str">
        <f>'＠グループ、表示名'!H322</f>
        <v>P4</v>
      </c>
      <c r="C322" s="109" t="str">
        <f>'＠グループ、表示名'!I322</f>
        <v>P4.2</v>
      </c>
      <c r="D322" s="163" t="s">
        <v>2238</v>
      </c>
      <c r="E322" s="165" t="s">
        <v>2237</v>
      </c>
      <c r="F322" s="146" t="s">
        <v>2004</v>
      </c>
      <c r="G322" s="109" t="s">
        <v>2236</v>
      </c>
      <c r="H322" s="98" t="s">
        <v>2108</v>
      </c>
      <c r="I322" s="96" t="s">
        <v>2236</v>
      </c>
      <c r="J322" s="109" t="s">
        <v>2003</v>
      </c>
    </row>
    <row r="323" spans="2:10" ht="15.75" customHeight="1">
      <c r="B323" s="98" t="str">
        <f>'＠グループ、表示名'!H323</f>
        <v>P4</v>
      </c>
      <c r="C323" s="109" t="str">
        <f>'＠グループ、表示名'!I323</f>
        <v>P4.4</v>
      </c>
      <c r="D323" s="163" t="s">
        <v>2238</v>
      </c>
      <c r="E323" s="165" t="s">
        <v>2237</v>
      </c>
      <c r="F323" s="146" t="s">
        <v>2004</v>
      </c>
      <c r="G323" s="109" t="s">
        <v>2236</v>
      </c>
      <c r="H323" s="98" t="s">
        <v>2108</v>
      </c>
      <c r="I323" s="96" t="s">
        <v>2236</v>
      </c>
      <c r="J323" s="109" t="s">
        <v>2003</v>
      </c>
    </row>
    <row r="324" spans="2:10" ht="15.75" customHeight="1">
      <c r="B324" s="98" t="str">
        <f>'＠グループ、表示名'!H324</f>
        <v>P4</v>
      </c>
      <c r="C324" s="109" t="str">
        <f>'＠グループ、表示名'!I324</f>
        <v>P4.5</v>
      </c>
      <c r="D324" s="163" t="s">
        <v>2238</v>
      </c>
      <c r="E324" s="165" t="s">
        <v>2237</v>
      </c>
      <c r="F324" s="146" t="s">
        <v>2004</v>
      </c>
      <c r="G324" s="109" t="s">
        <v>2236</v>
      </c>
      <c r="H324" s="98" t="s">
        <v>2108</v>
      </c>
      <c r="I324" s="96" t="s">
        <v>2236</v>
      </c>
      <c r="J324" s="109" t="s">
        <v>2003</v>
      </c>
    </row>
    <row r="325" spans="2:10" ht="15.75" customHeight="1">
      <c r="B325" s="98" t="str">
        <f>'＠グループ、表示名'!H325</f>
        <v>P4</v>
      </c>
      <c r="C325" s="109" t="str">
        <f>'＠グループ、表示名'!I325</f>
        <v>P4.6</v>
      </c>
      <c r="D325" s="163" t="s">
        <v>2238</v>
      </c>
      <c r="E325" s="165" t="s">
        <v>2237</v>
      </c>
      <c r="F325" s="146" t="s">
        <v>2004</v>
      </c>
      <c r="G325" s="109" t="s">
        <v>2236</v>
      </c>
      <c r="H325" s="98" t="s">
        <v>2108</v>
      </c>
      <c r="I325" s="96" t="s">
        <v>2236</v>
      </c>
      <c r="J325" s="109" t="s">
        <v>2003</v>
      </c>
    </row>
    <row r="326" spans="2:10" ht="15.75" customHeight="1">
      <c r="B326" s="98" t="str">
        <f>'＠グループ、表示名'!H326</f>
        <v>P4</v>
      </c>
      <c r="C326" s="109" t="str">
        <f>'＠グループ、表示名'!I326</f>
        <v>P4.7</v>
      </c>
      <c r="D326" s="163" t="s">
        <v>2238</v>
      </c>
      <c r="E326" s="165" t="s">
        <v>2237</v>
      </c>
      <c r="F326" s="146" t="s">
        <v>2004</v>
      </c>
      <c r="G326" s="109" t="s">
        <v>2236</v>
      </c>
      <c r="H326" s="98" t="s">
        <v>2108</v>
      </c>
      <c r="I326" s="96" t="s">
        <v>2236</v>
      </c>
      <c r="J326" s="109" t="s">
        <v>2003</v>
      </c>
    </row>
    <row r="327" spans="2:10" ht="15.75" customHeight="1">
      <c r="B327" s="98" t="str">
        <f>'＠グループ、表示名'!H327</f>
        <v>P5</v>
      </c>
      <c r="C327" s="109" t="str">
        <f>'＠グループ、表示名'!I327</f>
        <v>P5.0</v>
      </c>
      <c r="D327" s="163" t="s">
        <v>2238</v>
      </c>
      <c r="E327" s="165" t="s">
        <v>2237</v>
      </c>
      <c r="F327" s="146" t="s">
        <v>2004</v>
      </c>
      <c r="G327" s="109" t="s">
        <v>2236</v>
      </c>
      <c r="H327" s="98" t="s">
        <v>2109</v>
      </c>
      <c r="I327" s="96" t="s">
        <v>2236</v>
      </c>
      <c r="J327" s="109" t="s">
        <v>2003</v>
      </c>
    </row>
    <row r="328" spans="2:10" ht="15.75" customHeight="1">
      <c r="B328" s="98" t="str">
        <f>'＠グループ、表示名'!H328</f>
        <v>P5</v>
      </c>
      <c r="C328" s="109" t="str">
        <f>'＠グループ、表示名'!I328</f>
        <v>P5.1</v>
      </c>
      <c r="D328" s="163" t="s">
        <v>2238</v>
      </c>
      <c r="E328" s="165" t="s">
        <v>2237</v>
      </c>
      <c r="F328" s="146" t="s">
        <v>2004</v>
      </c>
      <c r="G328" s="109" t="s">
        <v>2236</v>
      </c>
      <c r="H328" s="98" t="s">
        <v>2109</v>
      </c>
      <c r="I328" s="96" t="s">
        <v>2236</v>
      </c>
      <c r="J328" s="109" t="s">
        <v>2003</v>
      </c>
    </row>
    <row r="329" spans="2:10" ht="15.75" customHeight="1">
      <c r="B329" s="98" t="str">
        <f>'＠グループ、表示名'!H329</f>
        <v>P5</v>
      </c>
      <c r="C329" s="109" t="str">
        <f>'＠グループ、表示名'!I329</f>
        <v>P5.2</v>
      </c>
      <c r="D329" s="163" t="s">
        <v>2238</v>
      </c>
      <c r="E329" s="165" t="s">
        <v>2237</v>
      </c>
      <c r="F329" s="146" t="s">
        <v>2004</v>
      </c>
      <c r="G329" s="109" t="s">
        <v>2236</v>
      </c>
      <c r="H329" s="98" t="s">
        <v>2109</v>
      </c>
      <c r="I329" s="96" t="s">
        <v>2236</v>
      </c>
      <c r="J329" s="109" t="s">
        <v>2003</v>
      </c>
    </row>
    <row r="330" spans="2:10" ht="15.75" customHeight="1">
      <c r="B330" s="98" t="str">
        <f>'＠グループ、表示名'!H330</f>
        <v>P5</v>
      </c>
      <c r="C330" s="109" t="str">
        <f>'＠グループ、表示名'!I330</f>
        <v>P5.3</v>
      </c>
      <c r="D330" s="163" t="s">
        <v>2238</v>
      </c>
      <c r="E330" s="165" t="s">
        <v>2237</v>
      </c>
      <c r="F330" s="146" t="s">
        <v>2004</v>
      </c>
      <c r="G330" s="109" t="s">
        <v>2236</v>
      </c>
      <c r="H330" s="98" t="s">
        <v>2109</v>
      </c>
      <c r="I330" s="96" t="s">
        <v>2236</v>
      </c>
      <c r="J330" s="109" t="s">
        <v>2003</v>
      </c>
    </row>
    <row r="331" spans="2:10" ht="15.75" customHeight="1">
      <c r="B331" s="98" t="str">
        <f>'＠グループ、表示名'!H331</f>
        <v>P5</v>
      </c>
      <c r="C331" s="109" t="str">
        <f>'＠グループ、表示名'!I331</f>
        <v>P5.4</v>
      </c>
      <c r="D331" s="163" t="s">
        <v>2238</v>
      </c>
      <c r="E331" s="165" t="s">
        <v>2237</v>
      </c>
      <c r="F331" s="146" t="s">
        <v>2004</v>
      </c>
      <c r="G331" s="109" t="s">
        <v>2236</v>
      </c>
      <c r="H331" s="98" t="s">
        <v>2109</v>
      </c>
      <c r="I331" s="96" t="s">
        <v>2236</v>
      </c>
      <c r="J331" s="109" t="s">
        <v>2003</v>
      </c>
    </row>
    <row r="332" spans="2:10" ht="15.75" customHeight="1">
      <c r="B332" s="98" t="str">
        <f>'＠グループ、表示名'!H332</f>
        <v>P5</v>
      </c>
      <c r="C332" s="109" t="str">
        <f>'＠グループ、表示名'!I332</f>
        <v>P5.5</v>
      </c>
      <c r="D332" s="163" t="s">
        <v>2238</v>
      </c>
      <c r="E332" s="165" t="s">
        <v>2237</v>
      </c>
      <c r="F332" s="146" t="s">
        <v>2004</v>
      </c>
      <c r="G332" s="109" t="s">
        <v>2236</v>
      </c>
      <c r="H332" s="98" t="s">
        <v>2109</v>
      </c>
      <c r="I332" s="96" t="s">
        <v>2236</v>
      </c>
      <c r="J332" s="109" t="s">
        <v>2003</v>
      </c>
    </row>
    <row r="333" spans="2:10" ht="15.75" customHeight="1">
      <c r="B333" s="98" t="str">
        <f>'＠グループ、表示名'!H333</f>
        <v>P5</v>
      </c>
      <c r="C333" s="109" t="str">
        <f>'＠グループ、表示名'!I333</f>
        <v>P5.6</v>
      </c>
      <c r="D333" s="163" t="s">
        <v>2238</v>
      </c>
      <c r="E333" s="165" t="s">
        <v>2237</v>
      </c>
      <c r="F333" s="146" t="s">
        <v>2004</v>
      </c>
      <c r="G333" s="109" t="s">
        <v>2236</v>
      </c>
      <c r="H333" s="98" t="s">
        <v>2109</v>
      </c>
      <c r="I333" s="96" t="s">
        <v>2236</v>
      </c>
      <c r="J333" s="109" t="s">
        <v>2003</v>
      </c>
    </row>
    <row r="334" spans="2:10" ht="15.75" customHeight="1">
      <c r="B334" s="98" t="str">
        <f>'＠グループ、表示名'!H334</f>
        <v>P5</v>
      </c>
      <c r="C334" s="109" t="str">
        <f>'＠グループ、表示名'!I334</f>
        <v>P5.7</v>
      </c>
      <c r="D334" s="163" t="s">
        <v>2238</v>
      </c>
      <c r="E334" s="165" t="s">
        <v>2237</v>
      </c>
      <c r="F334" s="146" t="s">
        <v>2004</v>
      </c>
      <c r="G334" s="109" t="s">
        <v>2236</v>
      </c>
      <c r="H334" s="98" t="s">
        <v>2109</v>
      </c>
      <c r="I334" s="96" t="s">
        <v>2236</v>
      </c>
      <c r="J334" s="109" t="s">
        <v>2003</v>
      </c>
    </row>
    <row r="335" spans="2:10" ht="15.75" customHeight="1">
      <c r="B335" s="98" t="str">
        <f>'＠グループ、表示名'!H335</f>
        <v>P6</v>
      </c>
      <c r="C335" s="109" t="str">
        <f>'＠グループ、表示名'!I335</f>
        <v>P6.0</v>
      </c>
      <c r="D335" s="163" t="s">
        <v>2238</v>
      </c>
      <c r="E335" s="165" t="s">
        <v>2237</v>
      </c>
      <c r="F335" s="146" t="s">
        <v>2004</v>
      </c>
      <c r="G335" s="109" t="s">
        <v>2236</v>
      </c>
      <c r="H335" s="98" t="s">
        <v>2110</v>
      </c>
      <c r="I335" s="96" t="s">
        <v>2236</v>
      </c>
      <c r="J335" s="109" t="s">
        <v>2003</v>
      </c>
    </row>
    <row r="336" spans="2:10" ht="15.75" customHeight="1">
      <c r="B336" s="98" t="str">
        <f>'＠グループ、表示名'!H336</f>
        <v>P6</v>
      </c>
      <c r="C336" s="109" t="str">
        <f>'＠グループ、表示名'!I336</f>
        <v>P6.1</v>
      </c>
      <c r="D336" s="163" t="s">
        <v>2238</v>
      </c>
      <c r="E336" s="165" t="s">
        <v>2237</v>
      </c>
      <c r="F336" s="146" t="s">
        <v>2004</v>
      </c>
      <c r="G336" s="109" t="s">
        <v>2236</v>
      </c>
      <c r="H336" s="98" t="s">
        <v>2110</v>
      </c>
      <c r="I336" s="96" t="s">
        <v>2236</v>
      </c>
      <c r="J336" s="109" t="s">
        <v>2003</v>
      </c>
    </row>
    <row r="337" spans="2:10" ht="15.75" customHeight="1">
      <c r="B337" s="98" t="str">
        <f>'＠グループ、表示名'!H337</f>
        <v>P6</v>
      </c>
      <c r="C337" s="109" t="str">
        <f>'＠グループ、表示名'!I337</f>
        <v>P6.2</v>
      </c>
      <c r="D337" s="163" t="s">
        <v>2238</v>
      </c>
      <c r="E337" s="165" t="s">
        <v>2237</v>
      </c>
      <c r="F337" s="146" t="s">
        <v>2004</v>
      </c>
      <c r="G337" s="109" t="s">
        <v>2236</v>
      </c>
      <c r="H337" s="98" t="s">
        <v>2110</v>
      </c>
      <c r="I337" s="96" t="s">
        <v>2236</v>
      </c>
      <c r="J337" s="109" t="s">
        <v>2003</v>
      </c>
    </row>
    <row r="338" spans="2:10" ht="15.75" customHeight="1">
      <c r="B338" s="98" t="str">
        <f>'＠グループ、表示名'!H338</f>
        <v>P6</v>
      </c>
      <c r="C338" s="109" t="str">
        <f>'＠グループ、表示名'!I338</f>
        <v>P6.3</v>
      </c>
      <c r="D338" s="163" t="s">
        <v>2238</v>
      </c>
      <c r="E338" s="165" t="s">
        <v>2237</v>
      </c>
      <c r="F338" s="146" t="s">
        <v>2004</v>
      </c>
      <c r="G338" s="109" t="s">
        <v>2236</v>
      </c>
      <c r="H338" s="98" t="s">
        <v>2110</v>
      </c>
      <c r="I338" s="96" t="s">
        <v>2236</v>
      </c>
      <c r="J338" s="109" t="s">
        <v>2003</v>
      </c>
    </row>
    <row r="339" spans="2:10" ht="15.75" customHeight="1">
      <c r="B339" s="98" t="str">
        <f>'＠グループ、表示名'!H339</f>
        <v>P6</v>
      </c>
      <c r="C339" s="109" t="str">
        <f>'＠グループ、表示名'!I339</f>
        <v>P6.4</v>
      </c>
      <c r="D339" s="163" t="s">
        <v>2238</v>
      </c>
      <c r="E339" s="165" t="s">
        <v>2237</v>
      </c>
      <c r="F339" s="146" t="s">
        <v>2004</v>
      </c>
      <c r="G339" s="109" t="s">
        <v>2236</v>
      </c>
      <c r="H339" s="98" t="s">
        <v>2110</v>
      </c>
      <c r="I339" s="96" t="s">
        <v>2236</v>
      </c>
      <c r="J339" s="109" t="s">
        <v>2003</v>
      </c>
    </row>
    <row r="340" spans="2:10" ht="15.75" customHeight="1">
      <c r="B340" s="98" t="str">
        <f>'＠グループ、表示名'!H340</f>
        <v>P6</v>
      </c>
      <c r="C340" s="109" t="str">
        <f>'＠グループ、表示名'!I340</f>
        <v>P6.5</v>
      </c>
      <c r="D340" s="163" t="s">
        <v>2238</v>
      </c>
      <c r="E340" s="165" t="s">
        <v>2237</v>
      </c>
      <c r="F340" s="146" t="s">
        <v>2004</v>
      </c>
      <c r="G340" s="109" t="s">
        <v>2236</v>
      </c>
      <c r="H340" s="98" t="s">
        <v>2110</v>
      </c>
      <c r="I340" s="96" t="s">
        <v>2236</v>
      </c>
      <c r="J340" s="109" t="s">
        <v>2003</v>
      </c>
    </row>
    <row r="341" spans="2:10" ht="15.75" customHeight="1">
      <c r="B341" s="98" t="str">
        <f>'＠グループ、表示名'!H341</f>
        <v>P6</v>
      </c>
      <c r="C341" s="109" t="str">
        <f>'＠グループ、表示名'!I341</f>
        <v>P6.6</v>
      </c>
      <c r="D341" s="163" t="s">
        <v>2238</v>
      </c>
      <c r="E341" s="165" t="s">
        <v>2237</v>
      </c>
      <c r="F341" s="146" t="s">
        <v>2004</v>
      </c>
      <c r="G341" s="109" t="s">
        <v>2236</v>
      </c>
      <c r="H341" s="98" t="s">
        <v>2110</v>
      </c>
      <c r="I341" s="96" t="s">
        <v>2236</v>
      </c>
      <c r="J341" s="109" t="s">
        <v>2003</v>
      </c>
    </row>
    <row r="342" spans="2:10" ht="15.75" customHeight="1">
      <c r="B342" s="98" t="str">
        <f>'＠グループ、表示名'!H342</f>
        <v>P6</v>
      </c>
      <c r="C342" s="109" t="str">
        <f>'＠グループ、表示名'!I342</f>
        <v>P6.7</v>
      </c>
      <c r="D342" s="163" t="s">
        <v>2238</v>
      </c>
      <c r="E342" s="165" t="s">
        <v>2237</v>
      </c>
      <c r="F342" s="146" t="s">
        <v>2004</v>
      </c>
      <c r="G342" s="109" t="s">
        <v>2236</v>
      </c>
      <c r="H342" s="98" t="s">
        <v>2110</v>
      </c>
      <c r="I342" s="96" t="s">
        <v>2236</v>
      </c>
      <c r="J342" s="109" t="s">
        <v>2003</v>
      </c>
    </row>
    <row r="343" spans="2:10" ht="15.75" customHeight="1">
      <c r="B343" s="98" t="str">
        <f>'＠グループ、表示名'!H343</f>
        <v>P7</v>
      </c>
      <c r="C343" s="109" t="str">
        <f>'＠グループ、表示名'!I343</f>
        <v>P7.0</v>
      </c>
      <c r="D343" s="163" t="s">
        <v>2238</v>
      </c>
      <c r="E343" s="165" t="s">
        <v>2237</v>
      </c>
      <c r="F343" s="146" t="s">
        <v>2004</v>
      </c>
      <c r="G343" s="109" t="s">
        <v>2236</v>
      </c>
      <c r="H343" s="98" t="s">
        <v>2111</v>
      </c>
      <c r="I343" s="96" t="s">
        <v>2236</v>
      </c>
      <c r="J343" s="109" t="s">
        <v>2003</v>
      </c>
    </row>
    <row r="344" spans="2:10" ht="15.75" customHeight="1">
      <c r="B344" s="98" t="str">
        <f>'＠グループ、表示名'!H344</f>
        <v>P7</v>
      </c>
      <c r="C344" s="109" t="str">
        <f>'＠グループ、表示名'!I344</f>
        <v>P7.1</v>
      </c>
      <c r="D344" s="163" t="s">
        <v>2238</v>
      </c>
      <c r="E344" s="165" t="s">
        <v>2237</v>
      </c>
      <c r="F344" s="146" t="s">
        <v>2004</v>
      </c>
      <c r="G344" s="109" t="s">
        <v>2236</v>
      </c>
      <c r="H344" s="98" t="s">
        <v>2111</v>
      </c>
      <c r="I344" s="96" t="s">
        <v>2236</v>
      </c>
      <c r="J344" s="109" t="s">
        <v>2003</v>
      </c>
    </row>
    <row r="345" spans="2:10" ht="15.75" customHeight="1">
      <c r="B345" s="98" t="str">
        <f>'＠グループ、表示名'!H345</f>
        <v>P7</v>
      </c>
      <c r="C345" s="109" t="str">
        <f>'＠グループ、表示名'!I345</f>
        <v>P7.2</v>
      </c>
      <c r="D345" s="163" t="s">
        <v>2238</v>
      </c>
      <c r="E345" s="165" t="s">
        <v>2237</v>
      </c>
      <c r="F345" s="146" t="s">
        <v>2004</v>
      </c>
      <c r="G345" s="109" t="s">
        <v>2236</v>
      </c>
      <c r="H345" s="98" t="s">
        <v>2111</v>
      </c>
      <c r="I345" s="96" t="s">
        <v>2236</v>
      </c>
      <c r="J345" s="109" t="s">
        <v>2003</v>
      </c>
    </row>
    <row r="346" spans="2:10" ht="15.75" customHeight="1">
      <c r="B346" s="98" t="str">
        <f>'＠グループ、表示名'!H346</f>
        <v>P7</v>
      </c>
      <c r="C346" s="109" t="str">
        <f>'＠グループ、表示名'!I346</f>
        <v>P7.3</v>
      </c>
      <c r="D346" s="163" t="s">
        <v>2238</v>
      </c>
      <c r="E346" s="165" t="s">
        <v>2237</v>
      </c>
      <c r="F346" s="146" t="s">
        <v>2004</v>
      </c>
      <c r="G346" s="109" t="s">
        <v>2236</v>
      </c>
      <c r="H346" s="98" t="s">
        <v>2111</v>
      </c>
      <c r="I346" s="96" t="s">
        <v>2236</v>
      </c>
      <c r="J346" s="109" t="s">
        <v>2003</v>
      </c>
    </row>
    <row r="347" spans="2:10" ht="15.75" customHeight="1">
      <c r="B347" s="98" t="str">
        <f>'＠グループ、表示名'!H347</f>
        <v>P7</v>
      </c>
      <c r="C347" s="109" t="str">
        <f>'＠グループ、表示名'!I347</f>
        <v>P7.4</v>
      </c>
      <c r="D347" s="163" t="s">
        <v>2238</v>
      </c>
      <c r="E347" s="165" t="s">
        <v>2237</v>
      </c>
      <c r="F347" s="146" t="s">
        <v>2004</v>
      </c>
      <c r="G347" s="109" t="s">
        <v>2236</v>
      </c>
      <c r="H347" s="98" t="s">
        <v>2111</v>
      </c>
      <c r="I347" s="96" t="s">
        <v>2236</v>
      </c>
      <c r="J347" s="109" t="s">
        <v>2003</v>
      </c>
    </row>
    <row r="348" spans="2:10" ht="15.75" customHeight="1">
      <c r="B348" s="98" t="str">
        <f>'＠グループ、表示名'!H348</f>
        <v>P7</v>
      </c>
      <c r="C348" s="109" t="str">
        <f>'＠グループ、表示名'!I348</f>
        <v>P7.5</v>
      </c>
      <c r="D348" s="163" t="s">
        <v>2238</v>
      </c>
      <c r="E348" s="165" t="s">
        <v>2237</v>
      </c>
      <c r="F348" s="146" t="s">
        <v>2004</v>
      </c>
      <c r="G348" s="109" t="s">
        <v>2236</v>
      </c>
      <c r="H348" s="98" t="s">
        <v>2111</v>
      </c>
      <c r="I348" s="96" t="s">
        <v>2236</v>
      </c>
      <c r="J348" s="109" t="s">
        <v>2003</v>
      </c>
    </row>
    <row r="349" spans="2:10" ht="15.75" customHeight="1">
      <c r="B349" s="98" t="str">
        <f>'＠グループ、表示名'!H349</f>
        <v>P7</v>
      </c>
      <c r="C349" s="109" t="str">
        <f>'＠グループ、表示名'!I349</f>
        <v>P7.6</v>
      </c>
      <c r="D349" s="163" t="s">
        <v>2238</v>
      </c>
      <c r="E349" s="165" t="s">
        <v>2237</v>
      </c>
      <c r="F349" s="146" t="s">
        <v>2004</v>
      </c>
      <c r="G349" s="109" t="s">
        <v>2236</v>
      </c>
      <c r="H349" s="98" t="s">
        <v>2111</v>
      </c>
      <c r="I349" s="96" t="s">
        <v>2236</v>
      </c>
      <c r="J349" s="109" t="s">
        <v>2003</v>
      </c>
    </row>
    <row r="350" spans="2:10" ht="15.75" customHeight="1">
      <c r="B350" s="98" t="str">
        <f>'＠グループ、表示名'!H350</f>
        <v>P7</v>
      </c>
      <c r="C350" s="109" t="str">
        <f>'＠グループ、表示名'!I350</f>
        <v>P7.7</v>
      </c>
      <c r="D350" s="163" t="s">
        <v>2238</v>
      </c>
      <c r="E350" s="165" t="s">
        <v>2237</v>
      </c>
      <c r="F350" s="146" t="s">
        <v>2004</v>
      </c>
      <c r="G350" s="109" t="s">
        <v>2236</v>
      </c>
      <c r="H350" s="98" t="s">
        <v>2111</v>
      </c>
      <c r="I350" s="96" t="s">
        <v>2236</v>
      </c>
      <c r="J350" s="109" t="s">
        <v>2003</v>
      </c>
    </row>
    <row r="351" spans="2:10" ht="15.75" customHeight="1">
      <c r="B351" s="98" t="str">
        <f>'＠グループ、表示名'!H351</f>
        <v>P8</v>
      </c>
      <c r="C351" s="109" t="str">
        <f>'＠グループ、表示名'!I351</f>
        <v>P8.0</v>
      </c>
      <c r="D351" s="163" t="s">
        <v>2238</v>
      </c>
      <c r="E351" s="165" t="s">
        <v>2237</v>
      </c>
      <c r="F351" s="146" t="s">
        <v>2004</v>
      </c>
      <c r="G351" s="109" t="s">
        <v>2236</v>
      </c>
      <c r="H351" s="98" t="s">
        <v>2112</v>
      </c>
      <c r="I351" s="96" t="s">
        <v>2236</v>
      </c>
      <c r="J351" s="109" t="s">
        <v>2003</v>
      </c>
    </row>
    <row r="352" spans="2:10" ht="15.75" customHeight="1">
      <c r="B352" s="98" t="str">
        <f>'＠グループ、表示名'!H352</f>
        <v>P8</v>
      </c>
      <c r="C352" s="109" t="str">
        <f>'＠グループ、表示名'!I352</f>
        <v>P8.1</v>
      </c>
      <c r="D352" s="163" t="s">
        <v>2238</v>
      </c>
      <c r="E352" s="165" t="s">
        <v>2237</v>
      </c>
      <c r="F352" s="146" t="s">
        <v>2004</v>
      </c>
      <c r="G352" s="109" t="s">
        <v>2236</v>
      </c>
      <c r="H352" s="98" t="s">
        <v>2112</v>
      </c>
      <c r="I352" s="96" t="s">
        <v>2236</v>
      </c>
      <c r="J352" s="109" t="s">
        <v>2003</v>
      </c>
    </row>
    <row r="353" spans="2:10" ht="15.75" customHeight="1">
      <c r="B353" s="98" t="str">
        <f>'＠グループ、表示名'!H353</f>
        <v>P8</v>
      </c>
      <c r="C353" s="109" t="str">
        <f>'＠グループ、表示名'!I353</f>
        <v>P8.2</v>
      </c>
      <c r="D353" s="163" t="s">
        <v>2238</v>
      </c>
      <c r="E353" s="165" t="s">
        <v>2237</v>
      </c>
      <c r="F353" s="146" t="s">
        <v>2004</v>
      </c>
      <c r="G353" s="109" t="s">
        <v>2236</v>
      </c>
      <c r="H353" s="98" t="s">
        <v>2112</v>
      </c>
      <c r="I353" s="96" t="s">
        <v>2236</v>
      </c>
      <c r="J353" s="109" t="s">
        <v>2003</v>
      </c>
    </row>
    <row r="354" spans="2:10" ht="15.75" customHeight="1">
      <c r="B354" s="98" t="str">
        <f>'＠グループ、表示名'!H354</f>
        <v>P8</v>
      </c>
      <c r="C354" s="109" t="str">
        <f>'＠グループ、表示名'!I354</f>
        <v>P8.3</v>
      </c>
      <c r="D354" s="163" t="s">
        <v>2238</v>
      </c>
      <c r="E354" s="165" t="s">
        <v>2237</v>
      </c>
      <c r="F354" s="146" t="s">
        <v>2004</v>
      </c>
      <c r="G354" s="109" t="s">
        <v>2236</v>
      </c>
      <c r="H354" s="98" t="s">
        <v>2112</v>
      </c>
      <c r="I354" s="96" t="s">
        <v>2236</v>
      </c>
      <c r="J354" s="109" t="s">
        <v>2003</v>
      </c>
    </row>
    <row r="355" spans="2:10" ht="15.75" customHeight="1">
      <c r="B355" s="98" t="str">
        <f>'＠グループ、表示名'!H355</f>
        <v>P8</v>
      </c>
      <c r="C355" s="109" t="str">
        <f>'＠グループ、表示名'!I355</f>
        <v>P8.4</v>
      </c>
      <c r="D355" s="163" t="s">
        <v>2238</v>
      </c>
      <c r="E355" s="165" t="s">
        <v>2237</v>
      </c>
      <c r="F355" s="146" t="s">
        <v>2004</v>
      </c>
      <c r="G355" s="109" t="s">
        <v>2236</v>
      </c>
      <c r="H355" s="98" t="s">
        <v>2112</v>
      </c>
      <c r="I355" s="96" t="s">
        <v>2236</v>
      </c>
      <c r="J355" s="109" t="s">
        <v>2003</v>
      </c>
    </row>
    <row r="356" spans="2:10" ht="15.75" customHeight="1">
      <c r="B356" s="98" t="str">
        <f>'＠グループ、表示名'!H356</f>
        <v>P8</v>
      </c>
      <c r="C356" s="109" t="str">
        <f>'＠グループ、表示名'!I356</f>
        <v>P8.5</v>
      </c>
      <c r="D356" s="163" t="s">
        <v>2238</v>
      </c>
      <c r="E356" s="165" t="s">
        <v>2237</v>
      </c>
      <c r="F356" s="146" t="s">
        <v>2004</v>
      </c>
      <c r="G356" s="109" t="s">
        <v>2236</v>
      </c>
      <c r="H356" s="98" t="s">
        <v>2112</v>
      </c>
      <c r="I356" s="96" t="s">
        <v>2236</v>
      </c>
      <c r="J356" s="109" t="s">
        <v>2003</v>
      </c>
    </row>
    <row r="357" spans="2:10" ht="15.75" customHeight="1">
      <c r="B357" s="98" t="str">
        <f>'＠グループ、表示名'!H357</f>
        <v>P8</v>
      </c>
      <c r="C357" s="109" t="str">
        <f>'＠グループ、表示名'!I357</f>
        <v>P8.6</v>
      </c>
      <c r="D357" s="163" t="s">
        <v>2238</v>
      </c>
      <c r="E357" s="165" t="s">
        <v>2237</v>
      </c>
      <c r="F357" s="146" t="s">
        <v>2004</v>
      </c>
      <c r="G357" s="109" t="s">
        <v>2236</v>
      </c>
      <c r="H357" s="98" t="s">
        <v>2112</v>
      </c>
      <c r="I357" s="96" t="s">
        <v>2236</v>
      </c>
      <c r="J357" s="109" t="s">
        <v>2003</v>
      </c>
    </row>
    <row r="358" spans="2:10" ht="15.75" customHeight="1">
      <c r="B358" s="98" t="str">
        <f>'＠グループ、表示名'!H358</f>
        <v>P8</v>
      </c>
      <c r="C358" s="109" t="str">
        <f>'＠グループ、表示名'!I358</f>
        <v>P8.7</v>
      </c>
      <c r="D358" s="163" t="s">
        <v>2238</v>
      </c>
      <c r="E358" s="165" t="s">
        <v>2237</v>
      </c>
      <c r="F358" s="146" t="s">
        <v>2004</v>
      </c>
      <c r="G358" s="109" t="s">
        <v>2236</v>
      </c>
      <c r="H358" s="98" t="s">
        <v>2112</v>
      </c>
      <c r="I358" s="96" t="s">
        <v>2236</v>
      </c>
      <c r="J358" s="109" t="s">
        <v>2003</v>
      </c>
    </row>
    <row r="359" spans="2:10" ht="15.75" customHeight="1">
      <c r="B359" s="98" t="str">
        <f>'＠グループ、表示名'!H359</f>
        <v>P9</v>
      </c>
      <c r="C359" s="109" t="str">
        <f>'＠グループ、表示名'!I359</f>
        <v>P9.0</v>
      </c>
      <c r="D359" s="163" t="s">
        <v>2238</v>
      </c>
      <c r="E359" s="165" t="s">
        <v>2237</v>
      </c>
      <c r="F359" s="146" t="s">
        <v>2004</v>
      </c>
      <c r="G359" s="109" t="s">
        <v>2236</v>
      </c>
      <c r="H359" s="98" t="s">
        <v>2113</v>
      </c>
      <c r="I359" s="96" t="s">
        <v>2236</v>
      </c>
      <c r="J359" s="109" t="s">
        <v>2003</v>
      </c>
    </row>
    <row r="360" spans="2:10" ht="15.75" customHeight="1">
      <c r="B360" s="98" t="str">
        <f>'＠グループ、表示名'!H360</f>
        <v>P9</v>
      </c>
      <c r="C360" s="109" t="str">
        <f>'＠グループ、表示名'!I360</f>
        <v>P9.1</v>
      </c>
      <c r="D360" s="163" t="s">
        <v>2238</v>
      </c>
      <c r="E360" s="165" t="s">
        <v>2237</v>
      </c>
      <c r="F360" s="146" t="s">
        <v>2004</v>
      </c>
      <c r="G360" s="109" t="s">
        <v>2236</v>
      </c>
      <c r="H360" s="98" t="s">
        <v>2113</v>
      </c>
      <c r="I360" s="96" t="s">
        <v>2236</v>
      </c>
      <c r="J360" s="109" t="s">
        <v>2003</v>
      </c>
    </row>
    <row r="361" spans="2:10" ht="15.75" customHeight="1">
      <c r="B361" s="98" t="str">
        <f>'＠グループ、表示名'!H361</f>
        <v>P9</v>
      </c>
      <c r="C361" s="109" t="str">
        <f>'＠グループ、表示名'!I361</f>
        <v>P9.2</v>
      </c>
      <c r="D361" s="163" t="s">
        <v>2238</v>
      </c>
      <c r="E361" s="165" t="s">
        <v>2237</v>
      </c>
      <c r="F361" s="146" t="s">
        <v>2004</v>
      </c>
      <c r="G361" s="109" t="s">
        <v>2236</v>
      </c>
      <c r="H361" s="98" t="s">
        <v>2113</v>
      </c>
      <c r="I361" s="96" t="s">
        <v>2236</v>
      </c>
      <c r="J361" s="109" t="s">
        <v>2003</v>
      </c>
    </row>
    <row r="362" spans="2:10" ht="15.75" customHeight="1">
      <c r="B362" s="98" t="str">
        <f>'＠グループ、表示名'!H362</f>
        <v>P9</v>
      </c>
      <c r="C362" s="109" t="str">
        <f>'＠グループ、表示名'!I362</f>
        <v>P9.3</v>
      </c>
      <c r="D362" s="163" t="s">
        <v>2238</v>
      </c>
      <c r="E362" s="165" t="s">
        <v>2237</v>
      </c>
      <c r="F362" s="146" t="s">
        <v>2004</v>
      </c>
      <c r="G362" s="109" t="s">
        <v>2236</v>
      </c>
      <c r="H362" s="98" t="s">
        <v>2113</v>
      </c>
      <c r="I362" s="96" t="s">
        <v>2236</v>
      </c>
      <c r="J362" s="109" t="s">
        <v>2003</v>
      </c>
    </row>
    <row r="363" spans="2:10" ht="15.75" customHeight="1">
      <c r="B363" s="98" t="str">
        <f>'＠グループ、表示名'!H363</f>
        <v>P9</v>
      </c>
      <c r="C363" s="109" t="str">
        <f>'＠グループ、表示名'!I363</f>
        <v>P9.4</v>
      </c>
      <c r="D363" s="163" t="s">
        <v>2238</v>
      </c>
      <c r="E363" s="165" t="s">
        <v>2237</v>
      </c>
      <c r="F363" s="146" t="s">
        <v>2004</v>
      </c>
      <c r="G363" s="109" t="s">
        <v>2236</v>
      </c>
      <c r="H363" s="98" t="s">
        <v>2113</v>
      </c>
      <c r="I363" s="96" t="s">
        <v>2236</v>
      </c>
      <c r="J363" s="109" t="s">
        <v>2003</v>
      </c>
    </row>
    <row r="364" spans="2:10" ht="15.75" customHeight="1">
      <c r="B364" s="98" t="str">
        <f>'＠グループ、表示名'!H364</f>
        <v>P9</v>
      </c>
      <c r="C364" s="109" t="str">
        <f>'＠グループ、表示名'!I364</f>
        <v>P9.5</v>
      </c>
      <c r="D364" s="163" t="s">
        <v>2238</v>
      </c>
      <c r="E364" s="165" t="s">
        <v>2237</v>
      </c>
      <c r="F364" s="146" t="s">
        <v>2004</v>
      </c>
      <c r="G364" s="109" t="s">
        <v>2236</v>
      </c>
      <c r="H364" s="98" t="s">
        <v>2113</v>
      </c>
      <c r="I364" s="96" t="s">
        <v>2236</v>
      </c>
      <c r="J364" s="109" t="s">
        <v>2003</v>
      </c>
    </row>
    <row r="365" spans="2:10" ht="15.75" customHeight="1">
      <c r="B365" s="98" t="str">
        <f>'＠グループ、表示名'!H365</f>
        <v>P9</v>
      </c>
      <c r="C365" s="109" t="str">
        <f>'＠グループ、表示名'!I365</f>
        <v>P9.6</v>
      </c>
      <c r="D365" s="163" t="s">
        <v>2238</v>
      </c>
      <c r="E365" s="165" t="s">
        <v>2237</v>
      </c>
      <c r="F365" s="146" t="s">
        <v>2004</v>
      </c>
      <c r="G365" s="109" t="s">
        <v>2236</v>
      </c>
      <c r="H365" s="98" t="s">
        <v>2113</v>
      </c>
      <c r="I365" s="96" t="s">
        <v>2236</v>
      </c>
      <c r="J365" s="109" t="s">
        <v>2003</v>
      </c>
    </row>
    <row r="366" spans="2:10" ht="15.75" customHeight="1">
      <c r="B366" s="98" t="str">
        <f>'＠グループ、表示名'!H366</f>
        <v>P9</v>
      </c>
      <c r="C366" s="109" t="str">
        <f>'＠グループ、表示名'!I366</f>
        <v>P9.7</v>
      </c>
      <c r="D366" s="163" t="s">
        <v>2238</v>
      </c>
      <c r="E366" s="165" t="s">
        <v>2237</v>
      </c>
      <c r="F366" s="146" t="s">
        <v>2004</v>
      </c>
      <c r="G366" s="109" t="s">
        <v>2236</v>
      </c>
      <c r="H366" s="98" t="s">
        <v>2113</v>
      </c>
      <c r="I366" s="96" t="s">
        <v>2236</v>
      </c>
      <c r="J366" s="109" t="s">
        <v>2003</v>
      </c>
    </row>
    <row r="367" spans="2:10" ht="15.75" customHeight="1">
      <c r="B367" s="98" t="str">
        <f>'＠グループ、表示名'!H367</f>
        <v>PA</v>
      </c>
      <c r="C367" s="109" t="str">
        <f>'＠グループ、表示名'!I367</f>
        <v>PA.0</v>
      </c>
      <c r="D367" s="163" t="s">
        <v>2238</v>
      </c>
      <c r="E367" s="165" t="s">
        <v>2237</v>
      </c>
      <c r="F367" s="146" t="s">
        <v>2004</v>
      </c>
      <c r="G367" s="109" t="s">
        <v>2236</v>
      </c>
      <c r="H367" s="98" t="s">
        <v>2114</v>
      </c>
      <c r="I367" s="96" t="s">
        <v>2236</v>
      </c>
      <c r="J367" s="109" t="s">
        <v>2003</v>
      </c>
    </row>
    <row r="368" spans="2:10" ht="15.75" customHeight="1">
      <c r="B368" s="98" t="str">
        <f>'＠グループ、表示名'!H368</f>
        <v>PA</v>
      </c>
      <c r="C368" s="109" t="str">
        <f>'＠グループ、表示名'!I368</f>
        <v>PA.1</v>
      </c>
      <c r="D368" s="163" t="s">
        <v>2238</v>
      </c>
      <c r="E368" s="165" t="s">
        <v>2237</v>
      </c>
      <c r="F368" s="146" t="s">
        <v>2004</v>
      </c>
      <c r="G368" s="109" t="s">
        <v>2236</v>
      </c>
      <c r="H368" s="98" t="s">
        <v>2114</v>
      </c>
      <c r="I368" s="96" t="s">
        <v>2236</v>
      </c>
      <c r="J368" s="109" t="s">
        <v>2003</v>
      </c>
    </row>
    <row r="369" spans="2:10" ht="15.75" customHeight="1">
      <c r="B369" s="98" t="str">
        <f>'＠グループ、表示名'!H369</f>
        <v>PA</v>
      </c>
      <c r="C369" s="109" t="str">
        <f>'＠グループ、表示名'!I369</f>
        <v>PA.2</v>
      </c>
      <c r="D369" s="163" t="s">
        <v>2238</v>
      </c>
      <c r="E369" s="165" t="s">
        <v>2237</v>
      </c>
      <c r="F369" s="146" t="s">
        <v>2004</v>
      </c>
      <c r="G369" s="109" t="s">
        <v>2236</v>
      </c>
      <c r="H369" s="98" t="s">
        <v>2114</v>
      </c>
      <c r="I369" s="96" t="s">
        <v>2236</v>
      </c>
      <c r="J369" s="109" t="s">
        <v>2003</v>
      </c>
    </row>
    <row r="370" spans="2:10" ht="15.75" customHeight="1">
      <c r="B370" s="98" t="str">
        <f>'＠グループ、表示名'!H370</f>
        <v>PA</v>
      </c>
      <c r="C370" s="109" t="str">
        <f>'＠グループ、表示名'!I370</f>
        <v>PA.3</v>
      </c>
      <c r="D370" s="163" t="s">
        <v>2238</v>
      </c>
      <c r="E370" s="165" t="s">
        <v>2237</v>
      </c>
      <c r="F370" s="146" t="s">
        <v>2004</v>
      </c>
      <c r="G370" s="109" t="s">
        <v>2236</v>
      </c>
      <c r="H370" s="98" t="s">
        <v>2114</v>
      </c>
      <c r="I370" s="96" t="s">
        <v>2236</v>
      </c>
      <c r="J370" s="109" t="s">
        <v>2003</v>
      </c>
    </row>
    <row r="371" spans="2:10" ht="15.75" customHeight="1">
      <c r="B371" s="98" t="str">
        <f>'＠グループ、表示名'!H371</f>
        <v>PA</v>
      </c>
      <c r="C371" s="109" t="str">
        <f>'＠グループ、表示名'!I371</f>
        <v>PA.4</v>
      </c>
      <c r="D371" s="163" t="s">
        <v>2238</v>
      </c>
      <c r="E371" s="165" t="s">
        <v>2237</v>
      </c>
      <c r="F371" s="146" t="s">
        <v>2004</v>
      </c>
      <c r="G371" s="109" t="s">
        <v>2236</v>
      </c>
      <c r="H371" s="98" t="s">
        <v>2114</v>
      </c>
      <c r="I371" s="96" t="s">
        <v>2236</v>
      </c>
      <c r="J371" s="109" t="s">
        <v>2003</v>
      </c>
    </row>
    <row r="372" spans="2:10" ht="15.75" customHeight="1">
      <c r="B372" s="98" t="str">
        <f>'＠グループ、表示名'!H372</f>
        <v>PA</v>
      </c>
      <c r="C372" s="109" t="str">
        <f>'＠グループ、表示名'!I372</f>
        <v>PA.5</v>
      </c>
      <c r="D372" s="163" t="s">
        <v>2238</v>
      </c>
      <c r="E372" s="165" t="s">
        <v>2237</v>
      </c>
      <c r="F372" s="146" t="s">
        <v>2004</v>
      </c>
      <c r="G372" s="109" t="s">
        <v>2236</v>
      </c>
      <c r="H372" s="98" t="s">
        <v>2114</v>
      </c>
      <c r="I372" s="96" t="s">
        <v>2236</v>
      </c>
      <c r="J372" s="109" t="s">
        <v>2003</v>
      </c>
    </row>
    <row r="373" spans="2:10" ht="15.75" customHeight="1">
      <c r="B373" s="98" t="str">
        <f>'＠グループ、表示名'!H373</f>
        <v>PA</v>
      </c>
      <c r="C373" s="109" t="str">
        <f>'＠グループ、表示名'!I373</f>
        <v>PA.6</v>
      </c>
      <c r="D373" s="163" t="s">
        <v>2238</v>
      </c>
      <c r="E373" s="165" t="s">
        <v>2237</v>
      </c>
      <c r="F373" s="146" t="s">
        <v>2004</v>
      </c>
      <c r="G373" s="109" t="s">
        <v>2236</v>
      </c>
      <c r="H373" s="98" t="s">
        <v>2114</v>
      </c>
      <c r="I373" s="96" t="s">
        <v>2236</v>
      </c>
      <c r="J373" s="109" t="s">
        <v>2003</v>
      </c>
    </row>
    <row r="374" spans="2:10" ht="15.75" customHeight="1">
      <c r="B374" s="98" t="str">
        <f>'＠グループ、表示名'!H374</f>
        <v>PA</v>
      </c>
      <c r="C374" s="109" t="str">
        <f>'＠グループ、表示名'!I374</f>
        <v>PA.7</v>
      </c>
      <c r="D374" s="163" t="s">
        <v>2238</v>
      </c>
      <c r="E374" s="165" t="s">
        <v>2237</v>
      </c>
      <c r="F374" s="146" t="s">
        <v>2004</v>
      </c>
      <c r="G374" s="109" t="s">
        <v>2236</v>
      </c>
      <c r="H374" s="98" t="s">
        <v>2114</v>
      </c>
      <c r="I374" s="96" t="s">
        <v>2236</v>
      </c>
      <c r="J374" s="109" t="s">
        <v>2003</v>
      </c>
    </row>
    <row r="375" spans="2:10" ht="15.75" customHeight="1">
      <c r="B375" s="98" t="str">
        <f>'＠グループ、表示名'!H375</f>
        <v>PB</v>
      </c>
      <c r="C375" s="109" t="str">
        <f>'＠グループ、表示名'!I375</f>
        <v>PB.0</v>
      </c>
      <c r="D375" s="163" t="s">
        <v>2238</v>
      </c>
      <c r="E375" s="165" t="s">
        <v>2237</v>
      </c>
      <c r="F375" s="146" t="s">
        <v>2004</v>
      </c>
      <c r="G375" s="109" t="s">
        <v>2236</v>
      </c>
      <c r="H375" s="98" t="s">
        <v>2115</v>
      </c>
      <c r="I375" s="96" t="s">
        <v>2236</v>
      </c>
      <c r="J375" s="109" t="s">
        <v>2003</v>
      </c>
    </row>
    <row r="376" spans="2:10" ht="15.75" customHeight="1">
      <c r="B376" s="98" t="str">
        <f>'＠グループ、表示名'!H376</f>
        <v>PB</v>
      </c>
      <c r="C376" s="109" t="str">
        <f>'＠グループ、表示名'!I376</f>
        <v>PB.1</v>
      </c>
      <c r="D376" s="163" t="s">
        <v>2238</v>
      </c>
      <c r="E376" s="165" t="s">
        <v>2237</v>
      </c>
      <c r="F376" s="146" t="s">
        <v>2004</v>
      </c>
      <c r="G376" s="109" t="s">
        <v>2236</v>
      </c>
      <c r="H376" s="98" t="s">
        <v>2115</v>
      </c>
      <c r="I376" s="96" t="s">
        <v>2236</v>
      </c>
      <c r="J376" s="109" t="s">
        <v>2003</v>
      </c>
    </row>
    <row r="377" spans="2:10" ht="15.75" customHeight="1">
      <c r="B377" s="98" t="str">
        <f>'＠グループ、表示名'!H377</f>
        <v>PB</v>
      </c>
      <c r="C377" s="109" t="str">
        <f>'＠グループ、表示名'!I377</f>
        <v>PB.2</v>
      </c>
      <c r="D377" s="163" t="s">
        <v>2238</v>
      </c>
      <c r="E377" s="165" t="s">
        <v>2237</v>
      </c>
      <c r="F377" s="146" t="s">
        <v>2004</v>
      </c>
      <c r="G377" s="109" t="s">
        <v>2236</v>
      </c>
      <c r="H377" s="98" t="s">
        <v>2115</v>
      </c>
      <c r="I377" s="96" t="s">
        <v>2236</v>
      </c>
      <c r="J377" s="109" t="s">
        <v>2003</v>
      </c>
    </row>
    <row r="378" spans="2:10" ht="15.75" customHeight="1">
      <c r="B378" s="98" t="str">
        <f>'＠グループ、表示名'!H378</f>
        <v>PB</v>
      </c>
      <c r="C378" s="109" t="str">
        <f>'＠グループ、表示名'!I378</f>
        <v>PB.3</v>
      </c>
      <c r="D378" s="163" t="s">
        <v>2238</v>
      </c>
      <c r="E378" s="165" t="s">
        <v>2237</v>
      </c>
      <c r="F378" s="146" t="s">
        <v>2004</v>
      </c>
      <c r="G378" s="109" t="s">
        <v>2236</v>
      </c>
      <c r="H378" s="98" t="s">
        <v>2115</v>
      </c>
      <c r="I378" s="96" t="s">
        <v>2236</v>
      </c>
      <c r="J378" s="109" t="s">
        <v>2003</v>
      </c>
    </row>
    <row r="379" spans="2:10" ht="15.75" customHeight="1">
      <c r="B379" s="98" t="str">
        <f>'＠グループ、表示名'!H379</f>
        <v>PB</v>
      </c>
      <c r="C379" s="109" t="str">
        <f>'＠グループ、表示名'!I379</f>
        <v>PB.4</v>
      </c>
      <c r="D379" s="163" t="s">
        <v>2238</v>
      </c>
      <c r="E379" s="165" t="s">
        <v>2237</v>
      </c>
      <c r="F379" s="146" t="s">
        <v>2004</v>
      </c>
      <c r="G379" s="109" t="s">
        <v>2236</v>
      </c>
      <c r="H379" s="98" t="s">
        <v>2115</v>
      </c>
      <c r="I379" s="96" t="s">
        <v>2236</v>
      </c>
      <c r="J379" s="109" t="s">
        <v>2003</v>
      </c>
    </row>
    <row r="380" spans="2:10" ht="15.75" customHeight="1">
      <c r="B380" s="98" t="str">
        <f>'＠グループ、表示名'!H380</f>
        <v>PB</v>
      </c>
      <c r="C380" s="109" t="str">
        <f>'＠グループ、表示名'!I380</f>
        <v>PB.6</v>
      </c>
      <c r="D380" s="163" t="s">
        <v>2238</v>
      </c>
      <c r="E380" s="165" t="s">
        <v>2237</v>
      </c>
      <c r="F380" s="146" t="s">
        <v>2004</v>
      </c>
      <c r="G380" s="109" t="s">
        <v>2236</v>
      </c>
      <c r="H380" s="98" t="s">
        <v>2115</v>
      </c>
      <c r="I380" s="96" t="s">
        <v>2236</v>
      </c>
      <c r="J380" s="109" t="s">
        <v>2003</v>
      </c>
    </row>
    <row r="381" spans="2:10" ht="15.75" customHeight="1">
      <c r="B381" s="98" t="str">
        <f>'＠グループ、表示名'!H381</f>
        <v>PB</v>
      </c>
      <c r="C381" s="109" t="str">
        <f>'＠グループ、表示名'!I381</f>
        <v>PB.7</v>
      </c>
      <c r="D381" s="163" t="s">
        <v>2238</v>
      </c>
      <c r="E381" s="165" t="s">
        <v>2237</v>
      </c>
      <c r="F381" s="146" t="s">
        <v>2004</v>
      </c>
      <c r="G381" s="109" t="s">
        <v>2236</v>
      </c>
      <c r="H381" s="98" t="s">
        <v>2115</v>
      </c>
      <c r="I381" s="96" t="s">
        <v>2236</v>
      </c>
      <c r="J381" s="109" t="s">
        <v>2003</v>
      </c>
    </row>
    <row r="382" spans="2:10" ht="15.75" customHeight="1">
      <c r="B382" s="98" t="str">
        <f>'＠グループ、表示名'!H382</f>
        <v>PC</v>
      </c>
      <c r="C382" s="109" t="str">
        <f>'＠グループ、表示名'!I382</f>
        <v>PC.0</v>
      </c>
      <c r="D382" s="163" t="s">
        <v>2238</v>
      </c>
      <c r="E382" s="165" t="s">
        <v>2237</v>
      </c>
      <c r="F382" s="146" t="s">
        <v>2004</v>
      </c>
      <c r="G382" s="109" t="s">
        <v>2236</v>
      </c>
      <c r="H382" s="98" t="s">
        <v>2116</v>
      </c>
      <c r="I382" s="96" t="s">
        <v>2236</v>
      </c>
      <c r="J382" s="109" t="s">
        <v>2003</v>
      </c>
    </row>
    <row r="383" spans="2:10" ht="15.75" customHeight="1">
      <c r="B383" s="98" t="str">
        <f>'＠グループ、表示名'!H383</f>
        <v>PC</v>
      </c>
      <c r="C383" s="109" t="str">
        <f>'＠グループ、表示名'!I383</f>
        <v>PC.1</v>
      </c>
      <c r="D383" s="163" t="s">
        <v>2238</v>
      </c>
      <c r="E383" s="165" t="s">
        <v>2237</v>
      </c>
      <c r="F383" s="146" t="s">
        <v>2004</v>
      </c>
      <c r="G383" s="109" t="s">
        <v>2236</v>
      </c>
      <c r="H383" s="98" t="s">
        <v>2116</v>
      </c>
      <c r="I383" s="96" t="s">
        <v>2236</v>
      </c>
      <c r="J383" s="109" t="s">
        <v>2003</v>
      </c>
    </row>
    <row r="384" spans="2:10" ht="15.75" customHeight="1">
      <c r="B384" s="98" t="str">
        <f>'＠グループ、表示名'!H384</f>
        <v>PC</v>
      </c>
      <c r="C384" s="109" t="str">
        <f>'＠グループ、表示名'!I384</f>
        <v>PC.2</v>
      </c>
      <c r="D384" s="163" t="s">
        <v>2238</v>
      </c>
      <c r="E384" s="165" t="s">
        <v>2237</v>
      </c>
      <c r="F384" s="146" t="s">
        <v>2004</v>
      </c>
      <c r="G384" s="109" t="s">
        <v>2236</v>
      </c>
      <c r="H384" s="98" t="s">
        <v>2116</v>
      </c>
      <c r="I384" s="96" t="s">
        <v>2236</v>
      </c>
      <c r="J384" s="109" t="s">
        <v>2003</v>
      </c>
    </row>
    <row r="385" spans="2:10" ht="15.75" customHeight="1">
      <c r="B385" s="98" t="str">
        <f>'＠グループ、表示名'!H385</f>
        <v>PC</v>
      </c>
      <c r="C385" s="109" t="str">
        <f>'＠グループ、表示名'!I385</f>
        <v>PC.3</v>
      </c>
      <c r="D385" s="163" t="s">
        <v>2238</v>
      </c>
      <c r="E385" s="165" t="s">
        <v>2237</v>
      </c>
      <c r="F385" s="146" t="s">
        <v>2004</v>
      </c>
      <c r="G385" s="109" t="s">
        <v>2236</v>
      </c>
      <c r="H385" s="98" t="s">
        <v>2116</v>
      </c>
      <c r="I385" s="96" t="s">
        <v>2236</v>
      </c>
      <c r="J385" s="109" t="s">
        <v>2003</v>
      </c>
    </row>
    <row r="386" spans="2:10" ht="15.75" customHeight="1">
      <c r="B386" s="98" t="str">
        <f>'＠グループ、表示名'!H386</f>
        <v>PC</v>
      </c>
      <c r="C386" s="109" t="str">
        <f>'＠グループ、表示名'!I386</f>
        <v>PC.4</v>
      </c>
      <c r="D386" s="163" t="s">
        <v>2238</v>
      </c>
      <c r="E386" s="165" t="s">
        <v>2237</v>
      </c>
      <c r="F386" s="146" t="s">
        <v>2004</v>
      </c>
      <c r="G386" s="109" t="s">
        <v>2236</v>
      </c>
      <c r="H386" s="98" t="s">
        <v>2116</v>
      </c>
      <c r="I386" s="96" t="s">
        <v>2236</v>
      </c>
      <c r="J386" s="109" t="s">
        <v>2003</v>
      </c>
    </row>
    <row r="387" spans="2:10" ht="15.75" customHeight="1">
      <c r="B387" s="98" t="str">
        <f>'＠グループ、表示名'!H387</f>
        <v>PC</v>
      </c>
      <c r="C387" s="109" t="str">
        <f>'＠グループ、表示名'!I387</f>
        <v>PC.5</v>
      </c>
      <c r="D387" s="163" t="s">
        <v>2238</v>
      </c>
      <c r="E387" s="165" t="s">
        <v>2237</v>
      </c>
      <c r="F387" s="146" t="s">
        <v>2004</v>
      </c>
      <c r="G387" s="109" t="s">
        <v>2236</v>
      </c>
      <c r="H387" s="98" t="s">
        <v>2116</v>
      </c>
      <c r="I387" s="96" t="s">
        <v>2236</v>
      </c>
      <c r="J387" s="109" t="s">
        <v>2003</v>
      </c>
    </row>
    <row r="388" spans="2:10" ht="15.75" customHeight="1">
      <c r="B388" s="98" t="str">
        <f>'＠グループ、表示名'!H388</f>
        <v>PC</v>
      </c>
      <c r="C388" s="109" t="str">
        <f>'＠グループ、表示名'!I388</f>
        <v>PC.6</v>
      </c>
      <c r="D388" s="163" t="s">
        <v>2238</v>
      </c>
      <c r="E388" s="165" t="s">
        <v>2237</v>
      </c>
      <c r="F388" s="146" t="s">
        <v>2004</v>
      </c>
      <c r="G388" s="109" t="s">
        <v>2236</v>
      </c>
      <c r="H388" s="98" t="s">
        <v>2116</v>
      </c>
      <c r="I388" s="96" t="s">
        <v>2236</v>
      </c>
      <c r="J388" s="109" t="s">
        <v>2003</v>
      </c>
    </row>
    <row r="389" spans="2:10" ht="15.75" customHeight="1">
      <c r="B389" s="98" t="str">
        <f>'＠グループ、表示名'!H389</f>
        <v>PC</v>
      </c>
      <c r="C389" s="109" t="str">
        <f>'＠グループ、表示名'!I389</f>
        <v>PC.7</v>
      </c>
      <c r="D389" s="163" t="s">
        <v>2238</v>
      </c>
      <c r="E389" s="165" t="s">
        <v>2237</v>
      </c>
      <c r="F389" s="146" t="s">
        <v>2004</v>
      </c>
      <c r="G389" s="109" t="s">
        <v>2236</v>
      </c>
      <c r="H389" s="98" t="s">
        <v>2116</v>
      </c>
      <c r="I389" s="96" t="s">
        <v>2236</v>
      </c>
      <c r="J389" s="109" t="s">
        <v>2003</v>
      </c>
    </row>
    <row r="390" spans="2:10" ht="15.75" customHeight="1">
      <c r="B390" s="98" t="str">
        <f>'＠グループ、表示名'!H390</f>
        <v>PD</v>
      </c>
      <c r="C390" s="109" t="str">
        <f>'＠グループ、表示名'!I390</f>
        <v>PD.0</v>
      </c>
      <c r="D390" s="163" t="s">
        <v>2238</v>
      </c>
      <c r="E390" s="165" t="s">
        <v>2237</v>
      </c>
      <c r="F390" s="146" t="s">
        <v>2004</v>
      </c>
      <c r="G390" s="109" t="s">
        <v>2236</v>
      </c>
      <c r="H390" s="98" t="s">
        <v>2117</v>
      </c>
      <c r="I390" s="96" t="s">
        <v>2236</v>
      </c>
      <c r="J390" s="109" t="s">
        <v>2003</v>
      </c>
    </row>
    <row r="391" spans="2:10" ht="15.75" customHeight="1">
      <c r="B391" s="98" t="str">
        <f>'＠グループ、表示名'!H391</f>
        <v>PD</v>
      </c>
      <c r="C391" s="109" t="str">
        <f>'＠グループ、表示名'!I391</f>
        <v>PD.1</v>
      </c>
      <c r="D391" s="163" t="s">
        <v>2238</v>
      </c>
      <c r="E391" s="165" t="s">
        <v>2237</v>
      </c>
      <c r="F391" s="146" t="s">
        <v>2004</v>
      </c>
      <c r="G391" s="109" t="s">
        <v>2236</v>
      </c>
      <c r="H391" s="98" t="s">
        <v>2117</v>
      </c>
      <c r="I391" s="96" t="s">
        <v>2236</v>
      </c>
      <c r="J391" s="109" t="s">
        <v>2003</v>
      </c>
    </row>
    <row r="392" spans="2:10" ht="15.75" customHeight="1">
      <c r="B392" s="98" t="str">
        <f>'＠グループ、表示名'!H392</f>
        <v>PD</v>
      </c>
      <c r="C392" s="109" t="str">
        <f>'＠グループ、表示名'!I392</f>
        <v>PD.2</v>
      </c>
      <c r="D392" s="163" t="s">
        <v>2238</v>
      </c>
      <c r="E392" s="165" t="s">
        <v>2237</v>
      </c>
      <c r="F392" s="146" t="s">
        <v>2004</v>
      </c>
      <c r="G392" s="109" t="s">
        <v>2236</v>
      </c>
      <c r="H392" s="98" t="s">
        <v>2117</v>
      </c>
      <c r="I392" s="96" t="s">
        <v>2236</v>
      </c>
      <c r="J392" s="109" t="s">
        <v>2003</v>
      </c>
    </row>
    <row r="393" spans="2:10" ht="15.75" customHeight="1">
      <c r="B393" s="98" t="str">
        <f>'＠グループ、表示名'!H393</f>
        <v>PD</v>
      </c>
      <c r="C393" s="109" t="str">
        <f>'＠グループ、表示名'!I393</f>
        <v>PD.3</v>
      </c>
      <c r="D393" s="163" t="s">
        <v>2238</v>
      </c>
      <c r="E393" s="165" t="s">
        <v>2237</v>
      </c>
      <c r="F393" s="146" t="s">
        <v>2004</v>
      </c>
      <c r="G393" s="109" t="s">
        <v>2236</v>
      </c>
      <c r="H393" s="98" t="s">
        <v>2117</v>
      </c>
      <c r="I393" s="96" t="s">
        <v>2236</v>
      </c>
      <c r="J393" s="109" t="s">
        <v>2003</v>
      </c>
    </row>
    <row r="394" spans="2:10" ht="15.75" customHeight="1">
      <c r="B394" s="98" t="str">
        <f>'＠グループ、表示名'!H394</f>
        <v>PD</v>
      </c>
      <c r="C394" s="109" t="str">
        <f>'＠グループ、表示名'!I394</f>
        <v>PD.4</v>
      </c>
      <c r="D394" s="163" t="s">
        <v>2238</v>
      </c>
      <c r="E394" s="165" t="s">
        <v>2237</v>
      </c>
      <c r="F394" s="146" t="s">
        <v>2004</v>
      </c>
      <c r="G394" s="109" t="s">
        <v>2236</v>
      </c>
      <c r="H394" s="98" t="s">
        <v>2117</v>
      </c>
      <c r="I394" s="96" t="s">
        <v>2236</v>
      </c>
      <c r="J394" s="109" t="s">
        <v>2003</v>
      </c>
    </row>
    <row r="395" spans="2:10" ht="15.75" customHeight="1">
      <c r="B395" s="98" t="str">
        <f>'＠グループ、表示名'!H395</f>
        <v>PD</v>
      </c>
      <c r="C395" s="109" t="str">
        <f>'＠グループ、表示名'!I395</f>
        <v>PD.5</v>
      </c>
      <c r="D395" s="163" t="s">
        <v>2238</v>
      </c>
      <c r="E395" s="165" t="s">
        <v>2237</v>
      </c>
      <c r="F395" s="146" t="s">
        <v>2004</v>
      </c>
      <c r="G395" s="109" t="s">
        <v>2236</v>
      </c>
      <c r="H395" s="98" t="s">
        <v>2117</v>
      </c>
      <c r="I395" s="96" t="s">
        <v>2236</v>
      </c>
      <c r="J395" s="109" t="s">
        <v>2003</v>
      </c>
    </row>
    <row r="396" spans="2:10" ht="15.75" customHeight="1">
      <c r="B396" s="98" t="str">
        <f>'＠グループ、表示名'!H396</f>
        <v>PD</v>
      </c>
      <c r="C396" s="109" t="str">
        <f>'＠グループ、表示名'!I396</f>
        <v>PD.6</v>
      </c>
      <c r="D396" s="163" t="s">
        <v>2238</v>
      </c>
      <c r="E396" s="165" t="s">
        <v>2237</v>
      </c>
      <c r="F396" s="146" t="s">
        <v>2004</v>
      </c>
      <c r="G396" s="109" t="s">
        <v>2236</v>
      </c>
      <c r="H396" s="98" t="s">
        <v>2117</v>
      </c>
      <c r="I396" s="96" t="s">
        <v>2236</v>
      </c>
      <c r="J396" s="109" t="s">
        <v>2003</v>
      </c>
    </row>
    <row r="397" spans="2:10" ht="15.75" customHeight="1">
      <c r="B397" s="98" t="str">
        <f>'＠グループ、表示名'!H397</f>
        <v>PD</v>
      </c>
      <c r="C397" s="109" t="str">
        <f>'＠グループ、表示名'!I397</f>
        <v>PD.7</v>
      </c>
      <c r="D397" s="163" t="s">
        <v>2238</v>
      </c>
      <c r="E397" s="165" t="s">
        <v>2237</v>
      </c>
      <c r="F397" s="146" t="s">
        <v>2004</v>
      </c>
      <c r="G397" s="109" t="s">
        <v>2236</v>
      </c>
      <c r="H397" s="98" t="s">
        <v>2117</v>
      </c>
      <c r="I397" s="96" t="s">
        <v>2236</v>
      </c>
      <c r="J397" s="109" t="s">
        <v>2003</v>
      </c>
    </row>
    <row r="398" spans="2:10" ht="15.75" customHeight="1">
      <c r="B398" s="98" t="str">
        <f>'＠グループ、表示名'!H398</f>
        <v>PE</v>
      </c>
      <c r="C398" s="109" t="str">
        <f>'＠グループ、表示名'!I398</f>
        <v>PE.0</v>
      </c>
      <c r="D398" s="163" t="s">
        <v>2238</v>
      </c>
      <c r="E398" s="165" t="s">
        <v>2237</v>
      </c>
      <c r="F398" s="146" t="s">
        <v>2004</v>
      </c>
      <c r="G398" s="109" t="s">
        <v>2236</v>
      </c>
      <c r="H398" s="98" t="s">
        <v>2118</v>
      </c>
      <c r="I398" s="96" t="s">
        <v>2236</v>
      </c>
      <c r="J398" s="109" t="s">
        <v>2003</v>
      </c>
    </row>
    <row r="399" spans="2:10" ht="15.75" customHeight="1">
      <c r="B399" s="98" t="str">
        <f>'＠グループ、表示名'!H399</f>
        <v>PE</v>
      </c>
      <c r="C399" s="109" t="str">
        <f>'＠グループ、表示名'!I399</f>
        <v>PE.1</v>
      </c>
      <c r="D399" s="163" t="s">
        <v>2238</v>
      </c>
      <c r="E399" s="165" t="s">
        <v>2237</v>
      </c>
      <c r="F399" s="146" t="s">
        <v>2004</v>
      </c>
      <c r="G399" s="109" t="s">
        <v>2236</v>
      </c>
      <c r="H399" s="98" t="s">
        <v>2118</v>
      </c>
      <c r="I399" s="96" t="s">
        <v>2236</v>
      </c>
      <c r="J399" s="109" t="s">
        <v>2003</v>
      </c>
    </row>
    <row r="400" spans="2:10" ht="15.75" customHeight="1">
      <c r="B400" s="98" t="str">
        <f>'＠グループ、表示名'!H400</f>
        <v>PE</v>
      </c>
      <c r="C400" s="109" t="str">
        <f>'＠グループ、表示名'!I400</f>
        <v>PE.2</v>
      </c>
      <c r="D400" s="163" t="s">
        <v>2238</v>
      </c>
      <c r="E400" s="165" t="s">
        <v>2237</v>
      </c>
      <c r="F400" s="146" t="s">
        <v>2004</v>
      </c>
      <c r="G400" s="109" t="s">
        <v>2236</v>
      </c>
      <c r="H400" s="98" t="s">
        <v>2118</v>
      </c>
      <c r="I400" s="96" t="s">
        <v>2236</v>
      </c>
      <c r="J400" s="109" t="s">
        <v>2003</v>
      </c>
    </row>
    <row r="401" spans="2:10" ht="15.75" customHeight="1">
      <c r="B401" s="98" t="str">
        <f>'＠グループ、表示名'!H401</f>
        <v>PE</v>
      </c>
      <c r="C401" s="109" t="str">
        <f>'＠グループ、表示名'!I401</f>
        <v>PE.3</v>
      </c>
      <c r="D401" s="163" t="s">
        <v>2238</v>
      </c>
      <c r="E401" s="165" t="s">
        <v>2237</v>
      </c>
      <c r="F401" s="146" t="s">
        <v>2004</v>
      </c>
      <c r="G401" s="109" t="s">
        <v>2236</v>
      </c>
      <c r="H401" s="98" t="s">
        <v>2118</v>
      </c>
      <c r="I401" s="96" t="s">
        <v>2236</v>
      </c>
      <c r="J401" s="109" t="s">
        <v>2003</v>
      </c>
    </row>
    <row r="402" spans="2:10" ht="15.75" customHeight="1">
      <c r="B402" s="98" t="str">
        <f>'＠グループ、表示名'!H402</f>
        <v>PE</v>
      </c>
      <c r="C402" s="109" t="str">
        <f>'＠グループ、表示名'!I402</f>
        <v>PE.4</v>
      </c>
      <c r="D402" s="163" t="s">
        <v>2238</v>
      </c>
      <c r="E402" s="165" t="s">
        <v>2237</v>
      </c>
      <c r="F402" s="146" t="s">
        <v>2004</v>
      </c>
      <c r="G402" s="109" t="s">
        <v>2236</v>
      </c>
      <c r="H402" s="98" t="s">
        <v>2118</v>
      </c>
      <c r="I402" s="96" t="s">
        <v>2236</v>
      </c>
      <c r="J402" s="109" t="s">
        <v>2003</v>
      </c>
    </row>
    <row r="403" spans="2:10" ht="15.75" customHeight="1">
      <c r="B403" s="98" t="str">
        <f>'＠グループ、表示名'!H403</f>
        <v>PE</v>
      </c>
      <c r="C403" s="109" t="str">
        <f>'＠グループ、表示名'!I403</f>
        <v>PE.5</v>
      </c>
      <c r="D403" s="163" t="s">
        <v>2238</v>
      </c>
      <c r="E403" s="165" t="s">
        <v>2237</v>
      </c>
      <c r="F403" s="146" t="s">
        <v>2004</v>
      </c>
      <c r="G403" s="109" t="s">
        <v>2236</v>
      </c>
      <c r="H403" s="98" t="s">
        <v>2118</v>
      </c>
      <c r="I403" s="96" t="s">
        <v>2236</v>
      </c>
      <c r="J403" s="109" t="s">
        <v>2003</v>
      </c>
    </row>
    <row r="404" spans="2:10" ht="15.75" customHeight="1">
      <c r="B404" s="98" t="str">
        <f>'＠グループ、表示名'!H404</f>
        <v>PE</v>
      </c>
      <c r="C404" s="109" t="str">
        <f>'＠グループ、表示名'!I404</f>
        <v>PE.6</v>
      </c>
      <c r="D404" s="163" t="s">
        <v>2238</v>
      </c>
      <c r="E404" s="165" t="s">
        <v>2237</v>
      </c>
      <c r="F404" s="146" t="s">
        <v>2004</v>
      </c>
      <c r="G404" s="109" t="s">
        <v>2236</v>
      </c>
      <c r="H404" s="98" t="s">
        <v>2118</v>
      </c>
      <c r="I404" s="96" t="s">
        <v>2236</v>
      </c>
      <c r="J404" s="109" t="s">
        <v>2003</v>
      </c>
    </row>
    <row r="405" spans="2:10" ht="15.75" customHeight="1">
      <c r="B405" s="98" t="str">
        <f>'＠グループ、表示名'!H405</f>
        <v>PE</v>
      </c>
      <c r="C405" s="109" t="str">
        <f>'＠グループ、表示名'!I405</f>
        <v>PE.7</v>
      </c>
      <c r="D405" s="163" t="s">
        <v>2238</v>
      </c>
      <c r="E405" s="165" t="s">
        <v>2237</v>
      </c>
      <c r="F405" s="146" t="s">
        <v>2004</v>
      </c>
      <c r="G405" s="109" t="s">
        <v>2236</v>
      </c>
      <c r="H405" s="98" t="s">
        <v>2118</v>
      </c>
      <c r="I405" s="96" t="s">
        <v>2236</v>
      </c>
      <c r="J405" s="109" t="s">
        <v>2003</v>
      </c>
    </row>
    <row r="406" spans="2:10" ht="15.75" customHeight="1">
      <c r="B406" s="98" t="str">
        <f>'＠グループ、表示名'!H406</f>
        <v>PF</v>
      </c>
      <c r="C406" s="109" t="str">
        <f>'＠グループ、表示名'!I406</f>
        <v>PF.0</v>
      </c>
      <c r="D406" s="163" t="s">
        <v>2238</v>
      </c>
      <c r="E406" s="165" t="s">
        <v>2237</v>
      </c>
      <c r="F406" s="146" t="s">
        <v>2004</v>
      </c>
      <c r="G406" s="109" t="s">
        <v>2236</v>
      </c>
      <c r="H406" s="98" t="s">
        <v>2119</v>
      </c>
      <c r="I406" s="96" t="s">
        <v>2236</v>
      </c>
      <c r="J406" s="109" t="s">
        <v>2003</v>
      </c>
    </row>
    <row r="407" spans="2:10" ht="15.75" customHeight="1">
      <c r="B407" s="98" t="str">
        <f>'＠グループ、表示名'!H407</f>
        <v>PF</v>
      </c>
      <c r="C407" s="109" t="str">
        <f>'＠グループ、表示名'!I407</f>
        <v>PF.1</v>
      </c>
      <c r="D407" s="163" t="s">
        <v>2238</v>
      </c>
      <c r="E407" s="165" t="s">
        <v>2237</v>
      </c>
      <c r="F407" s="146" t="s">
        <v>2004</v>
      </c>
      <c r="G407" s="109" t="s">
        <v>2236</v>
      </c>
      <c r="H407" s="98" t="s">
        <v>2119</v>
      </c>
      <c r="I407" s="96" t="s">
        <v>2236</v>
      </c>
      <c r="J407" s="109" t="s">
        <v>2003</v>
      </c>
    </row>
    <row r="408" spans="2:10" ht="15.75" customHeight="1">
      <c r="B408" s="98" t="str">
        <f>'＠グループ、表示名'!H408</f>
        <v>PF</v>
      </c>
      <c r="C408" s="109" t="str">
        <f>'＠グループ、表示名'!I408</f>
        <v>PF.2</v>
      </c>
      <c r="D408" s="163" t="s">
        <v>2238</v>
      </c>
      <c r="E408" s="165" t="s">
        <v>2237</v>
      </c>
      <c r="F408" s="146" t="s">
        <v>2004</v>
      </c>
      <c r="G408" s="109" t="s">
        <v>2236</v>
      </c>
      <c r="H408" s="98" t="s">
        <v>2119</v>
      </c>
      <c r="I408" s="96" t="s">
        <v>2236</v>
      </c>
      <c r="J408" s="109" t="s">
        <v>2003</v>
      </c>
    </row>
    <row r="409" spans="2:10" ht="15.75" customHeight="1">
      <c r="B409" s="98" t="str">
        <f>'＠グループ、表示名'!H409</f>
        <v>PF</v>
      </c>
      <c r="C409" s="109" t="str">
        <f>'＠グループ、表示名'!I409</f>
        <v>PF.3</v>
      </c>
      <c r="D409" s="163" t="s">
        <v>2238</v>
      </c>
      <c r="E409" s="165" t="s">
        <v>2237</v>
      </c>
      <c r="F409" s="146" t="s">
        <v>2004</v>
      </c>
      <c r="G409" s="109" t="s">
        <v>2236</v>
      </c>
      <c r="H409" s="98" t="s">
        <v>2119</v>
      </c>
      <c r="I409" s="96" t="s">
        <v>2236</v>
      </c>
      <c r="J409" s="109" t="s">
        <v>2003</v>
      </c>
    </row>
    <row r="410" spans="2:10" ht="15.75" customHeight="1">
      <c r="B410" s="98" t="str">
        <f>'＠グループ、表示名'!H410</f>
        <v>PF</v>
      </c>
      <c r="C410" s="109" t="str">
        <f>'＠グループ、表示名'!I410</f>
        <v>PF.4</v>
      </c>
      <c r="D410" s="163" t="s">
        <v>2238</v>
      </c>
      <c r="E410" s="165" t="s">
        <v>2237</v>
      </c>
      <c r="F410" s="146" t="s">
        <v>2004</v>
      </c>
      <c r="G410" s="109" t="s">
        <v>2236</v>
      </c>
      <c r="H410" s="98" t="s">
        <v>2119</v>
      </c>
      <c r="I410" s="96" t="s">
        <v>2236</v>
      </c>
      <c r="J410" s="109" t="s">
        <v>2003</v>
      </c>
    </row>
    <row r="411" spans="2:10" ht="15.75" customHeight="1">
      <c r="B411" s="98" t="str">
        <f>'＠グループ、表示名'!H411</f>
        <v>PF</v>
      </c>
      <c r="C411" s="109" t="str">
        <f>'＠グループ、表示名'!I411</f>
        <v>PF.5</v>
      </c>
      <c r="D411" s="163" t="s">
        <v>2238</v>
      </c>
      <c r="E411" s="165" t="s">
        <v>2237</v>
      </c>
      <c r="F411" s="146" t="s">
        <v>2004</v>
      </c>
      <c r="G411" s="109" t="s">
        <v>2236</v>
      </c>
      <c r="H411" s="98" t="s">
        <v>2119</v>
      </c>
      <c r="I411" s="96" t="s">
        <v>2236</v>
      </c>
      <c r="J411" s="109" t="s">
        <v>2003</v>
      </c>
    </row>
    <row r="412" spans="2:10" ht="15.75" customHeight="1">
      <c r="B412" s="98" t="str">
        <f>'＠グループ、表示名'!H412</f>
        <v>PF</v>
      </c>
      <c r="C412" s="109" t="str">
        <f>'＠グループ、表示名'!I412</f>
        <v>PF.6</v>
      </c>
      <c r="D412" s="163" t="s">
        <v>2238</v>
      </c>
      <c r="E412" s="165" t="s">
        <v>2237</v>
      </c>
      <c r="F412" s="146" t="s">
        <v>2004</v>
      </c>
      <c r="G412" s="109" t="s">
        <v>2236</v>
      </c>
      <c r="H412" s="98" t="s">
        <v>2119</v>
      </c>
      <c r="I412" s="96" t="s">
        <v>2236</v>
      </c>
      <c r="J412" s="109" t="s">
        <v>2003</v>
      </c>
    </row>
    <row r="413" spans="2:10" ht="16.5" customHeight="1" thickBot="1">
      <c r="B413" s="101" t="str">
        <f>'＠グループ、表示名'!H413</f>
        <v>PF</v>
      </c>
      <c r="C413" s="100" t="str">
        <f>'＠グループ、表示名'!I413</f>
        <v>PF.7</v>
      </c>
      <c r="D413" s="164" t="s">
        <v>2238</v>
      </c>
      <c r="E413" s="166" t="s">
        <v>2237</v>
      </c>
      <c r="F413" s="147" t="s">
        <v>2004</v>
      </c>
      <c r="G413" s="100" t="s">
        <v>2236</v>
      </c>
      <c r="H413" s="101" t="s">
        <v>2119</v>
      </c>
      <c r="I413" s="99" t="s">
        <v>2236</v>
      </c>
      <c r="J413" s="100" t="s">
        <v>2003</v>
      </c>
    </row>
  </sheetData>
  <mergeCells count="3">
    <mergeCell ref="B2:C2"/>
    <mergeCell ref="D2:G2"/>
    <mergeCell ref="H2:J2"/>
  </mergeCells>
  <phoneticPr fontId="56"/>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1A88D5F8B55C4DB56D193A82266C08" ma:contentTypeVersion="0" ma:contentTypeDescription="Create a new document." ma:contentTypeScope="" ma:versionID="aca934201a2fc504a89121fdde7fc555">
  <xsd:schema xmlns:xsd="http://www.w3.org/2001/XMLSchema" xmlns:xs="http://www.w3.org/2001/XMLSchema" xmlns:p="http://schemas.microsoft.com/office/2006/metadata/properties" targetNamespace="http://schemas.microsoft.com/office/2006/metadata/properties" ma:root="true" ma:fieldsID="553f2d8843fd2aa64b81f9e8c63a661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2F73503-2211-4DAB-96DB-5E6FF67251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7C76BFB7-66E8-4CDC-BBE1-1828F86FECB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vt:i4>
      </vt:variant>
    </vt:vector>
  </HeadingPairs>
  <TitlesOfParts>
    <vt:vector size="9" baseType="lpstr">
      <vt:lpstr>MFP(sample)</vt:lpstr>
      <vt:lpstr>MFP</vt:lpstr>
      <vt:lpstr>Package Type</vt:lpstr>
      <vt:lpstr>Unused IP</vt:lpstr>
      <vt:lpstr>Special Group Name</vt:lpstr>
      <vt:lpstr>Port Control Register</vt:lpstr>
      <vt:lpstr>＠グループ、表示名</vt:lpstr>
      <vt:lpstr>@Pin Component List記載</vt:lpstr>
      <vt:lpstr>'@Pin Component List記載'!Extract</vt:lpstr>
    </vt:vector>
  </TitlesOfParts>
  <Manager/>
  <Company>nuvoton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PG10 CTHo2</dc:creator>
  <cp:keywords/>
  <dc:description/>
  <cp:lastModifiedBy>全社標準PC</cp:lastModifiedBy>
  <cp:revision/>
  <dcterms:created xsi:type="dcterms:W3CDTF">2012-11-13T03:52:01Z</dcterms:created>
  <dcterms:modified xsi:type="dcterms:W3CDTF">2021-04-27T08:31:46Z</dcterms:modified>
  <cp:category/>
  <cp:contentStatus/>
</cp:coreProperties>
</file>